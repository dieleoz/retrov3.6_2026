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mc:AlternateContent xmlns:mc="http://schemas.openxmlformats.org/markup-compatibility/2006">
    <mc:Choice Requires="x15">
      <x15ac:absPath xmlns:x15ac="http://schemas.microsoft.com/office/spreadsheetml/2010/11/ac" url="C:\Users\ING HARDWARE\Desktop\"/>
    </mc:Choice>
  </mc:AlternateContent>
  <xr:revisionPtr revIDLastSave="0" documentId="13_ncr:1_{CD357DC4-EF47-4E2F-8441-AD8B60AAE86F}" xr6:coauthVersionLast="45" xr6:coauthVersionMax="45" xr10:uidLastSave="{00000000-0000-0000-0000-000000000000}"/>
  <bookViews>
    <workbookView xWindow="-120" yWindow="-120" windowWidth="29040" windowHeight="15840" firstSheet="27" activeTab="28" xr2:uid="{00000000-000D-0000-FFFF-FFFF00000000}"/>
  </bookViews>
  <sheets>
    <sheet name="CONSORCIO 4C" sheetId="1" r:id="rId1"/>
    <sheet name="CONSORCIO PROSPERIDAD" sheetId="2" r:id="rId2"/>
    <sheet name="Pintuco Colombia SA" sheetId="3" r:id="rId3"/>
    <sheet name="Odinsa Servicios SA" sheetId="4" r:id="rId4"/>
    <sheet name="AIM INGENIEROS CIVILES LTDA" sheetId="5" r:id="rId5"/>
    <sheet name="Yesid Ferreira" sheetId="6" r:id="rId6"/>
    <sheet name="DEVISAB" sheetId="7" r:id="rId7"/>
    <sheet name="CONSRCIO CCFC" sheetId="8" r:id="rId8"/>
    <sheet name="Arquitectura y Señalizaciòn" sheetId="9" r:id="rId9"/>
    <sheet name="CANO JIMENEZ ESTUDIOS" sheetId="10" r:id="rId10"/>
    <sheet name="CSS CONSTRUCTORES" sheetId="11" r:id="rId11"/>
    <sheet name="CONSORCIO INTERCONCESIONES" sheetId="12" r:id="rId12"/>
    <sheet name="CONCESIONARIA VIAL DE COLOMBIA" sheetId="13" r:id="rId13"/>
    <sheet name="PLUSVIAL" sheetId="14" r:id="rId14"/>
    <sheet name="SABANAS DE OCCIDENTE" sheetId="15" r:id="rId15"/>
    <sheet name="VIAS Y SEÑALES" sheetId="16" r:id="rId16"/>
    <sheet name="Señales LTDA" sheetId="17" r:id="rId17"/>
    <sheet name="Autopistas Uraba SAS" sheetId="18" r:id="rId18"/>
    <sheet name="GMP S.A." sheetId="19" r:id="rId19"/>
    <sheet name="VALORCON S.A." sheetId="20" r:id="rId20"/>
    <sheet name="ZAÑARTU MAB VELNEC" sheetId="21" r:id="rId21"/>
    <sheet name="INGEANDINA" sheetId="22" r:id="rId22"/>
    <sheet name="COLORQUIMICA" sheetId="23" r:id="rId23"/>
    <sheet name="J&amp;C ING VIAL" sheetId="24" r:id="rId24"/>
    <sheet name="CONSORCIO ERU" sheetId="25" r:id="rId25"/>
    <sheet name="CON STA MTA RCH PARAGUACHON" sheetId="26" r:id="rId26"/>
    <sheet name="ACI Proyectos SAS" sheetId="27" r:id="rId27"/>
    <sheet name="CONS COSTERA CARTAG BARRANQUILL" sheetId="28" r:id="rId28"/>
    <sheet name="AUTOPISTA LLANOS S.A." sheetId="29" r:id="rId29"/>
    <sheet name="CR CONCESIONES" sheetId="30" r:id="rId30"/>
    <sheet name="Concesión Ruta al Mar S.A.S" sheetId="31" r:id="rId31"/>
    <sheet name="Consorcio Interventor PEB-ET" sheetId="32" r:id="rId32"/>
    <sheet name="Semavial SAS" sheetId="33" r:id="rId33"/>
    <sheet name="CONSORCIO EL SOL" sheetId="34" r:id="rId34"/>
    <sheet name="VIA PACIFICO SAS" sheetId="35" r:id="rId35"/>
    <sheet name="El Condor SAS" sheetId="36" r:id="rId36"/>
    <sheet name="AUTO VIA BUCARAMANGA PAMPLONA" sheetId="37" r:id="rId37"/>
    <sheet name="Consorcio Intervias 4G" sheetId="38" r:id="rId38"/>
    <sheet name="Cons Pacifico 3" sheetId="39" r:id="rId39"/>
    <sheet name="GMP SA" sheetId="40" r:id="rId40"/>
    <sheet name="JOSE ALEXANDER ROMAN RUIZ" sheetId="41" r:id="rId41"/>
    <sheet name="C. PLANES HIDRO C," sheetId="42" r:id="rId42"/>
    <sheet name="COVIANDES S.A" sheetId="43" r:id="rId43"/>
    <sheet name="VIA 40" sheetId="44" r:id="rId44"/>
    <sheet name="COMSEVIAS SAS" sheetId="45" r:id="rId45"/>
    <sheet name="SEÑALIZACION NUEVO MILENIO SAS" sheetId="46" r:id="rId46"/>
    <sheet name="Concesion San Rafael S.A." sheetId="47" r:id="rId47"/>
    <sheet name="Autop. Del Cafe" sheetId="48" r:id="rId48"/>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261" i="32" l="1"/>
  <c r="K261" i="32"/>
  <c r="H262" i="32"/>
  <c r="K262" i="32"/>
  <c r="H186" i="32"/>
  <c r="I23" i="46"/>
  <c r="O12" i="46"/>
  <c r="N12" i="46"/>
  <c r="L12" i="46"/>
  <c r="W10" i="46"/>
  <c r="V10" i="46"/>
  <c r="V9" i="46"/>
  <c r="P9" i="46"/>
  <c r="N9" i="46"/>
  <c r="M9" i="46"/>
  <c r="W8" i="46"/>
  <c r="V8" i="46"/>
  <c r="W7" i="46"/>
  <c r="V7" i="46"/>
  <c r="P7" i="46"/>
  <c r="O7" i="46"/>
  <c r="Q7" i="46" s="1"/>
  <c r="N7" i="46"/>
  <c r="V6" i="46"/>
  <c r="O22" i="45"/>
  <c r="N22" i="45"/>
  <c r="L22" i="45"/>
  <c r="W20" i="45"/>
  <c r="V20" i="45"/>
  <c r="V19" i="45"/>
  <c r="P19" i="45"/>
  <c r="N19" i="45"/>
  <c r="M19" i="45"/>
  <c r="W18" i="45"/>
  <c r="V18" i="45"/>
  <c r="W17" i="45"/>
  <c r="V17" i="45"/>
  <c r="P17" i="45"/>
  <c r="O17" i="45"/>
  <c r="N17" i="45"/>
  <c r="V16" i="45"/>
  <c r="O13" i="45"/>
  <c r="N13" i="45"/>
  <c r="L13" i="45"/>
  <c r="W11" i="45"/>
  <c r="V11" i="45"/>
  <c r="V10" i="45"/>
  <c r="P10" i="45"/>
  <c r="N10" i="45"/>
  <c r="M10" i="45"/>
  <c r="W9" i="45"/>
  <c r="V9" i="45"/>
  <c r="W8" i="45"/>
  <c r="V8" i="45"/>
  <c r="P8" i="45"/>
  <c r="O8" i="45"/>
  <c r="Q8" i="45" s="1"/>
  <c r="N8" i="45"/>
  <c r="V7" i="45"/>
  <c r="K155" i="44"/>
  <c r="H155" i="44"/>
  <c r="K154" i="44"/>
  <c r="H154" i="44"/>
  <c r="K96" i="44"/>
  <c r="H96" i="44"/>
  <c r="K95" i="44"/>
  <c r="H95" i="44"/>
  <c r="O82" i="44"/>
  <c r="N82" i="44"/>
  <c r="L82" i="44"/>
  <c r="W80" i="44"/>
  <c r="V80" i="44"/>
  <c r="V79" i="44"/>
  <c r="P79" i="44"/>
  <c r="N79" i="44"/>
  <c r="M79" i="44"/>
  <c r="W78" i="44"/>
  <c r="V78" i="44"/>
  <c r="W77" i="44"/>
  <c r="V77" i="44"/>
  <c r="P77" i="44"/>
  <c r="O77" i="44"/>
  <c r="N77" i="44"/>
  <c r="Q77" i="44" s="1"/>
  <c r="V76" i="44"/>
  <c r="O73" i="44"/>
  <c r="N73" i="44"/>
  <c r="L73" i="44"/>
  <c r="W71" i="44"/>
  <c r="V71" i="44"/>
  <c r="V70" i="44"/>
  <c r="P70" i="44"/>
  <c r="N70" i="44"/>
  <c r="M70" i="44"/>
  <c r="W69" i="44"/>
  <c r="V69" i="44"/>
  <c r="W68" i="44"/>
  <c r="V68" i="44"/>
  <c r="P68" i="44"/>
  <c r="O68" i="44"/>
  <c r="Q68" i="44" s="1"/>
  <c r="N68" i="44"/>
  <c r="V67" i="44"/>
  <c r="K8" i="44"/>
  <c r="K7" i="44"/>
  <c r="K159" i="43"/>
  <c r="H159" i="43"/>
  <c r="K158" i="43"/>
  <c r="H158" i="43"/>
  <c r="K97" i="43"/>
  <c r="H97" i="43"/>
  <c r="K96" i="43"/>
  <c r="H96" i="43"/>
  <c r="P84" i="43"/>
  <c r="O84" i="43"/>
  <c r="M84" i="43"/>
  <c r="X82" i="43"/>
  <c r="W82" i="43"/>
  <c r="W81" i="43"/>
  <c r="Q81" i="43"/>
  <c r="O81" i="43"/>
  <c r="N81" i="43"/>
  <c r="X80" i="43"/>
  <c r="W80" i="43"/>
  <c r="X79" i="43"/>
  <c r="W79" i="43"/>
  <c r="Q79" i="43"/>
  <c r="P79" i="43"/>
  <c r="O79" i="43"/>
  <c r="R79" i="43" s="1"/>
  <c r="W78" i="43"/>
  <c r="P75" i="43"/>
  <c r="O75" i="43"/>
  <c r="M75" i="43"/>
  <c r="X73" i="43"/>
  <c r="W73" i="43"/>
  <c r="W72" i="43"/>
  <c r="Q72" i="43"/>
  <c r="O72" i="43"/>
  <c r="N72" i="43"/>
  <c r="X71" i="43"/>
  <c r="W71" i="43"/>
  <c r="X70" i="43"/>
  <c r="W70" i="43"/>
  <c r="Q70" i="43"/>
  <c r="P70" i="43"/>
  <c r="R70" i="43" s="1"/>
  <c r="O70" i="43"/>
  <c r="W69" i="43"/>
  <c r="P64" i="43"/>
  <c r="O64" i="43"/>
  <c r="M64" i="43"/>
  <c r="X62" i="43"/>
  <c r="W62" i="43"/>
  <c r="W61" i="43"/>
  <c r="Q61" i="43"/>
  <c r="O61" i="43"/>
  <c r="N61" i="43"/>
  <c r="X60" i="43"/>
  <c r="W60" i="43"/>
  <c r="X59" i="43"/>
  <c r="W59" i="43"/>
  <c r="Q59" i="43"/>
  <c r="P59" i="43"/>
  <c r="O59" i="43"/>
  <c r="W58" i="43"/>
  <c r="P55" i="43"/>
  <c r="O55" i="43"/>
  <c r="M55" i="43"/>
  <c r="X53" i="43"/>
  <c r="W53" i="43"/>
  <c r="W52" i="43"/>
  <c r="Q52" i="43"/>
  <c r="O52" i="43"/>
  <c r="N52" i="43"/>
  <c r="X51" i="43"/>
  <c r="W51" i="43"/>
  <c r="X50" i="43"/>
  <c r="W50" i="43"/>
  <c r="Q50" i="43"/>
  <c r="P50" i="43"/>
  <c r="O50" i="43"/>
  <c r="W49" i="43"/>
  <c r="P44" i="43"/>
  <c r="O44" i="43"/>
  <c r="M44" i="43"/>
  <c r="X42" i="43"/>
  <c r="W42" i="43"/>
  <c r="W41" i="43"/>
  <c r="Q41" i="43"/>
  <c r="O41" i="43"/>
  <c r="N41" i="43"/>
  <c r="X40" i="43"/>
  <c r="W40" i="43"/>
  <c r="X39" i="43"/>
  <c r="W39" i="43"/>
  <c r="Q39" i="43"/>
  <c r="P39" i="43"/>
  <c r="O39" i="43"/>
  <c r="R39" i="43" s="1"/>
  <c r="W38" i="43"/>
  <c r="P35" i="43"/>
  <c r="O35" i="43"/>
  <c r="M35" i="43"/>
  <c r="X33" i="43"/>
  <c r="W33" i="43"/>
  <c r="W32" i="43"/>
  <c r="Q32" i="43"/>
  <c r="O32" i="43"/>
  <c r="N32" i="43"/>
  <c r="X31" i="43"/>
  <c r="W31" i="43"/>
  <c r="X30" i="43"/>
  <c r="W30" i="43"/>
  <c r="Q30" i="43"/>
  <c r="P30" i="43"/>
  <c r="R30" i="43" s="1"/>
  <c r="O30" i="43"/>
  <c r="W29" i="43"/>
  <c r="P24" i="43"/>
  <c r="O24" i="43"/>
  <c r="M24" i="43"/>
  <c r="X22" i="43"/>
  <c r="W22" i="43"/>
  <c r="W21" i="43"/>
  <c r="Q21" i="43"/>
  <c r="O21" i="43"/>
  <c r="N21" i="43"/>
  <c r="X20" i="43"/>
  <c r="W20" i="43"/>
  <c r="X19" i="43"/>
  <c r="W19" i="43"/>
  <c r="Q19" i="43"/>
  <c r="P19" i="43"/>
  <c r="O19" i="43"/>
  <c r="W18" i="43"/>
  <c r="P15" i="43"/>
  <c r="O15" i="43"/>
  <c r="M15" i="43"/>
  <c r="X13" i="43"/>
  <c r="W13" i="43"/>
  <c r="W12" i="43"/>
  <c r="Q12" i="43"/>
  <c r="O12" i="43"/>
  <c r="N12" i="43"/>
  <c r="X11" i="43"/>
  <c r="W11" i="43"/>
  <c r="X10" i="43"/>
  <c r="W10" i="43"/>
  <c r="Q10" i="43"/>
  <c r="P10" i="43"/>
  <c r="O10" i="43"/>
  <c r="W9" i="43"/>
  <c r="O21" i="42"/>
  <c r="N21" i="42"/>
  <c r="L21" i="42"/>
  <c r="W19" i="42"/>
  <c r="V19" i="42"/>
  <c r="V18" i="42"/>
  <c r="P18" i="42"/>
  <c r="N18" i="42"/>
  <c r="M18" i="42"/>
  <c r="W17" i="42"/>
  <c r="V17" i="42"/>
  <c r="W16" i="42"/>
  <c r="V16" i="42"/>
  <c r="P16" i="42"/>
  <c r="O16" i="42"/>
  <c r="N16" i="42"/>
  <c r="Q16" i="42" s="1"/>
  <c r="V15" i="42"/>
  <c r="O12" i="42"/>
  <c r="N12" i="42"/>
  <c r="L12" i="42"/>
  <c r="W10" i="42"/>
  <c r="V10" i="42"/>
  <c r="V9" i="42"/>
  <c r="P9" i="42"/>
  <c r="N9" i="42"/>
  <c r="M9" i="42"/>
  <c r="W8" i="42"/>
  <c r="V8" i="42"/>
  <c r="W7" i="42"/>
  <c r="V7" i="42"/>
  <c r="P7" i="42"/>
  <c r="O7" i="42"/>
  <c r="Q7" i="42" s="1"/>
  <c r="N7" i="42"/>
  <c r="V6" i="42"/>
  <c r="G10" i="41"/>
  <c r="H10" i="41" s="1"/>
  <c r="O97" i="40"/>
  <c r="N97" i="40"/>
  <c r="L97" i="40"/>
  <c r="W95" i="40"/>
  <c r="V95" i="40"/>
  <c r="V94" i="40"/>
  <c r="P94" i="40"/>
  <c r="N94" i="40"/>
  <c r="M94" i="40"/>
  <c r="W93" i="40"/>
  <c r="V93" i="40"/>
  <c r="W92" i="40"/>
  <c r="V92" i="40"/>
  <c r="P92" i="40"/>
  <c r="O92" i="40"/>
  <c r="N92" i="40"/>
  <c r="Q92" i="40" s="1"/>
  <c r="V91" i="40"/>
  <c r="O88" i="40"/>
  <c r="N88" i="40"/>
  <c r="L88" i="40"/>
  <c r="W86" i="40"/>
  <c r="V86" i="40"/>
  <c r="V85" i="40"/>
  <c r="P85" i="40"/>
  <c r="N85" i="40"/>
  <c r="M85" i="40"/>
  <c r="W84" i="40"/>
  <c r="V84" i="40"/>
  <c r="W83" i="40"/>
  <c r="V83" i="40"/>
  <c r="P83" i="40"/>
  <c r="O83" i="40"/>
  <c r="N83" i="40"/>
  <c r="V82" i="40"/>
  <c r="O72" i="40"/>
  <c r="N72" i="40"/>
  <c r="L72" i="40"/>
  <c r="W70" i="40"/>
  <c r="V70" i="40"/>
  <c r="V69" i="40"/>
  <c r="P69" i="40"/>
  <c r="N69" i="40"/>
  <c r="M69" i="40"/>
  <c r="W68" i="40"/>
  <c r="V68" i="40"/>
  <c r="W67" i="40"/>
  <c r="V67" i="40"/>
  <c r="P67" i="40"/>
  <c r="O67" i="40"/>
  <c r="N67" i="40"/>
  <c r="V66" i="40"/>
  <c r="O63" i="40"/>
  <c r="N63" i="40"/>
  <c r="L63" i="40"/>
  <c r="W61" i="40"/>
  <c r="V61" i="40"/>
  <c r="V60" i="40"/>
  <c r="P60" i="40"/>
  <c r="N60" i="40"/>
  <c r="M60" i="40"/>
  <c r="W59" i="40"/>
  <c r="V59" i="40"/>
  <c r="W58" i="40"/>
  <c r="V58" i="40"/>
  <c r="P58" i="40"/>
  <c r="O58" i="40"/>
  <c r="N58" i="40"/>
  <c r="V57" i="40"/>
  <c r="O47" i="40"/>
  <c r="N47" i="40"/>
  <c r="L47" i="40"/>
  <c r="W45" i="40"/>
  <c r="V45" i="40"/>
  <c r="V44" i="40"/>
  <c r="P44" i="40"/>
  <c r="N44" i="40"/>
  <c r="M44" i="40"/>
  <c r="W43" i="40"/>
  <c r="V43" i="40"/>
  <c r="W42" i="40"/>
  <c r="V42" i="40"/>
  <c r="P42" i="40"/>
  <c r="O42" i="40"/>
  <c r="N42" i="40"/>
  <c r="Q42" i="40" s="1"/>
  <c r="V41" i="40"/>
  <c r="O38" i="40"/>
  <c r="N38" i="40"/>
  <c r="L38" i="40"/>
  <c r="W36" i="40"/>
  <c r="V36" i="40"/>
  <c r="V35" i="40"/>
  <c r="P35" i="40"/>
  <c r="N35" i="40"/>
  <c r="M35" i="40"/>
  <c r="W34" i="40"/>
  <c r="V34" i="40"/>
  <c r="W33" i="40"/>
  <c r="V33" i="40"/>
  <c r="P33" i="40"/>
  <c r="O33" i="40"/>
  <c r="N33" i="40"/>
  <c r="V32" i="40"/>
  <c r="O22" i="40"/>
  <c r="N22" i="40"/>
  <c r="L22" i="40"/>
  <c r="W20" i="40"/>
  <c r="V20" i="40"/>
  <c r="V19" i="40"/>
  <c r="P19" i="40"/>
  <c r="N19" i="40"/>
  <c r="M19" i="40"/>
  <c r="W18" i="40"/>
  <c r="V18" i="40"/>
  <c r="W17" i="40"/>
  <c r="V17" i="40"/>
  <c r="P17" i="40"/>
  <c r="O17" i="40"/>
  <c r="N17" i="40"/>
  <c r="V16" i="40"/>
  <c r="O13" i="40"/>
  <c r="N13" i="40"/>
  <c r="L13" i="40"/>
  <c r="W11" i="40"/>
  <c r="V11" i="40"/>
  <c r="V10" i="40"/>
  <c r="P10" i="40"/>
  <c r="N10" i="40"/>
  <c r="M10" i="40"/>
  <c r="W9" i="40"/>
  <c r="V9" i="40"/>
  <c r="W8" i="40"/>
  <c r="V8" i="40"/>
  <c r="P8" i="40"/>
  <c r="O8" i="40"/>
  <c r="N8" i="40"/>
  <c r="V7" i="40"/>
  <c r="J272" i="39"/>
  <c r="J271" i="39"/>
  <c r="M212" i="39"/>
  <c r="J212" i="39"/>
  <c r="M211" i="39"/>
  <c r="J211" i="39"/>
  <c r="M150" i="39"/>
  <c r="J150" i="39"/>
  <c r="M149" i="39"/>
  <c r="J149" i="39"/>
  <c r="M89" i="39"/>
  <c r="M88" i="39"/>
  <c r="G76" i="39"/>
  <c r="G75" i="39"/>
  <c r="G73" i="39"/>
  <c r="G71" i="39"/>
  <c r="G70" i="39"/>
  <c r="G68" i="39"/>
  <c r="L11" i="39"/>
  <c r="L10" i="39"/>
  <c r="K65" i="38"/>
  <c r="H65" i="38"/>
  <c r="K64" i="38"/>
  <c r="H64" i="38"/>
  <c r="L6" i="38"/>
  <c r="I6" i="38"/>
  <c r="L5" i="38"/>
  <c r="I5" i="38"/>
  <c r="K359" i="37"/>
  <c r="H359" i="37"/>
  <c r="K358" i="37"/>
  <c r="H358" i="37"/>
  <c r="K279" i="37"/>
  <c r="H279" i="37"/>
  <c r="K278" i="37"/>
  <c r="H278" i="37"/>
  <c r="K216" i="37"/>
  <c r="H216" i="37"/>
  <c r="K215" i="37"/>
  <c r="H215" i="37"/>
  <c r="K154" i="37"/>
  <c r="H154" i="37"/>
  <c r="K153" i="37"/>
  <c r="H153" i="37"/>
  <c r="F104" i="37"/>
  <c r="F103" i="37"/>
  <c r="F101" i="37"/>
  <c r="F99" i="37"/>
  <c r="F98" i="37"/>
  <c r="F96" i="37"/>
  <c r="F89" i="37"/>
  <c r="F88" i="37"/>
  <c r="F86" i="37"/>
  <c r="F84" i="37"/>
  <c r="F83" i="37"/>
  <c r="F81" i="37"/>
  <c r="E59" i="37"/>
  <c r="E58" i="37"/>
  <c r="E57" i="37"/>
  <c r="E56" i="37"/>
  <c r="E54" i="37"/>
  <c r="E53" i="37"/>
  <c r="E52" i="37"/>
  <c r="E43" i="37"/>
  <c r="E42" i="37"/>
  <c r="E41" i="37"/>
  <c r="E40" i="37"/>
  <c r="E39" i="37"/>
  <c r="E37" i="37"/>
  <c r="E36" i="37"/>
  <c r="K26" i="37"/>
  <c r="K25" i="37"/>
  <c r="K256" i="36"/>
  <c r="H256" i="36"/>
  <c r="K255" i="36"/>
  <c r="H255" i="36"/>
  <c r="K176" i="36"/>
  <c r="H176" i="36"/>
  <c r="K175" i="36"/>
  <c r="H175" i="36"/>
  <c r="K117" i="36"/>
  <c r="H117" i="36"/>
  <c r="K116" i="36"/>
  <c r="H116" i="36"/>
  <c r="G89" i="36"/>
  <c r="G88" i="36"/>
  <c r="G86" i="36"/>
  <c r="G84" i="36"/>
  <c r="G83" i="36"/>
  <c r="G81" i="36"/>
  <c r="L23" i="36"/>
  <c r="I23" i="36"/>
  <c r="L22" i="36"/>
  <c r="I22" i="36"/>
  <c r="G14" i="36"/>
  <c r="G13" i="36"/>
  <c r="G11" i="36"/>
  <c r="G9" i="36"/>
  <c r="G8" i="36"/>
  <c r="G6" i="36"/>
  <c r="L134" i="35"/>
  <c r="I134" i="35"/>
  <c r="L133" i="35"/>
  <c r="I133" i="35"/>
  <c r="L71" i="35"/>
  <c r="I71" i="35"/>
  <c r="L70" i="35"/>
  <c r="I70" i="35"/>
  <c r="L9" i="35"/>
  <c r="L8" i="35"/>
  <c r="I209" i="34"/>
  <c r="J209" i="34" s="1"/>
  <c r="G209" i="34"/>
  <c r="H209" i="34" s="1"/>
  <c r="I208" i="34"/>
  <c r="J208" i="34" s="1"/>
  <c r="G208" i="34"/>
  <c r="H208" i="34" s="1"/>
  <c r="I207" i="34"/>
  <c r="J207" i="34" s="1"/>
  <c r="G207" i="34"/>
  <c r="H207" i="34" s="1"/>
  <c r="I206" i="34"/>
  <c r="J206" i="34" s="1"/>
  <c r="G206" i="34"/>
  <c r="H206" i="34" s="1"/>
  <c r="I205" i="34"/>
  <c r="J205" i="34" s="1"/>
  <c r="G205" i="34"/>
  <c r="H205" i="34" s="1"/>
  <c r="I204" i="34"/>
  <c r="I203" i="34"/>
  <c r="J203" i="34" s="1"/>
  <c r="G203" i="34"/>
  <c r="H203" i="34" s="1"/>
  <c r="I202" i="34"/>
  <c r="J202" i="34" s="1"/>
  <c r="G202" i="34"/>
  <c r="H202" i="34" s="1"/>
  <c r="I201" i="34"/>
  <c r="I200" i="34"/>
  <c r="J200" i="34" s="1"/>
  <c r="G200" i="34"/>
  <c r="H200" i="34" s="1"/>
  <c r="I199" i="34"/>
  <c r="J199" i="34" s="1"/>
  <c r="H199" i="34"/>
  <c r="G199" i="34"/>
  <c r="I197" i="34"/>
  <c r="J197" i="34" s="1"/>
  <c r="H197" i="34"/>
  <c r="G197" i="34"/>
  <c r="I196" i="34"/>
  <c r="J196" i="34" s="1"/>
  <c r="H196" i="34"/>
  <c r="G196" i="34"/>
  <c r="I195" i="34"/>
  <c r="J195" i="34" s="1"/>
  <c r="H195" i="34"/>
  <c r="G195" i="34"/>
  <c r="I193" i="34"/>
  <c r="J193" i="34" s="1"/>
  <c r="H193" i="34"/>
  <c r="G193" i="34"/>
  <c r="I192" i="34"/>
  <c r="J192" i="34" s="1"/>
  <c r="H192" i="34"/>
  <c r="G192" i="34"/>
  <c r="I191" i="34"/>
  <c r="J191" i="34" s="1"/>
  <c r="H191" i="34"/>
  <c r="G191" i="34"/>
  <c r="I190" i="34"/>
  <c r="J190" i="34" s="1"/>
  <c r="H190" i="34"/>
  <c r="G190" i="34"/>
  <c r="I188" i="34"/>
  <c r="J188" i="34" s="1"/>
  <c r="H188" i="34"/>
  <c r="G188" i="34"/>
  <c r="I187" i="34"/>
  <c r="J187" i="34" s="1"/>
  <c r="H187" i="34"/>
  <c r="G187" i="34"/>
  <c r="I186" i="34"/>
  <c r="J186" i="34" s="1"/>
  <c r="H186" i="34"/>
  <c r="G186" i="34"/>
  <c r="I184" i="34"/>
  <c r="J184" i="34" s="1"/>
  <c r="H184" i="34"/>
  <c r="G184" i="34"/>
  <c r="I183" i="34"/>
  <c r="J183" i="34" s="1"/>
  <c r="H183" i="34"/>
  <c r="G183" i="34"/>
  <c r="I181" i="34"/>
  <c r="J181" i="34" s="1"/>
  <c r="H181" i="34"/>
  <c r="G181" i="34"/>
  <c r="I180" i="34"/>
  <c r="J180" i="34" s="1"/>
  <c r="H180" i="34"/>
  <c r="G180" i="34"/>
  <c r="I179" i="34"/>
  <c r="J179" i="34" s="1"/>
  <c r="H179" i="34"/>
  <c r="G179" i="34"/>
  <c r="I177" i="34"/>
  <c r="J177" i="34" s="1"/>
  <c r="H177" i="34"/>
  <c r="G177" i="34"/>
  <c r="I176" i="34"/>
  <c r="J176" i="34" s="1"/>
  <c r="H176" i="34"/>
  <c r="G176" i="34"/>
  <c r="I175" i="34"/>
  <c r="J175" i="34" s="1"/>
  <c r="H175" i="34"/>
  <c r="G175" i="34"/>
  <c r="I174" i="34"/>
  <c r="J174" i="34" s="1"/>
  <c r="H174" i="34"/>
  <c r="G174" i="34"/>
  <c r="I173" i="34"/>
  <c r="J173" i="34" s="1"/>
  <c r="H173" i="34"/>
  <c r="G173" i="34"/>
  <c r="I171" i="34"/>
  <c r="J171" i="34" s="1"/>
  <c r="H171" i="34"/>
  <c r="G171" i="34"/>
  <c r="I170" i="34"/>
  <c r="J170" i="34" s="1"/>
  <c r="H170" i="34"/>
  <c r="G170" i="34"/>
  <c r="I168" i="34"/>
  <c r="J168" i="34" s="1"/>
  <c r="H168" i="34"/>
  <c r="G168" i="34"/>
  <c r="I167" i="34"/>
  <c r="J167" i="34" s="1"/>
  <c r="H167" i="34"/>
  <c r="G167" i="34"/>
  <c r="I166" i="34"/>
  <c r="J166" i="34" s="1"/>
  <c r="H166" i="34"/>
  <c r="G166" i="34"/>
  <c r="I165" i="34"/>
  <c r="J165" i="34" s="1"/>
  <c r="H165" i="34"/>
  <c r="G165" i="34"/>
  <c r="I164" i="34"/>
  <c r="J164" i="34" s="1"/>
  <c r="H164" i="34"/>
  <c r="G164" i="34"/>
  <c r="I162" i="34"/>
  <c r="J162" i="34" s="1"/>
  <c r="H162" i="34"/>
  <c r="G162" i="34"/>
  <c r="I161" i="34"/>
  <c r="J161" i="34" s="1"/>
  <c r="H161" i="34"/>
  <c r="G161" i="34"/>
  <c r="O160" i="34"/>
  <c r="L160" i="34"/>
  <c r="J160" i="34"/>
  <c r="I160" i="34"/>
  <c r="G160" i="34"/>
  <c r="H160" i="34" s="1"/>
  <c r="O159" i="34"/>
  <c r="L159" i="34"/>
  <c r="I159" i="34"/>
  <c r="J159" i="34" s="1"/>
  <c r="H159" i="34"/>
  <c r="G159" i="34"/>
  <c r="I158" i="34"/>
  <c r="J158" i="34" s="1"/>
  <c r="H158" i="34"/>
  <c r="G158" i="34"/>
  <c r="I132" i="34"/>
  <c r="J132" i="34" s="1"/>
  <c r="G132" i="34"/>
  <c r="H132" i="34" s="1"/>
  <c r="I131" i="34"/>
  <c r="J131" i="34" s="1"/>
  <c r="G131" i="34"/>
  <c r="H131" i="34" s="1"/>
  <c r="I130" i="34"/>
  <c r="J130" i="34" s="1"/>
  <c r="G130" i="34"/>
  <c r="H130" i="34" s="1"/>
  <c r="I129" i="34"/>
  <c r="J129" i="34" s="1"/>
  <c r="G129" i="34"/>
  <c r="H129" i="34" s="1"/>
  <c r="I128" i="34"/>
  <c r="J128" i="34" s="1"/>
  <c r="G128" i="34"/>
  <c r="H128" i="34" s="1"/>
  <c r="I127" i="34"/>
  <c r="I126" i="34"/>
  <c r="J126" i="34" s="1"/>
  <c r="H126" i="34"/>
  <c r="G126" i="34"/>
  <c r="J125" i="34"/>
  <c r="I125" i="34"/>
  <c r="H125" i="34"/>
  <c r="G125" i="34"/>
  <c r="I124" i="34"/>
  <c r="I123" i="34"/>
  <c r="J123" i="34" s="1"/>
  <c r="G123" i="34"/>
  <c r="H123" i="34" s="1"/>
  <c r="I122" i="34"/>
  <c r="J122" i="34" s="1"/>
  <c r="G122" i="34"/>
  <c r="H122" i="34" s="1"/>
  <c r="I120" i="34"/>
  <c r="J120" i="34" s="1"/>
  <c r="G120" i="34"/>
  <c r="H120" i="34" s="1"/>
  <c r="I119" i="34"/>
  <c r="J119" i="34" s="1"/>
  <c r="G119" i="34"/>
  <c r="H119" i="34" s="1"/>
  <c r="I118" i="34"/>
  <c r="J118" i="34" s="1"/>
  <c r="G118" i="34"/>
  <c r="H118" i="34" s="1"/>
  <c r="I116" i="34"/>
  <c r="J116" i="34" s="1"/>
  <c r="G116" i="34"/>
  <c r="H116" i="34" s="1"/>
  <c r="I115" i="34"/>
  <c r="J115" i="34" s="1"/>
  <c r="G115" i="34"/>
  <c r="H115" i="34" s="1"/>
  <c r="I114" i="34"/>
  <c r="J114" i="34" s="1"/>
  <c r="G114" i="34"/>
  <c r="H114" i="34" s="1"/>
  <c r="I113" i="34"/>
  <c r="J113" i="34" s="1"/>
  <c r="G113" i="34"/>
  <c r="H113" i="34" s="1"/>
  <c r="I111" i="34"/>
  <c r="J111" i="34" s="1"/>
  <c r="G111" i="34"/>
  <c r="H111" i="34" s="1"/>
  <c r="I110" i="34"/>
  <c r="J110" i="34" s="1"/>
  <c r="G110" i="34"/>
  <c r="H110" i="34" s="1"/>
  <c r="I109" i="34"/>
  <c r="J109" i="34" s="1"/>
  <c r="G109" i="34"/>
  <c r="H109" i="34" s="1"/>
  <c r="I107" i="34"/>
  <c r="J107" i="34" s="1"/>
  <c r="G107" i="34"/>
  <c r="H107" i="34" s="1"/>
  <c r="I106" i="34"/>
  <c r="J106" i="34" s="1"/>
  <c r="G106" i="34"/>
  <c r="H106" i="34" s="1"/>
  <c r="I104" i="34"/>
  <c r="J104" i="34" s="1"/>
  <c r="G104" i="34"/>
  <c r="H104" i="34" s="1"/>
  <c r="I103" i="34"/>
  <c r="J103" i="34" s="1"/>
  <c r="G103" i="34"/>
  <c r="H103" i="34" s="1"/>
  <c r="I102" i="34"/>
  <c r="J102" i="34" s="1"/>
  <c r="G102" i="34"/>
  <c r="H102" i="34" s="1"/>
  <c r="I100" i="34"/>
  <c r="J100" i="34" s="1"/>
  <c r="G100" i="34"/>
  <c r="H100" i="34" s="1"/>
  <c r="I99" i="34"/>
  <c r="J99" i="34" s="1"/>
  <c r="G99" i="34"/>
  <c r="H99" i="34" s="1"/>
  <c r="I98" i="34"/>
  <c r="J98" i="34" s="1"/>
  <c r="G98" i="34"/>
  <c r="H98" i="34" s="1"/>
  <c r="I97" i="34"/>
  <c r="J97" i="34" s="1"/>
  <c r="G97" i="34"/>
  <c r="H97" i="34" s="1"/>
  <c r="I96" i="34"/>
  <c r="J96" i="34" s="1"/>
  <c r="G96" i="34"/>
  <c r="H96" i="34" s="1"/>
  <c r="I94" i="34"/>
  <c r="J94" i="34" s="1"/>
  <c r="G94" i="34"/>
  <c r="H94" i="34" s="1"/>
  <c r="I93" i="34"/>
  <c r="J93" i="34" s="1"/>
  <c r="G93" i="34"/>
  <c r="H93" i="34" s="1"/>
  <c r="I91" i="34"/>
  <c r="J91" i="34" s="1"/>
  <c r="G91" i="34"/>
  <c r="H91" i="34" s="1"/>
  <c r="I90" i="34"/>
  <c r="J90" i="34" s="1"/>
  <c r="G90" i="34"/>
  <c r="H90" i="34" s="1"/>
  <c r="I89" i="34"/>
  <c r="J89" i="34" s="1"/>
  <c r="G89" i="34"/>
  <c r="H89" i="34" s="1"/>
  <c r="I88" i="34"/>
  <c r="J88" i="34" s="1"/>
  <c r="G88" i="34"/>
  <c r="H88" i="34" s="1"/>
  <c r="I87" i="34"/>
  <c r="J87" i="34" s="1"/>
  <c r="H87" i="34"/>
  <c r="G87" i="34"/>
  <c r="J85" i="34"/>
  <c r="I85" i="34"/>
  <c r="H85" i="34"/>
  <c r="G85" i="34"/>
  <c r="O84" i="34"/>
  <c r="O83" i="34" s="1"/>
  <c r="I84" i="34"/>
  <c r="J84" i="34" s="1"/>
  <c r="G84" i="34"/>
  <c r="H84" i="34" s="1"/>
  <c r="L83" i="34"/>
  <c r="I83" i="34"/>
  <c r="J83" i="34" s="1"/>
  <c r="G83" i="34"/>
  <c r="H83" i="34" s="1"/>
  <c r="L82" i="34"/>
  <c r="I82" i="34"/>
  <c r="J82" i="34" s="1"/>
  <c r="G82" i="34"/>
  <c r="H82" i="34" s="1"/>
  <c r="I81" i="34"/>
  <c r="J81" i="34" s="1"/>
  <c r="G81" i="34"/>
  <c r="H81" i="34" s="1"/>
  <c r="H133" i="34" s="1"/>
  <c r="H134" i="34" s="1"/>
  <c r="M23" i="34"/>
  <c r="J23" i="34"/>
  <c r="M22" i="34"/>
  <c r="J22" i="34"/>
  <c r="K187" i="32"/>
  <c r="H187" i="32"/>
  <c r="K186" i="32"/>
  <c r="G161" i="32"/>
  <c r="H161" i="32" s="1"/>
  <c r="G160" i="32"/>
  <c r="H160" i="32" s="1"/>
  <c r="G159" i="32"/>
  <c r="H159" i="32" s="1"/>
  <c r="G158" i="32"/>
  <c r="H158" i="32" s="1"/>
  <c r="G157" i="32"/>
  <c r="H157" i="32" s="1"/>
  <c r="H156" i="32"/>
  <c r="G155" i="32"/>
  <c r="H155" i="32" s="1"/>
  <c r="G154" i="32"/>
  <c r="H154" i="32" s="1"/>
  <c r="H153" i="32"/>
  <c r="G152" i="32"/>
  <c r="H152" i="32" s="1"/>
  <c r="G151" i="32"/>
  <c r="H151" i="32" s="1"/>
  <c r="H150" i="32"/>
  <c r="G149" i="32"/>
  <c r="H149" i="32" s="1"/>
  <c r="G148" i="32"/>
  <c r="H148" i="32" s="1"/>
  <c r="G147" i="32"/>
  <c r="H147" i="32" s="1"/>
  <c r="H146" i="32"/>
  <c r="G145" i="32"/>
  <c r="H145" i="32" s="1"/>
  <c r="G144" i="32"/>
  <c r="H144" i="32" s="1"/>
  <c r="G143" i="32"/>
  <c r="H143" i="32" s="1"/>
  <c r="G142" i="32"/>
  <c r="H142" i="32" s="1"/>
  <c r="H141" i="32"/>
  <c r="G140" i="32"/>
  <c r="H140" i="32" s="1"/>
  <c r="G139" i="32"/>
  <c r="H139" i="32" s="1"/>
  <c r="G138" i="32"/>
  <c r="H138" i="32" s="1"/>
  <c r="H137" i="32"/>
  <c r="G136" i="32"/>
  <c r="H136" i="32" s="1"/>
  <c r="G135" i="32"/>
  <c r="H135" i="32" s="1"/>
  <c r="H134" i="32"/>
  <c r="G133" i="32"/>
  <c r="H133" i="32" s="1"/>
  <c r="G132" i="32"/>
  <c r="H132" i="32" s="1"/>
  <c r="G131" i="32"/>
  <c r="H131" i="32" s="1"/>
  <c r="H130" i="32"/>
  <c r="G129" i="32"/>
  <c r="H129" i="32" s="1"/>
  <c r="G128" i="32"/>
  <c r="H128" i="32" s="1"/>
  <c r="G127" i="32"/>
  <c r="H127" i="32" s="1"/>
  <c r="G126" i="32"/>
  <c r="H126" i="32" s="1"/>
  <c r="G125" i="32"/>
  <c r="H125" i="32" s="1"/>
  <c r="H124" i="32"/>
  <c r="G123" i="32"/>
  <c r="H123" i="32" s="1"/>
  <c r="G122" i="32"/>
  <c r="H122" i="32" s="1"/>
  <c r="H121" i="32"/>
  <c r="J120" i="32"/>
  <c r="K120" i="32" s="1"/>
  <c r="G120" i="32"/>
  <c r="H120" i="32" s="1"/>
  <c r="J119" i="32"/>
  <c r="K119" i="32" s="1"/>
  <c r="G119" i="32"/>
  <c r="H119" i="32" s="1"/>
  <c r="J118" i="32"/>
  <c r="K118" i="32" s="1"/>
  <c r="G118" i="32"/>
  <c r="H118" i="32" s="1"/>
  <c r="J117" i="32"/>
  <c r="K117" i="32" s="1"/>
  <c r="G117" i="32"/>
  <c r="H117" i="32" s="1"/>
  <c r="J116" i="32"/>
  <c r="K116" i="32" s="1"/>
  <c r="G116" i="32"/>
  <c r="H116" i="32" s="1"/>
  <c r="H115" i="32"/>
  <c r="G114" i="32"/>
  <c r="H114" i="32" s="1"/>
  <c r="G113" i="32"/>
  <c r="H113" i="32" s="1"/>
  <c r="M112" i="32"/>
  <c r="M111" i="32" s="1"/>
  <c r="G112" i="32"/>
  <c r="H112" i="32" s="1"/>
  <c r="J111" i="32"/>
  <c r="G111" i="32"/>
  <c r="H111" i="32" s="1"/>
  <c r="J110" i="32"/>
  <c r="G110" i="32"/>
  <c r="H110" i="32" s="1"/>
  <c r="L9" i="32"/>
  <c r="I9" i="32"/>
  <c r="L8" i="32"/>
  <c r="I8" i="32"/>
  <c r="K127" i="31"/>
  <c r="H127" i="31"/>
  <c r="K126" i="31"/>
  <c r="H126" i="31"/>
  <c r="D115" i="31"/>
  <c r="D114" i="31"/>
  <c r="D113" i="31"/>
  <c r="D112" i="31"/>
  <c r="D111" i="31"/>
  <c r="D109" i="31"/>
  <c r="D108" i="31"/>
  <c r="D106" i="31"/>
  <c r="D105" i="31"/>
  <c r="D104" i="31"/>
  <c r="D103" i="31"/>
  <c r="D102" i="31"/>
  <c r="D101" i="31"/>
  <c r="D99" i="31"/>
  <c r="D98" i="31"/>
  <c r="D97" i="31"/>
  <c r="D96" i="31"/>
  <c r="D94" i="31"/>
  <c r="D93" i="31"/>
  <c r="D92" i="31"/>
  <c r="D90" i="31"/>
  <c r="D89" i="31"/>
  <c r="D87" i="31"/>
  <c r="D86" i="31"/>
  <c r="D85" i="31"/>
  <c r="D83" i="31"/>
  <c r="D82" i="31"/>
  <c r="D81" i="31"/>
  <c r="D80" i="31"/>
  <c r="D79" i="31"/>
  <c r="D77" i="31"/>
  <c r="D76" i="31"/>
  <c r="D74" i="31"/>
  <c r="D73" i="31"/>
  <c r="D72" i="31"/>
  <c r="D71" i="31"/>
  <c r="D70" i="31"/>
  <c r="D68" i="31"/>
  <c r="D67" i="31"/>
  <c r="K66" i="31"/>
  <c r="H66" i="31"/>
  <c r="D66" i="31"/>
  <c r="K65" i="31"/>
  <c r="H65" i="31"/>
  <c r="D65" i="31"/>
  <c r="D64" i="31"/>
  <c r="K7" i="31"/>
  <c r="K6" i="31"/>
  <c r="L142" i="30"/>
  <c r="I142" i="30"/>
  <c r="L141" i="30"/>
  <c r="I141" i="30"/>
  <c r="O130" i="30"/>
  <c r="N130" i="30"/>
  <c r="L130" i="30"/>
  <c r="W128" i="30"/>
  <c r="V128" i="30"/>
  <c r="V127" i="30"/>
  <c r="P127" i="30"/>
  <c r="N127" i="30"/>
  <c r="M127" i="30"/>
  <c r="W126" i="30"/>
  <c r="V126" i="30"/>
  <c r="W125" i="30"/>
  <c r="V125" i="30"/>
  <c r="P125" i="30"/>
  <c r="O125" i="30"/>
  <c r="Q125" i="30" s="1"/>
  <c r="N125" i="30"/>
  <c r="V124" i="30"/>
  <c r="O121" i="30"/>
  <c r="N121" i="30"/>
  <c r="L121" i="30"/>
  <c r="W119" i="30"/>
  <c r="V119" i="30"/>
  <c r="V118" i="30"/>
  <c r="P118" i="30"/>
  <c r="N118" i="30"/>
  <c r="M118" i="30"/>
  <c r="W117" i="30"/>
  <c r="V117" i="30"/>
  <c r="W116" i="30"/>
  <c r="V116" i="30"/>
  <c r="P116" i="30"/>
  <c r="O116" i="30"/>
  <c r="N116" i="30"/>
  <c r="Q116" i="30" s="1"/>
  <c r="V115" i="30"/>
  <c r="O104" i="30"/>
  <c r="N104" i="30"/>
  <c r="L104" i="30"/>
  <c r="W102" i="30"/>
  <c r="V102" i="30"/>
  <c r="V101" i="30"/>
  <c r="P101" i="30"/>
  <c r="N101" i="30"/>
  <c r="M101" i="30"/>
  <c r="W100" i="30"/>
  <c r="V100" i="30"/>
  <c r="W99" i="30"/>
  <c r="V99" i="30"/>
  <c r="P99" i="30"/>
  <c r="O99" i="30"/>
  <c r="Q99" i="30" s="1"/>
  <c r="N99" i="30"/>
  <c r="V98" i="30"/>
  <c r="O95" i="30"/>
  <c r="N95" i="30"/>
  <c r="L95" i="30"/>
  <c r="W93" i="30"/>
  <c r="V93" i="30"/>
  <c r="V92" i="30"/>
  <c r="P92" i="30"/>
  <c r="N92" i="30"/>
  <c r="M92" i="30"/>
  <c r="W91" i="30"/>
  <c r="V91" i="30"/>
  <c r="W90" i="30"/>
  <c r="V90" i="30"/>
  <c r="P90" i="30"/>
  <c r="O90" i="30"/>
  <c r="N90" i="30"/>
  <c r="V89" i="30"/>
  <c r="L31" i="30"/>
  <c r="L30" i="30"/>
  <c r="G19" i="30"/>
  <c r="G18" i="30"/>
  <c r="G16" i="30"/>
  <c r="K131" i="29"/>
  <c r="K130" i="29"/>
  <c r="L66" i="29"/>
  <c r="L65" i="29"/>
  <c r="L9" i="29"/>
  <c r="L8" i="29"/>
  <c r="L216" i="28"/>
  <c r="I216" i="28"/>
  <c r="L215" i="28"/>
  <c r="I215" i="28"/>
  <c r="U201" i="28"/>
  <c r="T201" i="28"/>
  <c r="R201" i="28"/>
  <c r="V198" i="28"/>
  <c r="T198" i="28"/>
  <c r="S198" i="28"/>
  <c r="V196" i="28"/>
  <c r="U196" i="28"/>
  <c r="W196" i="28" s="1"/>
  <c r="T196" i="28"/>
  <c r="U192" i="28"/>
  <c r="T192" i="28"/>
  <c r="R192" i="28"/>
  <c r="AC190" i="28"/>
  <c r="AB190" i="28"/>
  <c r="AB189" i="28"/>
  <c r="V189" i="28"/>
  <c r="T189" i="28"/>
  <c r="S189" i="28"/>
  <c r="AC188" i="28"/>
  <c r="AB188" i="28"/>
  <c r="AC187" i="28"/>
  <c r="AB187" i="28"/>
  <c r="V187" i="28"/>
  <c r="U187" i="28"/>
  <c r="W187" i="28" s="1"/>
  <c r="T187" i="28"/>
  <c r="AB186" i="28"/>
  <c r="L86" i="28"/>
  <c r="I86" i="28"/>
  <c r="L85" i="28"/>
  <c r="I85" i="28"/>
  <c r="G74" i="28"/>
  <c r="G73" i="28"/>
  <c r="G72" i="28"/>
  <c r="G71" i="28"/>
  <c r="L9" i="28"/>
  <c r="I9" i="28"/>
  <c r="L8" i="28"/>
  <c r="I8" i="28"/>
  <c r="F226" i="27"/>
  <c r="F225" i="27"/>
  <c r="F224" i="27"/>
  <c r="F223" i="27"/>
  <c r="F222" i="27"/>
  <c r="F220" i="27"/>
  <c r="F219" i="27"/>
  <c r="F217" i="27"/>
  <c r="F216" i="27"/>
  <c r="F214" i="27"/>
  <c r="F213" i="27"/>
  <c r="F212" i="27"/>
  <c r="F210" i="27"/>
  <c r="F209" i="27"/>
  <c r="F208" i="27"/>
  <c r="F207" i="27"/>
  <c r="F205" i="27"/>
  <c r="F204" i="27"/>
  <c r="F203" i="27"/>
  <c r="F201" i="27"/>
  <c r="F200" i="27"/>
  <c r="F198" i="27"/>
  <c r="F197" i="27"/>
  <c r="F196" i="27"/>
  <c r="K177" i="27"/>
  <c r="H177" i="27"/>
  <c r="K176" i="27"/>
  <c r="H176" i="27"/>
  <c r="P163" i="27"/>
  <c r="O163" i="27"/>
  <c r="M163" i="27"/>
  <c r="Q160" i="27"/>
  <c r="O160" i="27"/>
  <c r="N160" i="27"/>
  <c r="Q158" i="27"/>
  <c r="P158" i="27"/>
  <c r="R158" i="27" s="1"/>
  <c r="O158" i="27"/>
  <c r="P154" i="27"/>
  <c r="O154" i="27"/>
  <c r="M154" i="27"/>
  <c r="X152" i="27"/>
  <c r="W152" i="27"/>
  <c r="W151" i="27"/>
  <c r="Q151" i="27"/>
  <c r="O151" i="27"/>
  <c r="N151" i="27"/>
  <c r="X150" i="27"/>
  <c r="W150" i="27"/>
  <c r="X149" i="27"/>
  <c r="W149" i="27"/>
  <c r="Q149" i="27"/>
  <c r="P149" i="27"/>
  <c r="R149" i="27" s="1"/>
  <c r="O149" i="27"/>
  <c r="W148" i="27"/>
  <c r="K92" i="27"/>
  <c r="H92" i="27"/>
  <c r="K91" i="27"/>
  <c r="H91" i="27"/>
  <c r="J76" i="27"/>
  <c r="J68" i="27"/>
  <c r="K9" i="27"/>
  <c r="K8" i="27"/>
  <c r="L264" i="26"/>
  <c r="I264" i="26"/>
  <c r="L263" i="26"/>
  <c r="I263" i="26"/>
  <c r="L203" i="26"/>
  <c r="I203" i="26"/>
  <c r="L202" i="26"/>
  <c r="I202" i="26"/>
  <c r="L141" i="26"/>
  <c r="I141" i="26"/>
  <c r="L140" i="26"/>
  <c r="I140" i="26"/>
  <c r="O123" i="26"/>
  <c r="N123" i="26"/>
  <c r="L123" i="26"/>
  <c r="W121" i="26"/>
  <c r="V121" i="26"/>
  <c r="V120" i="26"/>
  <c r="P120" i="26"/>
  <c r="N120" i="26"/>
  <c r="M120" i="26"/>
  <c r="W119" i="26"/>
  <c r="V119" i="26"/>
  <c r="W118" i="26"/>
  <c r="V118" i="26"/>
  <c r="P118" i="26"/>
  <c r="O118" i="26"/>
  <c r="N118" i="26"/>
  <c r="V117" i="26"/>
  <c r="O114" i="26"/>
  <c r="N114" i="26"/>
  <c r="L114" i="26"/>
  <c r="W112" i="26"/>
  <c r="V112" i="26"/>
  <c r="V111" i="26"/>
  <c r="P111" i="26"/>
  <c r="N111" i="26"/>
  <c r="M111" i="26"/>
  <c r="W110" i="26"/>
  <c r="V110" i="26"/>
  <c r="W109" i="26"/>
  <c r="V109" i="26"/>
  <c r="P109" i="26"/>
  <c r="O109" i="26"/>
  <c r="N109" i="26"/>
  <c r="Q109" i="26" s="1"/>
  <c r="V108" i="26"/>
  <c r="O99" i="26"/>
  <c r="N99" i="26"/>
  <c r="L99" i="26"/>
  <c r="W97" i="26"/>
  <c r="V97" i="26"/>
  <c r="V96" i="26"/>
  <c r="P96" i="26"/>
  <c r="N96" i="26"/>
  <c r="M96" i="26"/>
  <c r="W95" i="26"/>
  <c r="V95" i="26"/>
  <c r="W94" i="26"/>
  <c r="V94" i="26"/>
  <c r="P94" i="26"/>
  <c r="O94" i="26"/>
  <c r="N94" i="26"/>
  <c r="V93" i="26"/>
  <c r="O90" i="26"/>
  <c r="N90" i="26"/>
  <c r="L90" i="26"/>
  <c r="W88" i="26"/>
  <c r="V88" i="26"/>
  <c r="V87" i="26"/>
  <c r="P87" i="26"/>
  <c r="N87" i="26"/>
  <c r="M87" i="26"/>
  <c r="W86" i="26"/>
  <c r="V86" i="26"/>
  <c r="W85" i="26"/>
  <c r="V85" i="26"/>
  <c r="P85" i="26"/>
  <c r="O85" i="26"/>
  <c r="N85" i="26"/>
  <c r="V84" i="26"/>
  <c r="L26" i="26"/>
  <c r="I26" i="26"/>
  <c r="I25" i="26"/>
  <c r="L9" i="25"/>
  <c r="L8" i="25"/>
  <c r="G10" i="24"/>
  <c r="G9" i="24"/>
  <c r="G7" i="24"/>
  <c r="O309" i="22"/>
  <c r="N309" i="22"/>
  <c r="L309" i="22"/>
  <c r="W307" i="22"/>
  <c r="V307" i="22"/>
  <c r="V306" i="22"/>
  <c r="P306" i="22"/>
  <c r="N306" i="22"/>
  <c r="M306" i="22"/>
  <c r="W305" i="22"/>
  <c r="V305" i="22"/>
  <c r="W304" i="22"/>
  <c r="V304" i="22"/>
  <c r="P304" i="22"/>
  <c r="O304" i="22"/>
  <c r="N304" i="22"/>
  <c r="V303" i="22"/>
  <c r="O300" i="22"/>
  <c r="N300" i="22"/>
  <c r="L300" i="22"/>
  <c r="W298" i="22"/>
  <c r="V298" i="22"/>
  <c r="V297" i="22"/>
  <c r="P297" i="22"/>
  <c r="N297" i="22"/>
  <c r="M297" i="22"/>
  <c r="W296" i="22"/>
  <c r="V296" i="22"/>
  <c r="W295" i="22"/>
  <c r="V295" i="22"/>
  <c r="P295" i="22"/>
  <c r="O295" i="22"/>
  <c r="N295" i="22"/>
  <c r="V294" i="22"/>
  <c r="K235" i="22"/>
  <c r="H235" i="22"/>
  <c r="K234" i="22"/>
  <c r="H234" i="22"/>
  <c r="K173" i="22"/>
  <c r="H173" i="22"/>
  <c r="K172" i="22"/>
  <c r="H172" i="22"/>
  <c r="K110" i="22"/>
  <c r="H110" i="22"/>
  <c r="K109" i="22"/>
  <c r="H109" i="22"/>
  <c r="O100" i="22"/>
  <c r="N100" i="22"/>
  <c r="L100" i="22"/>
  <c r="W98" i="22"/>
  <c r="V98" i="22"/>
  <c r="V97" i="22"/>
  <c r="P97" i="22"/>
  <c r="N97" i="22"/>
  <c r="M97" i="22"/>
  <c r="W96" i="22"/>
  <c r="V96" i="22"/>
  <c r="W95" i="22"/>
  <c r="V95" i="22"/>
  <c r="P95" i="22"/>
  <c r="O95" i="22"/>
  <c r="N95" i="22"/>
  <c r="V94" i="22"/>
  <c r="O91" i="22"/>
  <c r="N91" i="22"/>
  <c r="L91" i="22"/>
  <c r="W89" i="22"/>
  <c r="V89" i="22"/>
  <c r="V88" i="22"/>
  <c r="P88" i="22"/>
  <c r="N88" i="22"/>
  <c r="M88" i="22"/>
  <c r="W87" i="22"/>
  <c r="V87" i="22"/>
  <c r="W86" i="22"/>
  <c r="V86" i="22"/>
  <c r="P86" i="22"/>
  <c r="O86" i="22"/>
  <c r="N86" i="22"/>
  <c r="V85" i="22"/>
  <c r="L28" i="22"/>
  <c r="L27" i="22"/>
  <c r="L192" i="21"/>
  <c r="I192" i="21"/>
  <c r="L191" i="21"/>
  <c r="I191" i="21"/>
  <c r="L131" i="21"/>
  <c r="I131" i="21"/>
  <c r="L130" i="21"/>
  <c r="I130" i="21"/>
  <c r="L68" i="21"/>
  <c r="I68" i="21"/>
  <c r="L67" i="21"/>
  <c r="I67" i="21"/>
  <c r="L8" i="21"/>
  <c r="L7" i="21"/>
  <c r="F8" i="20"/>
  <c r="F7" i="20"/>
  <c r="G31" i="19"/>
  <c r="G30" i="19"/>
  <c r="G28" i="19"/>
  <c r="G26" i="19"/>
  <c r="G25" i="19"/>
  <c r="G23" i="19"/>
  <c r="G16" i="19"/>
  <c r="G15" i="19"/>
  <c r="G13" i="19"/>
  <c r="G11" i="19"/>
  <c r="G10" i="19"/>
  <c r="G8" i="19"/>
  <c r="L124" i="18"/>
  <c r="I124" i="18"/>
  <c r="L123" i="18"/>
  <c r="I123" i="18"/>
  <c r="E94" i="18"/>
  <c r="E93" i="18"/>
  <c r="E92" i="18"/>
  <c r="E91" i="18"/>
  <c r="E90" i="18"/>
  <c r="E88" i="18"/>
  <c r="E87" i="18"/>
  <c r="E85" i="18"/>
  <c r="E84" i="18"/>
  <c r="E82" i="18"/>
  <c r="E81" i="18"/>
  <c r="E80" i="18"/>
  <c r="E78" i="18"/>
  <c r="E77" i="18"/>
  <c r="E76" i="18"/>
  <c r="E75" i="18"/>
  <c r="E73" i="18"/>
  <c r="E72" i="18"/>
  <c r="E71" i="18"/>
  <c r="E69" i="18"/>
  <c r="E68" i="18"/>
  <c r="E66" i="18"/>
  <c r="E65" i="18"/>
  <c r="E64" i="18"/>
  <c r="E62" i="18"/>
  <c r="E61" i="18"/>
  <c r="E60" i="18"/>
  <c r="E59" i="18"/>
  <c r="E58" i="18"/>
  <c r="E56" i="18"/>
  <c r="E55" i="18"/>
  <c r="E53" i="18"/>
  <c r="E52" i="18"/>
  <c r="E51" i="18"/>
  <c r="E50" i="18"/>
  <c r="E49" i="18"/>
  <c r="E47" i="18"/>
  <c r="E46" i="18"/>
  <c r="L45" i="18"/>
  <c r="I45" i="18"/>
  <c r="E45" i="18"/>
  <c r="L44" i="18"/>
  <c r="I44" i="18"/>
  <c r="E44" i="18"/>
  <c r="E43" i="18"/>
  <c r="H23" i="16"/>
  <c r="H22" i="16"/>
  <c r="H20" i="16"/>
  <c r="G10" i="16"/>
  <c r="G9" i="16"/>
  <c r="G7" i="16"/>
  <c r="L250" i="15"/>
  <c r="I250" i="15"/>
  <c r="L249" i="15"/>
  <c r="I249" i="15"/>
  <c r="L189" i="15"/>
  <c r="I189" i="15"/>
  <c r="L188" i="15"/>
  <c r="I188" i="15"/>
  <c r="O177" i="15"/>
  <c r="N177" i="15"/>
  <c r="L177" i="15"/>
  <c r="W175" i="15"/>
  <c r="V175" i="15"/>
  <c r="V174" i="15"/>
  <c r="P174" i="15"/>
  <c r="N174" i="15"/>
  <c r="M174" i="15"/>
  <c r="W173" i="15"/>
  <c r="V173" i="15"/>
  <c r="W172" i="15"/>
  <c r="V172" i="15"/>
  <c r="P172" i="15"/>
  <c r="O172" i="15"/>
  <c r="N172" i="15"/>
  <c r="V171" i="15"/>
  <c r="O168" i="15"/>
  <c r="N168" i="15"/>
  <c r="L168" i="15"/>
  <c r="W166" i="15"/>
  <c r="V166" i="15"/>
  <c r="V165" i="15"/>
  <c r="P165" i="15"/>
  <c r="N165" i="15"/>
  <c r="M165" i="15"/>
  <c r="W164" i="15"/>
  <c r="V164" i="15"/>
  <c r="W163" i="15"/>
  <c r="V163" i="15"/>
  <c r="P163" i="15"/>
  <c r="O163" i="15"/>
  <c r="N163" i="15"/>
  <c r="V162" i="15"/>
  <c r="L104" i="15"/>
  <c r="I104" i="15"/>
  <c r="L103" i="15"/>
  <c r="I103" i="15"/>
  <c r="L26" i="15"/>
  <c r="L25" i="15"/>
  <c r="L115" i="14"/>
  <c r="L114" i="14"/>
  <c r="P104" i="14"/>
  <c r="O104" i="14"/>
  <c r="M104" i="14"/>
  <c r="X102" i="14"/>
  <c r="W102" i="14"/>
  <c r="W101" i="14"/>
  <c r="Q101" i="14"/>
  <c r="O101" i="14"/>
  <c r="N101" i="14"/>
  <c r="X100" i="14"/>
  <c r="W100" i="14"/>
  <c r="X99" i="14"/>
  <c r="W99" i="14"/>
  <c r="Q99" i="14"/>
  <c r="P99" i="14"/>
  <c r="R99" i="14" s="1"/>
  <c r="O99" i="14"/>
  <c r="W98" i="14"/>
  <c r="P95" i="14"/>
  <c r="O95" i="14"/>
  <c r="M95" i="14"/>
  <c r="X93" i="14"/>
  <c r="W93" i="14"/>
  <c r="W92" i="14"/>
  <c r="Q92" i="14"/>
  <c r="O92" i="14"/>
  <c r="N92" i="14"/>
  <c r="X91" i="14"/>
  <c r="W91" i="14"/>
  <c r="X90" i="14"/>
  <c r="W90" i="14"/>
  <c r="Q90" i="14"/>
  <c r="P90" i="14"/>
  <c r="O90" i="14"/>
  <c r="R90" i="14" s="1"/>
  <c r="W89" i="14"/>
  <c r="L7" i="14"/>
  <c r="L6" i="14"/>
  <c r="G70" i="13"/>
  <c r="G69" i="13"/>
  <c r="G67" i="13"/>
  <c r="L6" i="13"/>
  <c r="L5" i="13"/>
  <c r="G10" i="12"/>
  <c r="G9" i="12"/>
  <c r="G7" i="12"/>
  <c r="N185" i="10"/>
  <c r="N184" i="10"/>
  <c r="P176" i="10"/>
  <c r="O176" i="10"/>
  <c r="M176" i="10"/>
  <c r="X174" i="10"/>
  <c r="W174" i="10"/>
  <c r="W173" i="10"/>
  <c r="Q173" i="10"/>
  <c r="O173" i="10"/>
  <c r="N173" i="10"/>
  <c r="X172" i="10"/>
  <c r="W172" i="10"/>
  <c r="X171" i="10"/>
  <c r="W171" i="10"/>
  <c r="Q171" i="10"/>
  <c r="P171" i="10"/>
  <c r="R171" i="10" s="1"/>
  <c r="O171" i="10"/>
  <c r="W170" i="10"/>
  <c r="P167" i="10"/>
  <c r="O167" i="10"/>
  <c r="M167" i="10"/>
  <c r="X165" i="10"/>
  <c r="W165" i="10"/>
  <c r="W164" i="10"/>
  <c r="Q164" i="10"/>
  <c r="O164" i="10"/>
  <c r="N164" i="10"/>
  <c r="X163" i="10"/>
  <c r="W163" i="10"/>
  <c r="X162" i="10"/>
  <c r="W162" i="10"/>
  <c r="Q162" i="10"/>
  <c r="P162" i="10"/>
  <c r="O162" i="10"/>
  <c r="W161" i="10"/>
  <c r="I99" i="10"/>
  <c r="I98" i="10"/>
  <c r="G91" i="10"/>
  <c r="G90" i="10"/>
  <c r="G88" i="10"/>
  <c r="J87" i="10"/>
  <c r="G86" i="10"/>
  <c r="G85" i="10"/>
  <c r="J84" i="10"/>
  <c r="G83" i="10"/>
  <c r="G74" i="10"/>
  <c r="G73" i="10"/>
  <c r="G71" i="10"/>
  <c r="G69" i="10"/>
  <c r="G68" i="10"/>
  <c r="G66" i="10"/>
  <c r="L6" i="10"/>
  <c r="L5" i="10"/>
  <c r="O30" i="9"/>
  <c r="N30" i="9"/>
  <c r="L30" i="9"/>
  <c r="W28" i="9"/>
  <c r="V28" i="9"/>
  <c r="V27" i="9"/>
  <c r="P27" i="9"/>
  <c r="N27" i="9"/>
  <c r="M27" i="9"/>
  <c r="W26" i="9"/>
  <c r="V26" i="9"/>
  <c r="W25" i="9"/>
  <c r="V25" i="9"/>
  <c r="P25" i="9"/>
  <c r="O25" i="9"/>
  <c r="Q25" i="9" s="1"/>
  <c r="N25" i="9"/>
  <c r="V24" i="9"/>
  <c r="O21" i="9"/>
  <c r="N21" i="9"/>
  <c r="L21" i="9"/>
  <c r="W19" i="9"/>
  <c r="V19" i="9"/>
  <c r="V18" i="9"/>
  <c r="P18" i="9"/>
  <c r="N18" i="9"/>
  <c r="M18" i="9"/>
  <c r="W17" i="9"/>
  <c r="V17" i="9"/>
  <c r="W16" i="9"/>
  <c r="V16" i="9"/>
  <c r="P16" i="9"/>
  <c r="O16" i="9"/>
  <c r="N16" i="9"/>
  <c r="V15" i="9"/>
  <c r="G7" i="9"/>
  <c r="G6" i="9"/>
  <c r="G4" i="9"/>
  <c r="O58" i="7"/>
  <c r="K555" i="5"/>
  <c r="H555" i="5"/>
  <c r="K554" i="5"/>
  <c r="H554" i="5"/>
  <c r="D543" i="5"/>
  <c r="D542" i="5"/>
  <c r="D541" i="5"/>
  <c r="D540" i="5"/>
  <c r="D539" i="5"/>
  <c r="D537" i="5"/>
  <c r="D536" i="5"/>
  <c r="D534" i="5"/>
  <c r="D533" i="5"/>
  <c r="D531" i="5"/>
  <c r="D530" i="5"/>
  <c r="D529" i="5"/>
  <c r="D527" i="5"/>
  <c r="D526" i="5"/>
  <c r="D525" i="5"/>
  <c r="D524" i="5"/>
  <c r="D522" i="5"/>
  <c r="D521" i="5"/>
  <c r="D520" i="5"/>
  <c r="D518" i="5"/>
  <c r="D517" i="5"/>
  <c r="D516" i="5"/>
  <c r="D515" i="5"/>
  <c r="D514" i="5"/>
  <c r="D513" i="5"/>
  <c r="D511" i="5"/>
  <c r="D510" i="5"/>
  <c r="D509" i="5"/>
  <c r="D508" i="5"/>
  <c r="D507" i="5"/>
  <c r="D505" i="5"/>
  <c r="D504" i="5"/>
  <c r="D502" i="5"/>
  <c r="D501" i="5"/>
  <c r="D500" i="5"/>
  <c r="D499" i="5"/>
  <c r="D498" i="5"/>
  <c r="D496" i="5"/>
  <c r="D495" i="5"/>
  <c r="H494" i="5"/>
  <c r="D494" i="5"/>
  <c r="H493" i="5"/>
  <c r="D493" i="5"/>
  <c r="D492" i="5"/>
  <c r="K400" i="5"/>
  <c r="H400" i="5"/>
  <c r="K399" i="5"/>
  <c r="H399" i="5"/>
  <c r="K338" i="5"/>
  <c r="K337" i="5"/>
  <c r="K253" i="5"/>
  <c r="K250" i="5"/>
  <c r="G177" i="5"/>
  <c r="G176" i="5"/>
  <c r="G174" i="5"/>
  <c r="G81" i="5"/>
  <c r="G80" i="5"/>
  <c r="G78" i="5"/>
  <c r="G68" i="5"/>
  <c r="G67" i="5"/>
  <c r="G65" i="5"/>
  <c r="H56" i="5"/>
  <c r="F56" i="5"/>
  <c r="H55" i="5"/>
  <c r="F55" i="5"/>
  <c r="H54" i="5"/>
  <c r="F54" i="5"/>
  <c r="H53" i="5"/>
  <c r="F53" i="5"/>
  <c r="H52" i="5"/>
  <c r="F52" i="5"/>
  <c r="H50" i="5"/>
  <c r="F50" i="5"/>
  <c r="H49" i="5"/>
  <c r="F49" i="5"/>
  <c r="H48" i="5"/>
  <c r="F48" i="5"/>
  <c r="H46" i="5"/>
  <c r="F46" i="5"/>
  <c r="H45" i="5"/>
  <c r="F45" i="5"/>
  <c r="H43" i="5"/>
  <c r="F43" i="5"/>
  <c r="H42" i="5"/>
  <c r="F42" i="5"/>
  <c r="H41" i="5"/>
  <c r="F41" i="5"/>
  <c r="H39" i="5"/>
  <c r="F39" i="5"/>
  <c r="H38" i="5"/>
  <c r="F38" i="5"/>
  <c r="H37" i="5"/>
  <c r="F37" i="5"/>
  <c r="H36" i="5"/>
  <c r="F36" i="5"/>
  <c r="H34" i="5"/>
  <c r="F34" i="5"/>
  <c r="H33" i="5"/>
  <c r="F33" i="5"/>
  <c r="H32" i="5"/>
  <c r="F32" i="5"/>
  <c r="H30" i="5"/>
  <c r="F30" i="5"/>
  <c r="H29" i="5"/>
  <c r="F29" i="5"/>
  <c r="H27" i="5"/>
  <c r="F27" i="5"/>
  <c r="H26" i="5"/>
  <c r="F26" i="5"/>
  <c r="H25" i="5"/>
  <c r="F25" i="5"/>
  <c r="H23" i="5"/>
  <c r="F23" i="5"/>
  <c r="H22" i="5"/>
  <c r="F22" i="5"/>
  <c r="H21" i="5"/>
  <c r="F21" i="5"/>
  <c r="H20" i="5"/>
  <c r="F20" i="5"/>
  <c r="H19" i="5"/>
  <c r="F19" i="5"/>
  <c r="H17" i="5"/>
  <c r="F17" i="5"/>
  <c r="H16" i="5"/>
  <c r="F16" i="5"/>
  <c r="H15" i="5"/>
  <c r="F15" i="5"/>
  <c r="H13" i="5"/>
  <c r="F13" i="5"/>
  <c r="H12" i="5"/>
  <c r="F12" i="5"/>
  <c r="H11" i="5"/>
  <c r="F11" i="5"/>
  <c r="H10" i="5"/>
  <c r="F10" i="5"/>
  <c r="H9" i="5"/>
  <c r="F9" i="5"/>
  <c r="H7" i="5"/>
  <c r="F7" i="5"/>
  <c r="H6" i="5"/>
  <c r="F6" i="5"/>
  <c r="N5" i="5"/>
  <c r="H5" i="5"/>
  <c r="F5" i="5"/>
  <c r="N4" i="5"/>
  <c r="H4" i="5"/>
  <c r="F4" i="5"/>
  <c r="H3" i="5"/>
  <c r="F3" i="5"/>
  <c r="K111" i="4"/>
  <c r="H111" i="4"/>
  <c r="K110" i="4"/>
  <c r="H110" i="4"/>
  <c r="H103" i="4"/>
  <c r="H102" i="4"/>
  <c r="H100" i="4"/>
  <c r="L99" i="4"/>
  <c r="K99" i="4"/>
  <c r="H98" i="4"/>
  <c r="H97" i="4"/>
  <c r="L96" i="4"/>
  <c r="K96" i="4"/>
  <c r="H95" i="4"/>
  <c r="K37" i="4"/>
  <c r="H37" i="4"/>
  <c r="K36" i="4"/>
  <c r="H36" i="4"/>
  <c r="H25" i="4"/>
  <c r="H24" i="4"/>
  <c r="H22" i="4"/>
  <c r="H20" i="4"/>
  <c r="H19" i="4"/>
  <c r="H17" i="4"/>
  <c r="H12" i="4"/>
  <c r="H11" i="4"/>
  <c r="H9" i="4"/>
  <c r="H7" i="4"/>
  <c r="H6" i="4"/>
  <c r="H4" i="4"/>
  <c r="V153" i="3"/>
  <c r="U153" i="3"/>
  <c r="S153" i="3"/>
  <c r="AD151" i="3"/>
  <c r="AC151" i="3"/>
  <c r="AC150" i="3"/>
  <c r="W150" i="3"/>
  <c r="U150" i="3"/>
  <c r="T150" i="3"/>
  <c r="AD149" i="3"/>
  <c r="AC149" i="3"/>
  <c r="AD148" i="3"/>
  <c r="AC148" i="3"/>
  <c r="W148" i="3"/>
  <c r="V148" i="3"/>
  <c r="U148" i="3"/>
  <c r="AC147" i="3"/>
  <c r="V144" i="3"/>
  <c r="U144" i="3"/>
  <c r="S144" i="3"/>
  <c r="AD142" i="3"/>
  <c r="AC142" i="3"/>
  <c r="AC141" i="3"/>
  <c r="W141" i="3"/>
  <c r="U141" i="3"/>
  <c r="T141" i="3"/>
  <c r="AD140" i="3"/>
  <c r="AC140" i="3"/>
  <c r="AD139" i="3"/>
  <c r="AC139" i="3"/>
  <c r="W139" i="3"/>
  <c r="V139" i="3"/>
  <c r="X139" i="3" s="1"/>
  <c r="U139" i="3"/>
  <c r="AC138" i="3"/>
  <c r="I105" i="3"/>
  <c r="I102" i="3"/>
  <c r="F12" i="3"/>
  <c r="F11" i="3"/>
  <c r="F9" i="3"/>
  <c r="F7" i="3"/>
  <c r="F6" i="3"/>
  <c r="F4" i="3"/>
  <c r="K126" i="2"/>
  <c r="H126" i="2"/>
  <c r="K125" i="2"/>
  <c r="H125" i="2"/>
  <c r="K65" i="2"/>
  <c r="K64" i="2"/>
  <c r="F56" i="2"/>
  <c r="F55" i="2"/>
  <c r="F54" i="2"/>
  <c r="F53" i="2"/>
  <c r="F52" i="2"/>
  <c r="F50" i="2"/>
  <c r="F49" i="2"/>
  <c r="F48" i="2"/>
  <c r="F46" i="2"/>
  <c r="F45" i="2"/>
  <c r="F43" i="2"/>
  <c r="F42" i="2"/>
  <c r="F41" i="2"/>
  <c r="F39" i="2"/>
  <c r="F38" i="2"/>
  <c r="F37" i="2"/>
  <c r="F36" i="2"/>
  <c r="F34" i="2"/>
  <c r="F33" i="2"/>
  <c r="F32" i="2"/>
  <c r="F30" i="2"/>
  <c r="F29" i="2"/>
  <c r="F27" i="2"/>
  <c r="F26" i="2"/>
  <c r="F25" i="2"/>
  <c r="F23" i="2"/>
  <c r="F22" i="2"/>
  <c r="F21" i="2"/>
  <c r="F20" i="2"/>
  <c r="F19" i="2"/>
  <c r="F17" i="2"/>
  <c r="F16" i="2"/>
  <c r="F15" i="2"/>
  <c r="F13" i="2"/>
  <c r="F12" i="2"/>
  <c r="F11" i="2"/>
  <c r="F10" i="2"/>
  <c r="F9" i="2"/>
  <c r="F7" i="2"/>
  <c r="F6" i="2"/>
  <c r="F5" i="2"/>
  <c r="I4" i="2"/>
  <c r="F4" i="2"/>
  <c r="I3" i="2"/>
  <c r="F3" i="2"/>
  <c r="K183" i="1"/>
  <c r="H183" i="1"/>
  <c r="K182" i="1"/>
  <c r="H182" i="1"/>
  <c r="K124" i="1"/>
  <c r="H124" i="1"/>
  <c r="K123" i="1"/>
  <c r="H123" i="1"/>
  <c r="K70" i="1"/>
  <c r="H70" i="1"/>
  <c r="K69" i="1"/>
  <c r="H69" i="1"/>
  <c r="H4" i="1"/>
  <c r="H3" i="1"/>
  <c r="J210" i="34" l="1"/>
  <c r="Q16" i="9"/>
  <c r="Q163" i="15"/>
  <c r="Q172" i="15"/>
  <c r="P177" i="15" s="1"/>
  <c r="Q95" i="22"/>
  <c r="Q295" i="22"/>
  <c r="Q94" i="26"/>
  <c r="Q33" i="40"/>
  <c r="O35" i="40" s="1"/>
  <c r="Q35" i="40" s="1"/>
  <c r="M38" i="40" s="1"/>
  <c r="Q83" i="40"/>
  <c r="Q118" i="26"/>
  <c r="Q90" i="30"/>
  <c r="R10" i="43"/>
  <c r="P12" i="43" s="1"/>
  <c r="R12" i="43" s="1"/>
  <c r="N15" i="43" s="1"/>
  <c r="R15" i="43" s="1"/>
  <c r="R19" i="43"/>
  <c r="R50" i="43"/>
  <c r="R59" i="43"/>
  <c r="Q17" i="45"/>
  <c r="P22" i="45" s="1"/>
  <c r="Q86" i="22"/>
  <c r="Q304" i="22"/>
  <c r="Q85" i="26"/>
  <c r="J133" i="34"/>
  <c r="H210" i="34"/>
  <c r="H211" i="34" s="1"/>
  <c r="Q8" i="40"/>
  <c r="Q17" i="40"/>
  <c r="Q58" i="40"/>
  <c r="O60" i="40" s="1"/>
  <c r="Q60" i="40" s="1"/>
  <c r="M63" i="40" s="1"/>
  <c r="Q67" i="40"/>
  <c r="X148" i="3"/>
  <c r="R162" i="10"/>
  <c r="Q167" i="10" s="1"/>
  <c r="M110" i="32"/>
  <c r="H162" i="32"/>
  <c r="W144" i="3"/>
  <c r="V141" i="3"/>
  <c r="X141" i="3" s="1"/>
  <c r="T144" i="3" s="1"/>
  <c r="X144" i="3" s="1"/>
  <c r="P21" i="9"/>
  <c r="O18" i="9"/>
  <c r="P30" i="9"/>
  <c r="O27" i="9"/>
  <c r="Q27" i="9"/>
  <c r="M30" i="9" s="1"/>
  <c r="Q30" i="9" s="1"/>
  <c r="Q176" i="10"/>
  <c r="P173" i="10"/>
  <c r="R173" i="10" s="1"/>
  <c r="N176" i="10" s="1"/>
  <c r="R176" i="10" s="1"/>
  <c r="Q95" i="14"/>
  <c r="P92" i="14"/>
  <c r="Q104" i="14"/>
  <c r="P101" i="14"/>
  <c r="R101" i="14" s="1"/>
  <c r="N104" i="14" s="1"/>
  <c r="R104" i="14" s="1"/>
  <c r="P123" i="26"/>
  <c r="O120" i="26"/>
  <c r="Q154" i="27"/>
  <c r="P151" i="27"/>
  <c r="R151" i="27" s="1"/>
  <c r="N154" i="27" s="1"/>
  <c r="R154" i="27" s="1"/>
  <c r="P160" i="27"/>
  <c r="R160" i="27" s="1"/>
  <c r="N163" i="27" s="1"/>
  <c r="Q163" i="27"/>
  <c r="V192" i="28"/>
  <c r="U189" i="28"/>
  <c r="W189" i="28"/>
  <c r="S192" i="28" s="1"/>
  <c r="W192" i="28" s="1"/>
  <c r="U198" i="28"/>
  <c r="V201" i="28"/>
  <c r="W198" i="28"/>
  <c r="S201" i="28" s="1"/>
  <c r="P95" i="30"/>
  <c r="O92" i="30"/>
  <c r="P104" i="30"/>
  <c r="O101" i="30"/>
  <c r="Q101" i="30"/>
  <c r="M104" i="30" s="1"/>
  <c r="Q104" i="30" s="1"/>
  <c r="P121" i="30"/>
  <c r="O118" i="30"/>
  <c r="P130" i="30"/>
  <c r="O127" i="30"/>
  <c r="Q127" i="30" s="1"/>
  <c r="M130" i="30" s="1"/>
  <c r="Q130" i="30" s="1"/>
  <c r="W153" i="3"/>
  <c r="V150" i="3"/>
  <c r="X150" i="3"/>
  <c r="T153" i="3" s="1"/>
  <c r="X153" i="3" s="1"/>
  <c r="Q18" i="9"/>
  <c r="M21" i="9" s="1"/>
  <c r="Q21" i="9" s="1"/>
  <c r="R92" i="14"/>
  <c r="N95" i="14" s="1"/>
  <c r="R95" i="14" s="1"/>
  <c r="P168" i="15"/>
  <c r="O165" i="15"/>
  <c r="Q165" i="15" s="1"/>
  <c r="M168" i="15" s="1"/>
  <c r="Q168" i="15" s="1"/>
  <c r="P91" i="22"/>
  <c r="O88" i="22"/>
  <c r="Q88" i="22" s="1"/>
  <c r="M91" i="22" s="1"/>
  <c r="P100" i="22"/>
  <c r="O97" i="22"/>
  <c r="Q97" i="22" s="1"/>
  <c r="M100" i="22" s="1"/>
  <c r="Q100" i="22" s="1"/>
  <c r="P300" i="22"/>
  <c r="O297" i="22"/>
  <c r="Q297" i="22" s="1"/>
  <c r="M300" i="22" s="1"/>
  <c r="P309" i="22"/>
  <c r="O306" i="22"/>
  <c r="Q306" i="22"/>
  <c r="M309" i="22" s="1"/>
  <c r="Q309" i="22" s="1"/>
  <c r="P90" i="26"/>
  <c r="O87" i="26"/>
  <c r="Q87" i="26" s="1"/>
  <c r="M90" i="26" s="1"/>
  <c r="P99" i="26"/>
  <c r="O96" i="26"/>
  <c r="Q96" i="26" s="1"/>
  <c r="M99" i="26" s="1"/>
  <c r="Q99" i="26" s="1"/>
  <c r="P114" i="26"/>
  <c r="O111" i="26"/>
  <c r="Q111" i="26" s="1"/>
  <c r="M114" i="26" s="1"/>
  <c r="Q120" i="26"/>
  <c r="M123" i="26" s="1"/>
  <c r="Q123" i="26" s="1"/>
  <c r="Q92" i="30"/>
  <c r="M95" i="30" s="1"/>
  <c r="Q95" i="30" s="1"/>
  <c r="Q118" i="30"/>
  <c r="M121" i="30" s="1"/>
  <c r="Q121" i="30" s="1"/>
  <c r="O82" i="34"/>
  <c r="P12" i="42"/>
  <c r="O9" i="42"/>
  <c r="Q9" i="42" s="1"/>
  <c r="M12" i="42" s="1"/>
  <c r="Q12" i="42" s="1"/>
  <c r="P21" i="42"/>
  <c r="O18" i="42"/>
  <c r="Q15" i="43"/>
  <c r="Q24" i="43"/>
  <c r="P21" i="43"/>
  <c r="Q35" i="43"/>
  <c r="P32" i="43"/>
  <c r="R32" i="43" s="1"/>
  <c r="N35" i="43" s="1"/>
  <c r="R35" i="43" s="1"/>
  <c r="Q44" i="43"/>
  <c r="P41" i="43"/>
  <c r="R41" i="43" s="1"/>
  <c r="N44" i="43" s="1"/>
  <c r="R44" i="43" s="1"/>
  <c r="Q55" i="43"/>
  <c r="P52" i="43"/>
  <c r="R52" i="43" s="1"/>
  <c r="N55" i="43" s="1"/>
  <c r="Q64" i="43"/>
  <c r="P61" i="43"/>
  <c r="R61" i="43" s="1"/>
  <c r="N64" i="43" s="1"/>
  <c r="Q75" i="43"/>
  <c r="P72" i="43"/>
  <c r="R72" i="43"/>
  <c r="N75" i="43" s="1"/>
  <c r="R75" i="43" s="1"/>
  <c r="Q84" i="43"/>
  <c r="P81" i="43"/>
  <c r="P73" i="44"/>
  <c r="O70" i="44"/>
  <c r="Q70" i="44" s="1"/>
  <c r="M73" i="44" s="1"/>
  <c r="Q73" i="44" s="1"/>
  <c r="P82" i="44"/>
  <c r="O79" i="44"/>
  <c r="P13" i="45"/>
  <c r="O10" i="45"/>
  <c r="Q10" i="45"/>
  <c r="M13" i="45" s="1"/>
  <c r="Q13" i="45" s="1"/>
  <c r="P12" i="46"/>
  <c r="O9" i="46"/>
  <c r="Q9" i="46" s="1"/>
  <c r="M12" i="46" s="1"/>
  <c r="Q12" i="46" s="1"/>
  <c r="P13" i="40"/>
  <c r="O10" i="40"/>
  <c r="Q10" i="40"/>
  <c r="M13" i="40" s="1"/>
  <c r="Q13" i="40" s="1"/>
  <c r="P22" i="40"/>
  <c r="O19" i="40"/>
  <c r="Q19" i="40" s="1"/>
  <c r="M22" i="40" s="1"/>
  <c r="P47" i="40"/>
  <c r="O44" i="40"/>
  <c r="Q44" i="40" s="1"/>
  <c r="M47" i="40" s="1"/>
  <c r="P72" i="40"/>
  <c r="O69" i="40"/>
  <c r="Q69" i="40" s="1"/>
  <c r="M72" i="40" s="1"/>
  <c r="P88" i="40"/>
  <c r="O85" i="40"/>
  <c r="Q85" i="40" s="1"/>
  <c r="M88" i="40" s="1"/>
  <c r="Q88" i="40" s="1"/>
  <c r="P97" i="40"/>
  <c r="O94" i="40"/>
  <c r="Q94" i="40" s="1"/>
  <c r="M97" i="40" s="1"/>
  <c r="Q97" i="40" s="1"/>
  <c r="Q18" i="42"/>
  <c r="M21" i="42" s="1"/>
  <c r="Q21" i="42" s="1"/>
  <c r="R21" i="43"/>
  <c r="N24" i="43" s="1"/>
  <c r="R24" i="43" s="1"/>
  <c r="R81" i="43"/>
  <c r="N84" i="43" s="1"/>
  <c r="Q79" i="44"/>
  <c r="M82" i="44" s="1"/>
  <c r="O174" i="15" l="1"/>
  <c r="Q174" i="15" s="1"/>
  <c r="M177" i="15" s="1"/>
  <c r="Q177" i="15" s="1"/>
  <c r="R84" i="43"/>
  <c r="Q72" i="40"/>
  <c r="P63" i="40"/>
  <c r="Q63" i="40" s="1"/>
  <c r="P38" i="40"/>
  <c r="Q38" i="40" s="1"/>
  <c r="O19" i="45"/>
  <c r="Q19" i="45" s="1"/>
  <c r="M22" i="45" s="1"/>
  <c r="Q22" i="45" s="1"/>
  <c r="R55" i="43"/>
  <c r="Q114" i="26"/>
  <c r="Q90" i="26"/>
  <c r="P164" i="10"/>
  <c r="R164" i="10" s="1"/>
  <c r="N167" i="10" s="1"/>
  <c r="R167" i="10" s="1"/>
  <c r="Q47" i="40"/>
  <c r="Q22" i="40"/>
  <c r="Q300" i="22"/>
  <c r="Q91" i="22"/>
  <c r="Q82" i="44"/>
  <c r="R64" i="43"/>
  <c r="W201" i="28"/>
  <c r="R163" i="27"/>
  <c r="C209" i="39"/>
</calcChain>
</file>

<file path=xl/sharedStrings.xml><?xml version="1.0" encoding="utf-8"?>
<sst xmlns="http://schemas.openxmlformats.org/spreadsheetml/2006/main" count="13309" uniqueCount="1528">
  <si>
    <t>TESTIGO</t>
  </si>
  <si>
    <t>COLOR</t>
  </si>
  <si>
    <t>VALOR ESPERADO</t>
  </si>
  <si>
    <t>VALOR MEDICIÓN</t>
  </si>
  <si>
    <t>Error %</t>
  </si>
  <si>
    <t>HUMEDAD</t>
  </si>
  <si>
    <t>RETROREFLECTOMETRO VERTICAL</t>
  </si>
  <si>
    <t>P16</t>
  </si>
  <si>
    <t>Geometria de 15º</t>
  </si>
  <si>
    <t>Amarillo I.</t>
  </si>
  <si>
    <t>Geometria de 15°</t>
  </si>
  <si>
    <t>Patron</t>
  </si>
  <si>
    <t>Blanco</t>
  </si>
  <si>
    <t>MÁXIMO</t>
  </si>
  <si>
    <r>
      <t>mCd/l/m</t>
    </r>
    <r>
      <rPr>
        <b/>
        <vertAlign val="superscript"/>
        <sz val="10"/>
        <rFont val="Arial"/>
      </rPr>
      <t>2</t>
    </r>
  </si>
  <si>
    <r>
      <t>mCd/l/m</t>
    </r>
    <r>
      <rPr>
        <b/>
        <vertAlign val="superscript"/>
        <sz val="10"/>
        <rFont val="Arial"/>
      </rPr>
      <t>2</t>
    </r>
  </si>
  <si>
    <r>
      <t>mCd/l/m</t>
    </r>
    <r>
      <rPr>
        <b/>
        <vertAlign val="superscript"/>
        <sz val="10"/>
        <rFont val="Arial"/>
      </rPr>
      <t>2</t>
    </r>
  </si>
  <si>
    <t>P33</t>
  </si>
  <si>
    <t>Negro</t>
  </si>
  <si>
    <t>MÍNIMO</t>
  </si>
  <si>
    <r>
      <t>mCd/l/m</t>
    </r>
    <r>
      <rPr>
        <b/>
        <vertAlign val="superscript"/>
        <sz val="10"/>
        <rFont val="Arial"/>
      </rPr>
      <t>2</t>
    </r>
  </si>
  <si>
    <t>QSQ</t>
  </si>
  <si>
    <t xml:space="preserve">Amarillo </t>
  </si>
  <si>
    <t>Geometria de 30°</t>
  </si>
  <si>
    <r>
      <t>mCd/l/m</t>
    </r>
    <r>
      <rPr>
        <b/>
        <vertAlign val="superscript"/>
        <sz val="10"/>
        <rFont val="Arial"/>
      </rPr>
      <t>2</t>
    </r>
  </si>
  <si>
    <r>
      <t>mCd/l/m</t>
    </r>
    <r>
      <rPr>
        <b/>
        <vertAlign val="superscript"/>
        <sz val="10"/>
        <rFont val="Arial"/>
      </rPr>
      <t>2</t>
    </r>
  </si>
  <si>
    <t>p32</t>
  </si>
  <si>
    <t>PROMEDIO</t>
  </si>
  <si>
    <r>
      <t>mCd/l/m</t>
    </r>
    <r>
      <rPr>
        <b/>
        <vertAlign val="superscript"/>
        <sz val="10"/>
        <rFont val="Arial"/>
      </rPr>
      <t>2</t>
    </r>
  </si>
  <si>
    <t>Geometria de 30º</t>
  </si>
  <si>
    <r>
      <t>mCd/l/m</t>
    </r>
    <r>
      <rPr>
        <b/>
        <vertAlign val="superscript"/>
        <sz val="10"/>
        <rFont val="Arial"/>
      </rPr>
      <t>2</t>
    </r>
  </si>
  <si>
    <r>
      <t>mCd/l/m</t>
    </r>
    <r>
      <rPr>
        <b/>
        <vertAlign val="superscript"/>
        <sz val="10"/>
        <rFont val="Arial"/>
      </rPr>
      <t>2</t>
    </r>
  </si>
  <si>
    <t>p34</t>
  </si>
  <si>
    <t>P37</t>
  </si>
  <si>
    <r>
      <t>mCd/l/m</t>
    </r>
    <r>
      <rPr>
        <b/>
        <vertAlign val="superscript"/>
        <sz val="10"/>
        <rFont val="Arial"/>
      </rPr>
      <t>2</t>
    </r>
  </si>
  <si>
    <t>P18</t>
  </si>
  <si>
    <t>Amarillo O.</t>
  </si>
  <si>
    <t>P20</t>
  </si>
  <si>
    <t>P17</t>
  </si>
  <si>
    <t>P19</t>
  </si>
  <si>
    <t>2 de Septiembre de 2016</t>
  </si>
  <si>
    <t>P15</t>
  </si>
  <si>
    <t>VALOR REFERENCIA</t>
  </si>
  <si>
    <t>VALOR LLEGADA</t>
  </si>
  <si>
    <t>VALOR CALIBRACIÓN</t>
  </si>
  <si>
    <t>RETROREFLECTOMETRO HORIZONTAL</t>
  </si>
  <si>
    <t>P29</t>
  </si>
  <si>
    <t>Blanco I.</t>
  </si>
  <si>
    <t>P28</t>
  </si>
  <si>
    <t>P30</t>
  </si>
  <si>
    <t>p36</t>
  </si>
  <si>
    <t>Blanco O.</t>
  </si>
  <si>
    <t>Anterior</t>
  </si>
  <si>
    <t>Nuevo</t>
  </si>
  <si>
    <t>P4</t>
  </si>
  <si>
    <t>p31</t>
  </si>
  <si>
    <t>p3</t>
  </si>
  <si>
    <t>p5</t>
  </si>
  <si>
    <r>
      <t>mCd/l/m</t>
    </r>
    <r>
      <rPr>
        <b/>
        <vertAlign val="superscript"/>
        <sz val="10"/>
        <rFont val="Arial"/>
      </rPr>
      <t>2</t>
    </r>
  </si>
  <si>
    <t>Amarillo QSQ</t>
  </si>
  <si>
    <t>P27</t>
  </si>
  <si>
    <r>
      <t>mCd/l/m</t>
    </r>
    <r>
      <rPr>
        <b/>
        <vertAlign val="superscript"/>
        <sz val="10"/>
        <rFont val="Arial"/>
      </rPr>
      <t>2</t>
    </r>
  </si>
  <si>
    <t>Naranja I.</t>
  </si>
  <si>
    <t>Blanco QSQ</t>
  </si>
  <si>
    <t>P24</t>
  </si>
  <si>
    <t>P26</t>
  </si>
  <si>
    <t>P39</t>
  </si>
  <si>
    <r>
      <t>mCd/l/m</t>
    </r>
    <r>
      <rPr>
        <b/>
        <vertAlign val="superscript"/>
        <sz val="10"/>
        <rFont val="Arial"/>
      </rPr>
      <t>2</t>
    </r>
  </si>
  <si>
    <t>Naranja O.</t>
  </si>
  <si>
    <t>P38</t>
  </si>
  <si>
    <r>
      <t>mCd/l/m</t>
    </r>
    <r>
      <rPr>
        <b/>
        <vertAlign val="superscript"/>
        <sz val="10"/>
        <rFont val="Arial"/>
      </rPr>
      <t>2</t>
    </r>
  </si>
  <si>
    <t>Rojo I.</t>
  </si>
  <si>
    <t>P6</t>
  </si>
  <si>
    <t>P7</t>
  </si>
  <si>
    <t>09 de Septiembre de 2016</t>
  </si>
  <si>
    <t>SLH-010</t>
  </si>
  <si>
    <t>P8</t>
  </si>
  <si>
    <t>Rojo O.</t>
  </si>
  <si>
    <t>P40</t>
  </si>
  <si>
    <t>P41</t>
  </si>
  <si>
    <t>P9</t>
  </si>
  <si>
    <t>P48a</t>
  </si>
  <si>
    <t>Azul I.</t>
  </si>
  <si>
    <t>P45</t>
  </si>
  <si>
    <t>P47</t>
  </si>
  <si>
    <r>
      <t>mCd/l/m</t>
    </r>
    <r>
      <rPr>
        <b/>
        <vertAlign val="superscript"/>
        <sz val="10"/>
        <rFont val="Arial"/>
      </rPr>
      <t>2</t>
    </r>
  </si>
  <si>
    <t>P23</t>
  </si>
  <si>
    <t>Azul O.</t>
  </si>
  <si>
    <t>P23A</t>
  </si>
  <si>
    <t>P10</t>
  </si>
  <si>
    <t>Verde I.</t>
  </si>
  <si>
    <t>P11</t>
  </si>
  <si>
    <t>ART</t>
  </si>
  <si>
    <r>
      <t>mCd/l/m</t>
    </r>
    <r>
      <rPr>
        <b/>
        <vertAlign val="superscript"/>
        <sz val="10"/>
        <rFont val="Arial"/>
      </rPr>
      <t>2</t>
    </r>
  </si>
  <si>
    <t>P43</t>
  </si>
  <si>
    <t>Verde O.</t>
  </si>
  <si>
    <t>P44</t>
  </si>
  <si>
    <t>P14</t>
  </si>
  <si>
    <t>P13</t>
  </si>
  <si>
    <t>P42</t>
  </si>
  <si>
    <t>SLV-015</t>
  </si>
  <si>
    <t>31 de Julio de 2017</t>
  </si>
  <si>
    <t>SLH-031</t>
  </si>
  <si>
    <r>
      <t>mCd/l/m</t>
    </r>
    <r>
      <rPr>
        <b/>
        <vertAlign val="superscript"/>
        <sz val="10"/>
        <rFont val="Arial"/>
      </rPr>
      <t>2</t>
    </r>
  </si>
  <si>
    <r>
      <t>mCd/l/m</t>
    </r>
    <r>
      <rPr>
        <b/>
        <vertAlign val="superscript"/>
        <sz val="10"/>
        <rFont val="Arial"/>
      </rPr>
      <t>2</t>
    </r>
  </si>
  <si>
    <r>
      <t>mCd/l/m</t>
    </r>
    <r>
      <rPr>
        <b/>
        <vertAlign val="superscript"/>
        <sz val="10"/>
        <rFont val="Arial"/>
      </rPr>
      <t>2</t>
    </r>
  </si>
  <si>
    <t>Llegada</t>
  </si>
  <si>
    <t>Salida</t>
  </si>
  <si>
    <r>
      <t>mCd/l/m</t>
    </r>
    <r>
      <rPr>
        <b/>
        <vertAlign val="superscript"/>
        <sz val="10"/>
        <rFont val="Arial"/>
      </rPr>
      <t>2</t>
    </r>
  </si>
  <si>
    <t xml:space="preserve">Pulsador dañado </t>
  </si>
  <si>
    <r>
      <t>Cd/l/m</t>
    </r>
    <r>
      <rPr>
        <b/>
        <vertAlign val="superscript"/>
        <sz val="10"/>
        <rFont val="Arial"/>
      </rPr>
      <t>2</t>
    </r>
  </si>
  <si>
    <t>1 de Agosto de 2017</t>
  </si>
  <si>
    <r>
      <t>Cd/l/m</t>
    </r>
    <r>
      <rPr>
        <b/>
        <vertAlign val="superscript"/>
        <sz val="10"/>
        <rFont val="Arial"/>
      </rPr>
      <t>2</t>
    </r>
  </si>
  <si>
    <r>
      <t>Cd/l/m</t>
    </r>
    <r>
      <rPr>
        <b/>
        <vertAlign val="superscript"/>
        <sz val="10"/>
        <rFont val="Arial"/>
      </rPr>
      <t>2</t>
    </r>
  </si>
  <si>
    <r>
      <t>Cd/l/m</t>
    </r>
    <r>
      <rPr>
        <b/>
        <vertAlign val="superscript"/>
        <sz val="10"/>
        <rFont val="Arial"/>
      </rPr>
      <t>2</t>
    </r>
  </si>
  <si>
    <t xml:space="preserve">EQUIPO: </t>
  </si>
  <si>
    <r>
      <t>Cd/l/m</t>
    </r>
    <r>
      <rPr>
        <b/>
        <vertAlign val="superscript"/>
        <sz val="10"/>
        <rFont val="Arial"/>
      </rPr>
      <t>2</t>
    </r>
  </si>
  <si>
    <t>SLV-018</t>
  </si>
  <si>
    <r>
      <t>Cd/l/m</t>
    </r>
    <r>
      <rPr>
        <b/>
        <vertAlign val="superscript"/>
        <sz val="10"/>
        <rFont val="Arial"/>
      </rPr>
      <t>2</t>
    </r>
  </si>
  <si>
    <t>Fecha Llegada: 13 de marzo de 2017</t>
  </si>
  <si>
    <r>
      <t>mCd/l/m</t>
    </r>
    <r>
      <rPr>
        <b/>
        <vertAlign val="superscript"/>
        <sz val="10"/>
        <rFont val="Arial"/>
      </rPr>
      <t>2</t>
    </r>
  </si>
  <si>
    <t>MEDIDO</t>
  </si>
  <si>
    <r>
      <t>Cd/l/m</t>
    </r>
    <r>
      <rPr>
        <b/>
        <vertAlign val="superscript"/>
        <sz val="10"/>
        <rFont val="Arial"/>
      </rPr>
      <t>2</t>
    </r>
  </si>
  <si>
    <r>
      <t>mCd/l/m</t>
    </r>
    <r>
      <rPr>
        <b/>
        <vertAlign val="superscript"/>
        <sz val="10"/>
        <rFont val="Arial"/>
      </rPr>
      <t>2</t>
    </r>
  </si>
  <si>
    <r>
      <t>Cd/l/m</t>
    </r>
    <r>
      <rPr>
        <b/>
        <vertAlign val="superscript"/>
        <sz val="10"/>
        <rFont val="Arial"/>
      </rPr>
      <t>2</t>
    </r>
  </si>
  <si>
    <t>VALOR SALIDA</t>
  </si>
  <si>
    <t>No carga</t>
  </si>
  <si>
    <t>11 de Septiembre de 2017</t>
  </si>
  <si>
    <t>Se eleva el nivel de ganancia en el retro, los demas parametros se comportan bien a excepción del pin 3 que se encuentra con un voltaje bajo.</t>
  </si>
  <si>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</si>
  <si>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</si>
  <si>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</si>
  <si>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</si>
  <si>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</si>
  <si>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</si>
  <si>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</si>
  <si>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</si>
  <si>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SLH-034</t>
  </si>
  <si>
    <r>
      <t>Cd/l/m</t>
    </r>
    <r>
      <rPr>
        <b/>
        <vertAlign val="superscript"/>
        <sz val="10"/>
        <rFont val="Arial"/>
      </rPr>
      <t>2</t>
    </r>
  </si>
  <si>
    <t>Equipo bastante sensible. El equipo oscila en pequeños valores por encima de los valores nominales.</t>
  </si>
  <si>
    <r>
      <t>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</si>
  <si>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</si>
  <si>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</si>
  <si>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</si>
  <si>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</si>
  <si>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26 de  Septiembre del 2017</t>
  </si>
  <si>
    <t>El equipo llega por garantia y calibración. Al equipo no le funciona el boton de enter; el problema es por falta de contacto en uno de los cables con la main board</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</si>
  <si>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</si>
  <si>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</si>
  <si>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</si>
  <si>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</si>
  <si>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Fecha Llegada: 25 de Septiembre de 2018</t>
  </si>
  <si>
    <t>13 de junio de 2018</t>
  </si>
  <si>
    <t>VALORES DE CALIBRACIÓN</t>
  </si>
  <si>
    <t>VALORES DE VOLTAJE</t>
  </si>
  <si>
    <t>P21</t>
  </si>
  <si>
    <t xml:space="preserve">llega midiendo 65536 pero si da el valor de temperatura. Se procede a rehacer calibracion electroinca </t>
  </si>
  <si>
    <t>Geometria 15</t>
  </si>
  <si>
    <r>
      <t>Cd/l/m</t>
    </r>
    <r>
      <rPr>
        <b/>
        <vertAlign val="superscript"/>
        <sz val="10"/>
        <rFont val="Arial"/>
      </rPr>
      <t>2</t>
    </r>
  </si>
  <si>
    <r>
      <t>Cd/l/m</t>
    </r>
    <r>
      <rPr>
        <b/>
        <vertAlign val="superscript"/>
        <sz val="10"/>
        <rFont val="Arial"/>
      </rPr>
      <t>2</t>
    </r>
  </si>
  <si>
    <t>PATRÓN</t>
  </si>
  <si>
    <t>VOLTAJE DEL SENSOR (V)</t>
  </si>
  <si>
    <t>VOLTAJE AL dsPIC (V)</t>
  </si>
  <si>
    <t>GANANCIA</t>
  </si>
  <si>
    <r>
      <t>Cd/l/m</t>
    </r>
    <r>
      <rPr>
        <b/>
        <vertAlign val="superscript"/>
        <sz val="10"/>
        <rFont val="Arial"/>
      </rPr>
      <t>2</t>
    </r>
  </si>
  <si>
    <t>RELACION PATRONES (%)</t>
  </si>
  <si>
    <r>
      <t>Cd/l/m</t>
    </r>
    <r>
      <rPr>
        <b/>
        <vertAlign val="superscript"/>
        <sz val="10"/>
        <rFont val="Arial"/>
      </rPr>
      <t>2</t>
    </r>
  </si>
  <si>
    <t>Fecha Llegada: 7 de Septiembre de 2018</t>
  </si>
  <si>
    <t>rr</t>
  </si>
  <si>
    <t>ro</t>
  </si>
  <si>
    <r>
      <t>Cd/l/m</t>
    </r>
    <r>
      <rPr>
        <b/>
        <vertAlign val="superscript"/>
        <sz val="10"/>
        <rFont val="Arial"/>
      </rPr>
      <t>2</t>
    </r>
  </si>
  <si>
    <t>ADC_blanco</t>
  </si>
  <si>
    <t xml:space="preserve">ADC_negro </t>
  </si>
  <si>
    <t>medida</t>
  </si>
  <si>
    <r>
      <t>Cd/l/m</t>
    </r>
    <r>
      <rPr>
        <b/>
        <vertAlign val="superscript"/>
        <sz val="10"/>
        <rFont val="Arial"/>
      </rPr>
      <t>2</t>
    </r>
  </si>
  <si>
    <t>PATRON</t>
  </si>
  <si>
    <t>patron</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</si>
  <si>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</si>
  <si>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</si>
  <si>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</si>
  <si>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</si>
  <si>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</si>
  <si>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</si>
  <si>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</si>
  <si>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</si>
  <si>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</si>
  <si>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</si>
  <si>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</si>
  <si>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amarillo QSQ</t>
  </si>
  <si>
    <r>
      <t>mCd/l/m</t>
    </r>
    <r>
      <rPr>
        <b/>
        <vertAlign val="superscript"/>
        <sz val="10"/>
        <rFont val="Arial"/>
      </rPr>
      <t>2</t>
    </r>
  </si>
  <si>
    <t>ADC_negro</t>
  </si>
  <si>
    <t>rp</t>
  </si>
  <si>
    <t>OFFSET</t>
  </si>
  <si>
    <t>blanco QSQ</t>
  </si>
  <si>
    <t>negro</t>
  </si>
  <si>
    <r>
      <t>mCd/l/m</t>
    </r>
    <r>
      <rPr>
        <b/>
        <vertAlign val="superscript"/>
        <sz val="10"/>
        <rFont val="Arial"/>
      </rPr>
      <t>2</t>
    </r>
  </si>
  <si>
    <t>corte</t>
  </si>
  <si>
    <t>VPISO</t>
  </si>
  <si>
    <r>
      <t>mCd/l/m</t>
    </r>
    <r>
      <rPr>
        <b/>
        <vertAlign val="superscript"/>
        <sz val="10"/>
        <rFont val="Arial"/>
      </rPr>
      <t>2</t>
    </r>
  </si>
  <si>
    <t>vcorte</t>
  </si>
  <si>
    <t>ab</t>
  </si>
  <si>
    <t>an</t>
  </si>
  <si>
    <t>RC</t>
  </si>
  <si>
    <t>Geometria 30</t>
  </si>
  <si>
    <t xml:space="preserve">Geometria 30 </t>
  </si>
  <si>
    <t>SLH-017</t>
  </si>
  <si>
    <t xml:space="preserve">Diferencia </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</si>
  <si>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</si>
  <si>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</si>
  <si>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</si>
  <si>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</si>
  <si>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25 de Octubre de 2018</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</si>
  <si>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</si>
  <si>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</si>
  <si>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</si>
  <si>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</si>
  <si>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</si>
  <si>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</si>
  <si>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Piso</t>
  </si>
  <si>
    <r>
      <t>Cd/l/m</t>
    </r>
    <r>
      <rPr>
        <b/>
        <vertAlign val="superscript"/>
        <sz val="10"/>
        <rFont val="Arial"/>
      </rPr>
      <t>2</t>
    </r>
  </si>
  <si>
    <r>
      <t>Cd/l/m</t>
    </r>
    <r>
      <rPr>
        <b/>
        <vertAlign val="superscript"/>
        <sz val="10"/>
        <rFont val="Arial"/>
      </rPr>
      <t>2</t>
    </r>
  </si>
  <si>
    <t>SLV-001</t>
  </si>
  <si>
    <t>Fecha Llegada: 5 de Mayo de 2019</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</si>
  <si>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</si>
  <si>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</si>
  <si>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</si>
  <si>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</si>
  <si>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</si>
  <si>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</si>
  <si>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</si>
  <si>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</si>
  <si>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</si>
  <si>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</si>
  <si>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</si>
  <si>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</si>
  <si>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</si>
  <si>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</si>
  <si>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</si>
  <si>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</si>
  <si>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</si>
  <si>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</si>
  <si>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t xml:space="preserve">Fecha Salida </t>
  </si>
  <si>
    <t>29-1-19</t>
  </si>
  <si>
    <t>S</t>
  </si>
  <si>
    <r>
      <t>mCd/l/m</t>
    </r>
    <r>
      <rPr>
        <b/>
        <vertAlign val="superscript"/>
        <sz val="10"/>
        <rFont val="Arial"/>
      </rPr>
      <t>2</t>
    </r>
  </si>
  <si>
    <t>Fecha Llegada: 17 de agosto 2016</t>
  </si>
  <si>
    <r>
      <t>mCd/l/m</t>
    </r>
    <r>
      <rPr>
        <b/>
        <vertAlign val="superscript"/>
        <sz val="10"/>
        <rFont val="Arial"/>
      </rPr>
      <t>2</t>
    </r>
  </si>
  <si>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</si>
  <si>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</si>
  <si>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</si>
  <si>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</si>
  <si>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</si>
  <si>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</si>
  <si>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</si>
  <si>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</si>
  <si>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</si>
  <si>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</si>
  <si>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</si>
  <si>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</si>
  <si>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</si>
  <si>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</si>
  <si>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</si>
  <si>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</si>
  <si>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</si>
  <si>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</si>
  <si>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Fecha Llegada: 06 de Septiembre 2016</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</si>
  <si>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</si>
  <si>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</si>
  <si>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</si>
  <si>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</si>
  <si>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SLH-014</t>
  </si>
  <si>
    <t>slh-004</t>
  </si>
  <si>
    <t>Fecha Llegada: 23 de Septiembre 2016</t>
  </si>
  <si>
    <t>Fecha de llegada: 17 de Octubre de 2017</t>
  </si>
  <si>
    <t>Fecha de intervención: 24 de Octubre de 2017</t>
  </si>
  <si>
    <t>Geometria de 15m</t>
  </si>
  <si>
    <t>El equipo llega presentando el mensaje de: "medidas incorrectas" debido a factores que mantienen elevada la ganancia. El equipo llega con el certificado de calibración vencido. Se cambia leds de la óptica debido a que estos se encuentran averiados y no permiten el buen funcionamiento del equipo.</t>
  </si>
  <si>
    <t>N/A</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</si>
  <si>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</si>
  <si>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</si>
  <si>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</si>
  <si>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</si>
  <si>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SLV-007</t>
  </si>
  <si>
    <t>Fecha Llegada: 18 de Octubre de 2016</t>
  </si>
  <si>
    <t>Fecha de intervención: 29 MAYO 2018</t>
  </si>
  <si>
    <r>
      <t>mCd/l/m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</si>
  <si>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</si>
  <si>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</si>
  <si>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</si>
  <si>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</si>
  <si>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t>slh-041</t>
  </si>
  <si>
    <r>
      <t>Cd/l/m</t>
    </r>
    <r>
      <rPr>
        <b/>
        <vertAlign val="superscript"/>
        <sz val="10"/>
        <rFont val="Arial"/>
      </rPr>
      <t>2</t>
    </r>
  </si>
  <si>
    <t>Fecha de llegada: 29 mayo 2018</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</si>
  <si>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</si>
  <si>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</si>
  <si>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</si>
  <si>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</si>
  <si>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</si>
  <si>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</si>
  <si>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</si>
  <si>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</si>
  <si>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</si>
  <si>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</si>
  <si>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SLH-025</t>
  </si>
  <si>
    <t>null</t>
  </si>
  <si>
    <r>
      <t>mCd/l/m</t>
    </r>
    <r>
      <rPr>
        <b/>
        <vertAlign val="superscript"/>
        <sz val="10"/>
        <rFont val="Arial"/>
      </rPr>
      <t>2</t>
    </r>
  </si>
  <si>
    <r>
      <t>mCd/l/m</t>
    </r>
    <r>
      <rPr>
        <b/>
        <vertAlign val="superscript"/>
        <sz val="10"/>
        <rFont val="Arial"/>
      </rPr>
      <t>2</t>
    </r>
  </si>
  <si>
    <t>SLH-046</t>
  </si>
  <si>
    <r>
      <t>mCd/l/m</t>
    </r>
    <r>
      <rPr>
        <b/>
        <vertAlign val="superscript"/>
        <sz val="10"/>
        <rFont val="Arial"/>
      </rPr>
      <t>2</t>
    </r>
  </si>
  <si>
    <t>Fecha Salida: 01 de Noviembre de 2016</t>
  </si>
  <si>
    <r>
      <t>mCd/l/m</t>
    </r>
    <r>
      <rPr>
        <b/>
        <vertAlign val="superscript"/>
        <sz val="10"/>
        <rFont val="Arial"/>
      </rPr>
      <t>2</t>
    </r>
  </si>
  <si>
    <r>
      <t>mCd/l/m</t>
    </r>
    <r>
      <rPr>
        <b/>
        <vertAlign val="superscript"/>
        <sz val="10"/>
        <rFont val="Arial"/>
      </rPr>
      <t>2</t>
    </r>
  </si>
  <si>
    <r>
      <t>mCd/l/m</t>
    </r>
    <r>
      <rPr>
        <b/>
        <vertAlign val="superscript"/>
        <sz val="10"/>
        <rFont val="Arial"/>
      </rPr>
      <t>2</t>
    </r>
  </si>
  <si>
    <t>Geometria de 30m</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</si>
  <si>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</si>
  <si>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</si>
  <si>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</si>
  <si>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</si>
  <si>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Fecha Llegada: 11 de Febrero de 2017</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</si>
  <si>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</si>
  <si>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</si>
  <si>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</si>
  <si>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</si>
  <si>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</si>
  <si>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</si>
  <si>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</si>
  <si>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</si>
  <si>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</si>
  <si>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t>t</t>
  </si>
  <si>
    <t>v</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</si>
  <si>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</si>
  <si>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</si>
  <si>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</si>
  <si>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</si>
  <si>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</si>
  <si>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</si>
  <si>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</si>
  <si>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</si>
  <si>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</si>
  <si>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SLH-04A</t>
  </si>
  <si>
    <t>El equipo llega por vencimiento del certificado, se encuentra un poco bajo los valores de la ganancia, adicional a ello cuando se somete a vibraciones el equipo se reinicia, esto se debe a un contacto entre el disipador del LM7805 u una pista de VCC, lo que generaba este problema, por ende se corrige dicho problema aislando este, por otra parte se calibra nuevamente el equipo por software, dando muy buenos resultados.</t>
  </si>
  <si>
    <r>
      <t>mCd/l/m</t>
    </r>
    <r>
      <rPr>
        <b/>
        <vertAlign val="superscript"/>
        <sz val="10"/>
        <rFont val="Arial"/>
      </rPr>
      <t>2</t>
    </r>
  </si>
  <si>
    <r>
      <t>mCd/l/m</t>
    </r>
    <r>
      <rPr>
        <b/>
        <vertAlign val="superscript"/>
        <sz val="10"/>
        <rFont val="Arial"/>
      </rPr>
      <t>2</t>
    </r>
  </si>
  <si>
    <t>PISO</t>
  </si>
  <si>
    <t>SVL-004</t>
  </si>
  <si>
    <r>
      <t>mCd/l/m</t>
    </r>
    <r>
      <rPr>
        <b/>
        <vertAlign val="superscript"/>
        <sz val="10"/>
        <rFont val="Arial"/>
      </rPr>
      <t>2</t>
    </r>
  </si>
  <si>
    <t>Fecha ingreso: 23 de Octubre de 2017</t>
  </si>
  <si>
    <t>Fecha de intervención: 25 de octubre de 2017</t>
  </si>
  <si>
    <t>El equipo llega con el certificado de calibración próximo a vencerse. Da lecturas en el suelo.</t>
  </si>
  <si>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</si>
  <si>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</si>
  <si>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</si>
  <si>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</si>
  <si>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EQUIPO:</t>
  </si>
  <si>
    <r>
      <t>Cd/l/m</t>
    </r>
    <r>
      <rPr>
        <b/>
        <vertAlign val="superscript"/>
        <sz val="10"/>
        <rFont val="Arial"/>
      </rPr>
      <t>2</t>
    </r>
  </si>
  <si>
    <t>SLH-045</t>
  </si>
  <si>
    <r>
      <t>Cd/l/m</t>
    </r>
    <r>
      <rPr>
        <b/>
        <vertAlign val="superscript"/>
        <sz val="10"/>
        <rFont val="Arial"/>
      </rPr>
      <t>2</t>
    </r>
  </si>
  <si>
    <r>
      <t>Cd/l/m</t>
    </r>
    <r>
      <rPr>
        <b/>
        <vertAlign val="superscript"/>
        <sz val="10"/>
        <rFont val="Arial"/>
      </rPr>
      <t>2</t>
    </r>
  </si>
  <si>
    <t>Unidades</t>
  </si>
  <si>
    <r>
      <t>Cd/l/m</t>
    </r>
    <r>
      <rPr>
        <b/>
        <vertAlign val="superscript"/>
        <sz val="10"/>
        <rFont val="Arial"/>
      </rPr>
      <t>2</t>
    </r>
  </si>
  <si>
    <t>FECHA:</t>
  </si>
  <si>
    <r>
      <t>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</si>
  <si>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</si>
  <si>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</si>
  <si>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</si>
  <si>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</si>
  <si>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</si>
  <si>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Fecha Llegada: 13 de Diciembre de 2017</t>
  </si>
  <si>
    <t>El equipo Llega por Vencimiento de Certificado de calibración, adicional a ello las medidas están saturadas al máximo valor, se encontró un desajuste en la ganancia del INA 122, se ajustó electrónicamente, y luego, se calibro, dando un equipo con buenas características.
Adicional a ello se encuentra rota la u que sostiene la bateria, se esperan instrucciones</t>
  </si>
  <si>
    <r>
      <t>mCd/l/m</t>
    </r>
    <r>
      <rPr>
        <b/>
        <vertAlign val="superscript"/>
        <sz val="10"/>
        <rFont val="Arial"/>
      </rPr>
      <t>2</t>
    </r>
  </si>
  <si>
    <r>
      <t>mCd/l/m</t>
    </r>
    <r>
      <rPr>
        <b/>
        <vertAlign val="superscript"/>
        <sz val="10"/>
        <rFont val="Arial"/>
      </rPr>
      <t>2</t>
    </r>
  </si>
  <si>
    <r>
      <t>mCd/l/m</t>
    </r>
    <r>
      <rPr>
        <b/>
        <vertAlign val="superscript"/>
        <sz val="10"/>
        <rFont val="Arial"/>
      </rPr>
      <t>2</t>
    </r>
  </si>
  <si>
    <t>F. LISTA DE ELEMENTOS REVISADOS PARA SALIDA</t>
  </si>
  <si>
    <t>TAREA</t>
  </si>
  <si>
    <r>
      <t>mCd/l/m</t>
    </r>
    <r>
      <rPr>
        <b/>
        <vertAlign val="superscript"/>
        <sz val="10"/>
        <rFont val="Arial"/>
      </rPr>
      <t>2</t>
    </r>
  </si>
  <si>
    <t>ESTADO INCIAL</t>
  </si>
  <si>
    <t>ESTADO FINAL</t>
  </si>
  <si>
    <t>OBSERVACIONES</t>
  </si>
  <si>
    <r>
      <t>mCd/l/m</t>
    </r>
    <r>
      <rPr>
        <b/>
        <vertAlign val="superscript"/>
        <sz val="10"/>
        <rFont val="Arial"/>
      </rPr>
      <t>2</t>
    </r>
  </si>
  <si>
    <t>BUENO</t>
  </si>
  <si>
    <t>REGULAR</t>
  </si>
  <si>
    <t>MALO</t>
  </si>
  <si>
    <r>
      <t>mCd/l/m</t>
    </r>
    <r>
      <rPr>
        <b/>
        <vertAlign val="superscript"/>
        <sz val="10"/>
        <rFont val="Arial"/>
      </rPr>
      <t>2</t>
    </r>
  </si>
  <si>
    <t>MEDIDA INICAL</t>
  </si>
  <si>
    <r>
      <t>mCd/l/m</t>
    </r>
    <r>
      <rPr>
        <b/>
        <vertAlign val="superscript"/>
        <sz val="10"/>
        <rFont val="Arial"/>
      </rPr>
      <t>2</t>
    </r>
  </si>
  <si>
    <t>X</t>
  </si>
  <si>
    <r>
      <t>mCd/l/m</t>
    </r>
    <r>
      <rPr>
        <b/>
        <vertAlign val="superscript"/>
        <sz val="10"/>
        <rFont val="Arial"/>
      </rPr>
      <t>2</t>
    </r>
  </si>
  <si>
    <t>Todas las medidas muestran 65536, por desajuste del trimmer de ganancia</t>
  </si>
  <si>
    <r>
      <t>mCd/l/m</t>
    </r>
    <r>
      <rPr>
        <b/>
        <vertAlign val="superscript"/>
        <sz val="10"/>
        <rFont val="Arial"/>
      </rPr>
      <t>2</t>
    </r>
  </si>
  <si>
    <t>LIMPIEZA TARJETA ELECTRONICA</t>
  </si>
  <si>
    <t>LIMPIEZA CON VARSOL</t>
  </si>
  <si>
    <t>CAJA NEGRA SIN ENTRADA  DE LUZ</t>
  </si>
  <si>
    <t>SE LIMPIO CON BROCHA SECA</t>
  </si>
  <si>
    <t>REVISION BOTONES</t>
  </si>
  <si>
    <t xml:space="preserve">SE PONE SILICONA PARA PROTEGER </t>
  </si>
  <si>
    <t>REVISION LEDS OPTICA</t>
  </si>
  <si>
    <t>Fecha Llegada: 17 de Agosto de 2017</t>
  </si>
  <si>
    <t>TODOS ENCIENDEN</t>
  </si>
  <si>
    <t>LIMPIEZA PLANO INCLINADO</t>
  </si>
  <si>
    <t>x</t>
  </si>
  <si>
    <t>limpieza</t>
  </si>
  <si>
    <t>LIMPIAR CAUCHO TIPO PISO</t>
  </si>
  <si>
    <t>LIMPIEZA</t>
  </si>
  <si>
    <t>CAUCHO TIPO PISO PEGADO A EQUIPO</t>
  </si>
  <si>
    <t>SE PEGO NUEVAMENTE</t>
  </si>
  <si>
    <t>VENTILADOR FUNCIONA</t>
  </si>
  <si>
    <r>
      <t>mCd/l/m</t>
    </r>
    <r>
      <rPr>
        <b/>
        <vertAlign val="superscript"/>
        <sz val="10"/>
        <rFont val="Arial"/>
      </rPr>
      <t>2</t>
    </r>
  </si>
  <si>
    <t>Se cambio</t>
  </si>
  <si>
    <t>ESTADO MANIJA</t>
  </si>
  <si>
    <t>se limpia debido a excesiva suciedad</t>
  </si>
  <si>
    <r>
      <t>mCd/l/m</t>
    </r>
    <r>
      <rPr>
        <b/>
        <vertAlign val="superscript"/>
        <sz val="10"/>
        <rFont val="Arial"/>
      </rPr>
      <t>2</t>
    </r>
  </si>
  <si>
    <t>ESTADO CAJA</t>
  </si>
  <si>
    <t>PRESENTA PELADURAS</t>
  </si>
  <si>
    <t>ESTADO CIRCUITO CARGA</t>
  </si>
  <si>
    <t>PRUEBA MUESTRA QUE EL EQUIPO CARGA</t>
  </si>
  <si>
    <r>
      <t>mCd/l/m</t>
    </r>
    <r>
      <rPr>
        <b/>
        <vertAlign val="superscript"/>
        <sz val="10"/>
        <rFont val="Arial"/>
      </rPr>
      <t>2</t>
    </r>
  </si>
  <si>
    <t>ESTADO CABLE CARGA</t>
  </si>
  <si>
    <t>SE PROBO AL CARGAR EL EQUIPO</t>
  </si>
  <si>
    <t>LIMPIEZA PATRON</t>
  </si>
  <si>
    <r>
      <t>mCd/l/m</t>
    </r>
    <r>
      <rPr>
        <b/>
        <vertAlign val="superscript"/>
        <sz val="10"/>
        <rFont val="Arial"/>
      </rPr>
      <t>2</t>
    </r>
  </si>
  <si>
    <t>SE LIMPIA CON VARSOL, TIENE PELADURAS EN ESQUINAS</t>
  </si>
  <si>
    <t>MEDIDA FINAL</t>
  </si>
  <si>
    <t>ES REPETIBLE, CAMBIA MEDIDA DE PATRON</t>
  </si>
  <si>
    <t>Fecha ingreso: 14 de Diciembre de 2017</t>
  </si>
  <si>
    <t>El equipo llega por garantia, puesto que su certificado no se ha vencido, y  se ajustaron  los valores de calibración</t>
  </si>
  <si>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</si>
  <si>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</si>
  <si>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</si>
  <si>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</si>
  <si>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</si>
  <si>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</si>
  <si>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</si>
  <si>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</si>
  <si>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</si>
  <si>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</si>
  <si>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</si>
  <si>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</si>
  <si>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t>SLH-020</t>
  </si>
  <si>
    <t>Fecha Llegada: 09 de Septiembre 2016</t>
  </si>
  <si>
    <t>Medidas iniciales bajas, se procedió a la calibración.</t>
  </si>
  <si>
    <r>
      <t>mCd/l/m</t>
    </r>
    <r>
      <rPr>
        <b/>
        <vertAlign val="superscript"/>
        <sz val="10"/>
        <rFont val="Arial"/>
      </rPr>
      <t>2</t>
    </r>
  </si>
  <si>
    <t>OPERAN CORRECTAMENTE.</t>
  </si>
  <si>
    <r>
      <t>mCd/l/m</t>
    </r>
    <r>
      <rPr>
        <b/>
        <vertAlign val="superscript"/>
        <sz val="10"/>
        <rFont val="Arial"/>
      </rPr>
      <t>2</t>
    </r>
  </si>
  <si>
    <r>
      <t>mCd/l/m</t>
    </r>
    <r>
      <rPr>
        <b/>
        <vertAlign val="superscript"/>
        <sz val="10"/>
        <rFont val="Arial"/>
      </rPr>
      <t>2</t>
    </r>
  </si>
  <si>
    <t>LIMPIEZA.</t>
  </si>
  <si>
    <r>
      <t>mCd/l/m</t>
    </r>
    <r>
      <rPr>
        <b/>
        <vertAlign val="superscript"/>
        <sz val="10"/>
        <rFont val="Arial"/>
      </rPr>
      <t>2</t>
    </r>
  </si>
  <si>
    <t>OPERA CORRECTAMENTE.</t>
  </si>
  <si>
    <t>Fecha Llegada: 04 de Septiembre 2016</t>
  </si>
  <si>
    <t>BUEN ESTADO.</t>
  </si>
  <si>
    <t>Fecha de intervención: 17 octubre 2017</t>
  </si>
  <si>
    <t xml:space="preserve">El equipo llega con el certificado de calibración vencido. Se ajusta el back light de la LCD. </t>
  </si>
  <si>
    <r>
      <t>mCd/l/m</t>
    </r>
    <r>
      <rPr>
        <b/>
        <vertAlign val="superscript"/>
        <sz val="10"/>
        <rFont val="Arial"/>
      </rPr>
      <t>2</t>
    </r>
  </si>
  <si>
    <t>SE LIMPIA CON VARSOL.</t>
  </si>
  <si>
    <r>
      <t>mCd/l/m</t>
    </r>
    <r>
      <rPr>
        <b/>
        <vertAlign val="superscript"/>
        <sz val="10"/>
        <rFont val="Arial"/>
      </rPr>
      <t>2</t>
    </r>
  </si>
  <si>
    <t>SLH-020A</t>
  </si>
  <si>
    <r>
      <t>mCd/l/m</t>
    </r>
    <r>
      <rPr>
        <b/>
        <vertAlign val="superscript"/>
        <sz val="10"/>
        <rFont val="Arial"/>
      </rPr>
      <t>2</t>
    </r>
  </si>
  <si>
    <r>
      <t>mCd/l/m</t>
    </r>
    <r>
      <rPr>
        <b/>
        <vertAlign val="superscript"/>
        <sz val="10"/>
        <rFont val="Arial"/>
      </rPr>
      <t>2</t>
    </r>
  </si>
  <si>
    <r>
      <t>Cd/l/m</t>
    </r>
    <r>
      <rPr>
        <b/>
        <vertAlign val="superscript"/>
        <sz val="10"/>
        <rFont val="Arial"/>
      </rPr>
      <t>2</t>
    </r>
  </si>
  <si>
    <t>Fecha Llegada: 23 de Noviembre 2017</t>
  </si>
  <si>
    <r>
      <t>Cd/l/m</t>
    </r>
    <r>
      <rPr>
        <b/>
        <vertAlign val="superscript"/>
        <sz val="10"/>
        <rFont val="Arial"/>
      </rPr>
      <t>2</t>
    </r>
  </si>
  <si>
    <t>Fecha de intervención: 28 noviembre 2017</t>
  </si>
  <si>
    <t>el lm358 muestra en el pin 3 11.11V, en ese pin debereiamos ver 4.0962 por lo que el integrado debe ser cambiado</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</si>
  <si>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</si>
  <si>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</si>
  <si>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</si>
  <si>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</si>
  <si>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</si>
  <si>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</si>
  <si>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</si>
  <si>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</si>
  <si>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</si>
  <si>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</si>
  <si>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</si>
  <si>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</si>
  <si>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</si>
  <si>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CAMBIO LM358, ENTREGRABA OV AREF MICRO</t>
  </si>
  <si>
    <r>
      <t>mCd/l/m</t>
    </r>
    <r>
      <rPr>
        <b/>
        <vertAlign val="superscript"/>
        <sz val="10"/>
        <rFont val="Arial"/>
      </rPr>
      <t>2</t>
    </r>
  </si>
  <si>
    <t>LIMPIEZA CON VARSOL, SE RETIRO ARREGLO DE RESISTENCIAS PARA BRILLO LCD</t>
  </si>
  <si>
    <t>TODOS ENCIENDEN, LA OPTICA DE 30 SOLO TIENE 1</t>
  </si>
  <si>
    <t>TENIA PINTURA DENTRO</t>
  </si>
  <si>
    <t>LIMPIEZA Y PULIDO EN ALGUNAS ZONAS</t>
  </si>
  <si>
    <t>LIMPIEZA PARTE</t>
  </si>
  <si>
    <t>Fecha Llegada: 26 de Junio de 2018</t>
  </si>
  <si>
    <t>PRESENTA PELADURAS, SE AGREGA SILICONA A TORNILLOS INTERNOS</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</si>
  <si>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</si>
  <si>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</si>
  <si>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</si>
  <si>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</si>
  <si>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</si>
  <si>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</si>
  <si>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Fecha Llegada: 5 junio 2018</t>
  </si>
  <si>
    <r>
      <t>Cd/l/m</t>
    </r>
    <r>
      <rPr>
        <b/>
        <vertAlign val="superscript"/>
        <sz val="10"/>
        <rFont val="Arial"/>
      </rPr>
      <t>2</t>
    </r>
  </si>
  <si>
    <t>Fecha de intervención: 13 junio 2018</t>
  </si>
  <si>
    <r>
      <t>Cd/l/m</t>
    </r>
    <r>
      <rPr>
        <b/>
        <vertAlign val="superscript"/>
        <sz val="10"/>
        <rFont val="Arial"/>
      </rPr>
      <t>2</t>
    </r>
  </si>
  <si>
    <t>el lm358 muestra en 0 por lo que se cambia</t>
  </si>
  <si>
    <t>Fecha Llegada: 15 de Agosto 2016</t>
  </si>
  <si>
    <r>
      <t>Cd/l/m</t>
    </r>
    <r>
      <rPr>
        <b/>
        <vertAlign val="superscript"/>
        <sz val="10"/>
        <rFont val="Arial"/>
      </rPr>
      <t>2</t>
    </r>
  </si>
  <si>
    <r>
      <t>mCd/l/m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</si>
  <si>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</si>
  <si>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</si>
  <si>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</si>
  <si>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</si>
  <si>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</si>
  <si>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</si>
  <si>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</si>
  <si>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</si>
  <si>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</si>
  <si>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</si>
  <si>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t>SLH-030</t>
  </si>
  <si>
    <t>Fecha salida:  11 de junio 2018</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</si>
  <si>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</si>
  <si>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</si>
  <si>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</si>
  <si>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</si>
  <si>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</si>
  <si>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</si>
  <si>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</si>
  <si>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</si>
  <si>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SLV-012</t>
  </si>
  <si>
    <t>Fecha Llegada: 11 de Octubre 2016</t>
  </si>
  <si>
    <t>Fecha Llegada: 12 de Septiembre 2016</t>
  </si>
  <si>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</si>
  <si>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</si>
  <si>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</si>
  <si>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</si>
  <si>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</si>
  <si>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</si>
  <si>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</si>
  <si>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</si>
  <si>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</si>
  <si>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</si>
  <si>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</si>
  <si>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</si>
  <si>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</si>
  <si>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Fecha Llegada: 12 de Septiembre de 2018</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</si>
  <si>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</si>
  <si>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</si>
  <si>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</si>
  <si>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</si>
  <si>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</si>
  <si>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 xml:space="preserve"> </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</si>
  <si>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</si>
  <si>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</si>
  <si>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</si>
  <si>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</si>
  <si>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</si>
  <si>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</si>
  <si>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</si>
  <si>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</si>
  <si>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SLH-040</t>
  </si>
  <si>
    <t>Fecha Salida: 17 de Abril de 2017</t>
  </si>
  <si>
    <t>SLH-037</t>
  </si>
  <si>
    <t>Fecha Llegada: 13 de Septiembre 2016</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</si>
  <si>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</si>
  <si>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</si>
  <si>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</si>
  <si>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</si>
  <si>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</si>
  <si>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</si>
  <si>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SLH-004</t>
  </si>
  <si>
    <r>
      <t>mCd/l/m</t>
    </r>
    <r>
      <rPr>
        <b/>
        <vertAlign val="superscript"/>
        <sz val="10"/>
        <rFont val="Arial"/>
      </rPr>
      <t>2</t>
    </r>
  </si>
  <si>
    <r>
      <t>mCd/l/m</t>
    </r>
    <r>
      <rPr>
        <b/>
        <vertAlign val="superscript"/>
        <sz val="10"/>
        <rFont val="Arial"/>
      </rPr>
      <t>2</t>
    </r>
  </si>
  <si>
    <t>SLH-013</t>
  </si>
  <si>
    <t>Fecha Llegada: 07 de Octubre 2016</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</si>
  <si>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</si>
  <si>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</si>
  <si>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</si>
  <si>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</si>
  <si>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</si>
  <si>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</si>
  <si>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SLV-006</t>
  </si>
  <si>
    <r>
      <t>Cd/l/m</t>
    </r>
    <r>
      <rPr>
        <b/>
        <vertAlign val="superscript"/>
        <sz val="10"/>
        <rFont val="Arial"/>
      </rPr>
      <t>2</t>
    </r>
  </si>
  <si>
    <r>
      <t>Cd/l/m</t>
    </r>
    <r>
      <rPr>
        <b/>
        <vertAlign val="superscript"/>
        <sz val="10"/>
        <rFont val="Arial"/>
      </rPr>
      <t>2</t>
    </r>
  </si>
  <si>
    <r>
      <t>Cd/l/m</t>
    </r>
    <r>
      <rPr>
        <b/>
        <vertAlign val="superscript"/>
        <sz val="10"/>
        <rFont val="Arial"/>
      </rPr>
      <t>2</t>
    </r>
  </si>
  <si>
    <t>Fecha Llegada: 13 de Enero de 2019</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</si>
  <si>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</si>
  <si>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</si>
  <si>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</si>
  <si>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</si>
  <si>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</si>
  <si>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</si>
  <si>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</si>
  <si>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</si>
  <si>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</si>
  <si>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</si>
  <si>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</si>
  <si>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FABRICACIÓN</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</si>
  <si>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</si>
  <si>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</si>
  <si>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</si>
  <si>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</si>
  <si>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</si>
  <si>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</si>
  <si>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</si>
  <si>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</si>
  <si>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</si>
  <si>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</si>
  <si>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Fecha Llegada: 26 de Octubre 2017</t>
  </si>
  <si>
    <t>Fecha de intervención: 27 de Octubre del 2017</t>
  </si>
  <si>
    <r>
      <t>mCd/l/m</t>
    </r>
    <r>
      <rPr>
        <b/>
        <vertAlign val="superscript"/>
        <sz val="10"/>
        <rFont val="Arial"/>
      </rPr>
      <t>2</t>
    </r>
  </si>
  <si>
    <r>
      <t>mCd/l/m</t>
    </r>
    <r>
      <rPr>
        <b/>
        <vertAlign val="superscript"/>
        <sz val="10"/>
        <rFont val="Arial"/>
      </rPr>
      <t>2</t>
    </r>
  </si>
  <si>
    <t>SLH-029</t>
  </si>
  <si>
    <r>
      <t>mCd/l/m</t>
    </r>
    <r>
      <rPr>
        <b/>
        <vertAlign val="superscript"/>
        <sz val="10"/>
        <rFont val="Arial"/>
      </rPr>
      <t>2</t>
    </r>
  </si>
  <si>
    <t>calibracion 24/02/2020</t>
  </si>
  <si>
    <r>
      <t>mCd/l/m</t>
    </r>
    <r>
      <rPr>
        <b/>
        <vertAlign val="superscript"/>
        <sz val="10"/>
        <rFont val="Arial"/>
      </rPr>
      <t>2</t>
    </r>
  </si>
  <si>
    <r>
      <t>mCd/l/m</t>
    </r>
    <r>
      <rPr>
        <b/>
        <vertAlign val="superscript"/>
        <sz val="10"/>
        <rFont val="Arial"/>
      </rPr>
      <t>2</t>
    </r>
  </si>
  <si>
    <r>
      <t>mCd/l/m</t>
    </r>
    <r>
      <rPr>
        <b/>
        <vertAlign val="superscript"/>
        <sz val="10"/>
        <rFont val="Arial"/>
      </rPr>
      <t>2</t>
    </r>
  </si>
  <si>
    <t>Fecha Llegada: 27 de Octubre 2016</t>
  </si>
  <si>
    <r>
      <t>Cd/l/m</t>
    </r>
    <r>
      <rPr>
        <b/>
        <vertAlign val="superscript"/>
        <sz val="10"/>
        <rFont val="Arial"/>
      </rPr>
      <t>2</t>
    </r>
  </si>
  <si>
    <t>Fecha Llegada: 09 de Octubre 2016</t>
  </si>
  <si>
    <t>Fecha de intervención: 31 de octubre del 2017</t>
  </si>
  <si>
    <r>
      <t>Cd/l/m</t>
    </r>
    <r>
      <rPr>
        <b/>
        <vertAlign val="superscript"/>
        <sz val="10"/>
        <rFont val="Arial"/>
      </rPr>
      <t>2</t>
    </r>
  </si>
  <si>
    <r>
      <t xml:space="preserve">Según el cliente el equipo llega por calibración, problemas en la duración de la batería, porque no tiene patrón y porque hay un desajuste en la chapa de la caja del equipo.  El equipo dura alrededor de 25 minutos prendido, luego de este tiempo el voltaje de la batería baja. La carga que se le dio al equipo fue de una noche entera, aparte de esto se conecta al cargador de baterías y la batería no exige corriente de carga, por lo que se deduce que la carga de la batería es fantasma. </t>
    </r>
    <r>
      <rPr>
        <sz val="11"/>
        <color rgb="FFFF0000"/>
        <rFont val="Calibri"/>
      </rPr>
      <t xml:space="preserve">Se requiere cambio de batería. </t>
    </r>
    <r>
      <rPr>
        <sz val="11"/>
        <color theme="1"/>
        <rFont val="Calibri"/>
      </rPr>
      <t xml:space="preserve">Los valores del equipo son de caracter ascendente, se cambia el INA122P, trimers 50k y 100k y con esto lograr una mayor estabilidad. Se logra calibrar el equipo correctamente. </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</si>
  <si>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</si>
  <si>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</si>
  <si>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</si>
  <si>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</si>
  <si>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</si>
  <si>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</si>
  <si>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</si>
  <si>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</si>
  <si>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t>Hora</t>
  </si>
  <si>
    <t>Voltaje (V)</t>
  </si>
  <si>
    <t>SLH-026</t>
  </si>
  <si>
    <t>SLH-047</t>
  </si>
  <si>
    <t>Fecha Salida: 11 de Noviembre de 2016</t>
  </si>
  <si>
    <r>
      <t>El equipo llega con lecturas oscilantes de carácter ascendente, no se mantiene en un valor fijo (equipo no repetible).</t>
    </r>
    <r>
      <rPr>
        <sz val="11"/>
        <color rgb="FFFF0000"/>
        <rFont val="Calibri"/>
      </rPr>
      <t xml:space="preserve"> El equipo no carga debido a una falla en el cargador, requiere cambio. </t>
    </r>
    <r>
      <rPr>
        <sz val="11"/>
        <color theme="1"/>
        <rFont val="Calibri"/>
      </rPr>
      <t>Se realiza cambio de trimmers (50 y 100k), INA 122 y LM358 para corregir el error de estabilidad del equipo.</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</si>
  <si>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</si>
  <si>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</si>
  <si>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</si>
  <si>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</si>
  <si>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</si>
  <si>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</si>
  <si>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Fecha de llegada:</t>
  </si>
  <si>
    <t>Fecha Salida: 19 de Septiembre de 2016</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</si>
  <si>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</si>
  <si>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</si>
  <si>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</si>
  <si>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</si>
  <si>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</si>
  <si>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</si>
  <si>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</si>
  <si>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SLV-022</t>
  </si>
  <si>
    <t>Fecha de Salida</t>
  </si>
  <si>
    <t>Fecha Llegada: 20 de Octubre 2016</t>
  </si>
  <si>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</si>
  <si>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</si>
  <si>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</si>
  <si>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</si>
  <si>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</si>
  <si>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</si>
  <si>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</si>
  <si>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</si>
  <si>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</si>
  <si>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</si>
  <si>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t>SLH-035</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</si>
  <si>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</si>
  <si>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</si>
  <si>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</si>
  <si>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</si>
  <si>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</si>
  <si>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t>
  </si>
  <si>
    <t xml:space="preserve">Fecha Salida: </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</si>
  <si>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</si>
  <si>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</si>
  <si>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</si>
  <si>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</si>
  <si>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</si>
  <si>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c</t>
  </si>
  <si>
    <r>
      <t>mCd/l/m</t>
    </r>
    <r>
      <rPr>
        <b/>
        <vertAlign val="superscript"/>
        <sz val="10"/>
        <rFont val="Arial"/>
      </rPr>
      <t>2</t>
    </r>
  </si>
  <si>
    <r>
      <t>mCd/l/m</t>
    </r>
    <r>
      <rPr>
        <b/>
        <vertAlign val="superscript"/>
        <sz val="10"/>
        <rFont val="Arial"/>
      </rPr>
      <t>2</t>
    </r>
  </si>
  <si>
    <t>Fecha Llegada: 1 / 12 /2018</t>
  </si>
  <si>
    <r>
      <t>mCd/l/m</t>
    </r>
    <r>
      <rPr>
        <b/>
        <vertAlign val="superscript"/>
        <sz val="10"/>
        <rFont val="Arial"/>
      </rPr>
      <t>2</t>
    </r>
  </si>
  <si>
    <t>30+EE187:F238</t>
  </si>
  <si>
    <t>Fecha Salida: 17 de Octubre 2018</t>
  </si>
  <si>
    <t>SLH-054</t>
  </si>
  <si>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</si>
  <si>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</si>
  <si>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</si>
  <si>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</si>
  <si>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</si>
  <si>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</si>
  <si>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</si>
  <si>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</si>
  <si>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</si>
  <si>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</si>
  <si>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</si>
  <si>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</si>
  <si>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</si>
  <si>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</si>
  <si>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</si>
  <si>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</si>
  <si>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</si>
  <si>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</si>
  <si>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</si>
  <si>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</si>
  <si>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El equipo llega con problemas de carga, se destapa y se revisa sicho problema, y se resuelve ajustando susu conectores.
El patron llega bastante maltratado y muy contaminado</t>
  </si>
  <si>
    <r>
      <t>mCd/l/m</t>
    </r>
    <r>
      <rPr>
        <b/>
        <vertAlign val="superscript"/>
        <sz val="10"/>
        <rFont val="Arial"/>
      </rPr>
      <t>2</t>
    </r>
  </si>
  <si>
    <r>
      <t>mCd/l/m</t>
    </r>
    <r>
      <rPr>
        <b/>
        <vertAlign val="superscript"/>
        <sz val="10"/>
        <rFont val="Arial"/>
      </rPr>
      <t>2</t>
    </r>
  </si>
  <si>
    <t>SUELO</t>
  </si>
  <si>
    <r>
      <t>mCd/l/m</t>
    </r>
    <r>
      <rPr>
        <b/>
        <vertAlign val="superscript"/>
        <sz val="10"/>
        <rFont val="Arial"/>
      </rPr>
      <t>2</t>
    </r>
  </si>
  <si>
    <r>
      <t>mCd/l/m</t>
    </r>
    <r>
      <rPr>
        <b/>
        <vertAlign val="superscript"/>
        <sz val="10"/>
        <rFont val="Arial"/>
      </rPr>
      <t>2</t>
    </r>
  </si>
  <si>
    <t>Se presenta unas medidas incrementales al transcurrien el tiempo</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</si>
  <si>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</si>
  <si>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</si>
  <si>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</si>
  <si>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</si>
  <si>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</si>
  <si>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</si>
  <si>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</si>
  <si>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</si>
  <si>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Fecha de calibracion 28/02/2020 pendiente</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</si>
  <si>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</si>
  <si>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</si>
  <si>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</si>
  <si>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</si>
  <si>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</si>
  <si>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</si>
  <si>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</si>
  <si>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</si>
  <si>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</si>
  <si>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</si>
  <si>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</si>
  <si>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</si>
  <si>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Cd/l/m</t>
    </r>
    <r>
      <rPr>
        <b/>
        <vertAlign val="superscript"/>
        <sz val="10"/>
        <rFont val="Arial"/>
      </rPr>
      <t>2</t>
    </r>
  </si>
  <si>
    <t>SLV-029</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</si>
  <si>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</si>
  <si>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</si>
  <si>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</si>
  <si>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</si>
  <si>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</si>
  <si>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</si>
  <si>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</si>
  <si>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SLH-036</t>
  </si>
  <si>
    <t>Fecha Entrada: 17 de Noviembre de 2016</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</si>
  <si>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</si>
  <si>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</si>
  <si>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</si>
  <si>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</si>
  <si>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</si>
  <si>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</si>
  <si>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</si>
  <si>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</si>
  <si>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</si>
  <si>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</si>
  <si>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</si>
  <si>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</si>
  <si>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t>SLH-</t>
  </si>
  <si>
    <t>Fecha Salida: 11 de Febrero de 2017</t>
  </si>
  <si>
    <r>
      <t>mCd/l/m</t>
    </r>
    <r>
      <rPr>
        <b/>
        <vertAlign val="superscript"/>
        <sz val="10"/>
        <rFont val="Arial"/>
      </rPr>
      <t>2</t>
    </r>
  </si>
  <si>
    <r>
      <t>mCd/l/m</t>
    </r>
    <r>
      <rPr>
        <b/>
        <vertAlign val="superscript"/>
        <sz val="10"/>
        <rFont val="Arial"/>
      </rPr>
      <t>2</t>
    </r>
  </si>
  <si>
    <t>FECHA DE CALIBRACION</t>
  </si>
  <si>
    <r>
      <t>mCd/l/m</t>
    </r>
    <r>
      <rPr>
        <b/>
        <vertAlign val="superscript"/>
        <sz val="10"/>
        <rFont val="Arial"/>
      </rPr>
      <t>2</t>
    </r>
  </si>
  <si>
    <r>
      <t>mCd/l/m</t>
    </r>
    <r>
      <rPr>
        <b/>
        <vertAlign val="superscript"/>
        <sz val="10"/>
        <rFont val="Arial"/>
      </rPr>
      <t>2</t>
    </r>
  </si>
  <si>
    <t>Fecha Llegada: 13 de Septiembre 2018</t>
  </si>
  <si>
    <r>
      <t>mCd/l/m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</si>
  <si>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</si>
  <si>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</si>
  <si>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</si>
  <si>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</si>
  <si>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</si>
  <si>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</si>
  <si>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</si>
  <si>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</si>
  <si>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</si>
  <si>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</si>
  <si>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</si>
  <si>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</si>
  <si>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</si>
  <si>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</si>
  <si>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</si>
  <si>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</si>
  <si>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</si>
  <si>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</si>
  <si>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</si>
  <si>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SLH-048</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</si>
  <si>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</si>
  <si>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</si>
  <si>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</si>
  <si>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</si>
  <si>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SLV-023</t>
  </si>
  <si>
    <t>Fecha Llegada: 15 de marzo de 2018</t>
  </si>
  <si>
    <t>SLV-010</t>
  </si>
  <si>
    <r>
      <t>Cd/l/m</t>
    </r>
    <r>
      <rPr>
        <b/>
        <vertAlign val="superscript"/>
        <sz val="10"/>
        <rFont val="Arial"/>
      </rPr>
      <t>2</t>
    </r>
  </si>
  <si>
    <r>
      <t>Cd/l/m</t>
    </r>
    <r>
      <rPr>
        <b/>
        <vertAlign val="superscript"/>
        <sz val="10"/>
        <rFont val="Arial"/>
      </rPr>
      <t>2</t>
    </r>
  </si>
  <si>
    <t>SLH-012</t>
  </si>
  <si>
    <r>
      <t>Cd/l/m</t>
    </r>
    <r>
      <rPr>
        <b/>
        <vertAlign val="superscript"/>
        <sz val="10"/>
        <rFont val="Arial"/>
      </rPr>
      <t>2</t>
    </r>
  </si>
  <si>
    <t>Fecha Salida: 16 de Febrero de 2017</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</si>
  <si>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</si>
  <si>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</si>
  <si>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</si>
  <si>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</si>
  <si>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</si>
  <si>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</si>
  <si>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</si>
  <si>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</si>
  <si>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</si>
  <si>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</si>
  <si>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</si>
  <si>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</si>
  <si>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t>P36</t>
  </si>
  <si>
    <r>
      <t>Cd/l/m</t>
    </r>
    <r>
      <rPr>
        <b/>
        <vertAlign val="superscript"/>
        <sz val="10"/>
        <rFont val="Arial"/>
      </rPr>
      <t>2</t>
    </r>
  </si>
  <si>
    <t>P5</t>
  </si>
  <si>
    <t>P3</t>
  </si>
  <si>
    <t>P31</t>
  </si>
  <si>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</si>
  <si>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</si>
  <si>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</si>
  <si>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</si>
  <si>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t>Fecha Salida: 22 de Marzo de 2017</t>
  </si>
  <si>
    <r>
      <t>mCd/l/m</t>
    </r>
    <r>
      <rPr>
        <b/>
        <vertAlign val="superscript"/>
        <sz val="10"/>
        <rFont val="Arial"/>
      </rPr>
      <t>2</t>
    </r>
  </si>
  <si>
    <t>∞</t>
  </si>
  <si>
    <r>
      <t>mCd/l/m</t>
    </r>
    <r>
      <rPr>
        <b/>
        <vertAlign val="superscript"/>
        <sz val="10"/>
        <rFont val="Arial"/>
      </rPr>
      <t>2</t>
    </r>
  </si>
  <si>
    <t>Fecha Llegada: 29 de Enero de 2018</t>
  </si>
  <si>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</si>
  <si>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</si>
  <si>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</si>
  <si>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</si>
  <si>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t>Fecha Salida: 15 de junio de 2018</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</si>
  <si>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</si>
  <si>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</si>
  <si>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</si>
  <si>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</si>
  <si>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</si>
  <si>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</si>
  <si>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</si>
  <si>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</si>
  <si>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</si>
  <si>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</si>
  <si>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SLH-002</t>
  </si>
  <si>
    <t>Fecha Llegada: 24 de Febrero 2017</t>
  </si>
  <si>
    <r>
      <t>mCd/l/m</t>
    </r>
    <r>
      <rPr>
        <b/>
        <vertAlign val="superscript"/>
        <sz val="10"/>
        <rFont val="Arial"/>
      </rPr>
      <t>2</t>
    </r>
  </si>
  <si>
    <r>
      <t>mCd/l/m</t>
    </r>
    <r>
      <rPr>
        <b/>
        <vertAlign val="superscript"/>
        <sz val="10"/>
        <rFont val="Arial"/>
      </rPr>
      <t>2</t>
    </r>
  </si>
  <si>
    <r>
      <t>Cd/l/m</t>
    </r>
    <r>
      <rPr>
        <b/>
        <vertAlign val="superscript"/>
        <sz val="10"/>
        <rFont val="Arial"/>
      </rPr>
      <t>2</t>
    </r>
  </si>
  <si>
    <t>Fecha Llegada: 15 de Marzo de 2017</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</si>
  <si>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</si>
  <si>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</si>
  <si>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</si>
  <si>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</si>
  <si>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</si>
  <si>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</si>
  <si>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</si>
  <si>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</si>
  <si>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</si>
  <si>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</si>
  <si>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</si>
  <si>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</si>
  <si>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</si>
  <si>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</si>
  <si>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</si>
  <si>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NA</t>
  </si>
  <si>
    <t xml:space="preserve">Fecha Llegada: </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</si>
  <si>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</si>
  <si>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</si>
  <si>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</si>
  <si>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</si>
  <si>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</si>
  <si>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</si>
  <si>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</si>
  <si>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</si>
  <si>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SLH-016</t>
  </si>
  <si>
    <t>Fecha Entrada: 1 de Abril de 2017</t>
  </si>
  <si>
    <r>
      <t>mCd/l/m</t>
    </r>
    <r>
      <rPr>
        <b/>
        <vertAlign val="superscript"/>
        <sz val="10"/>
        <rFont val="Arial"/>
      </rPr>
      <t>2</t>
    </r>
  </si>
  <si>
    <r>
      <t>mCd/l/m</t>
    </r>
    <r>
      <rPr>
        <b/>
        <vertAlign val="superscript"/>
        <sz val="10"/>
        <rFont val="Arial"/>
      </rPr>
      <t>2</t>
    </r>
  </si>
  <si>
    <r>
      <t>mCd/l/m</t>
    </r>
    <r>
      <rPr>
        <b/>
        <vertAlign val="superscript"/>
        <sz val="10"/>
        <rFont val="Arial"/>
      </rPr>
      <t>2</t>
    </r>
  </si>
  <si>
    <t>SLV-025</t>
  </si>
  <si>
    <t>Fecha Salida: 3 de Abril de 2017</t>
  </si>
  <si>
    <r>
      <t>mCd/l/m</t>
    </r>
    <r>
      <rPr>
        <b/>
        <vertAlign val="superscript"/>
        <sz val="10"/>
        <rFont val="Arial"/>
      </rPr>
      <t>2</t>
    </r>
  </si>
  <si>
    <t>SLV-005</t>
  </si>
  <si>
    <t>Fecha Llegada: 28 de Julio de 2017</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</si>
  <si>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</si>
  <si>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</si>
  <si>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</si>
  <si>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</si>
  <si>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</si>
  <si>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</si>
  <si>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</si>
  <si>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</si>
  <si>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</si>
  <si>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</si>
  <si>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</si>
  <si>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</si>
  <si>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</si>
  <si>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</si>
  <si>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</si>
  <si>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</si>
  <si>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 xml:space="preserve">el patron es 705, no se de donde saca lo otros  </t>
  </si>
  <si>
    <t>SLH-051</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</si>
  <si>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</si>
  <si>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</si>
  <si>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</si>
  <si>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</si>
  <si>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</si>
  <si>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</si>
  <si>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Fecha Salida: 22 de Agosto de 2018</t>
  </si>
  <si>
    <r>
      <t>mCd/l/m</t>
    </r>
    <r>
      <rPr>
        <b/>
        <vertAlign val="superscript"/>
        <sz val="10"/>
        <rFont val="Arial"/>
      </rPr>
      <t>2</t>
    </r>
  </si>
  <si>
    <t xml:space="preserve">            </t>
  </si>
  <si>
    <t xml:space="preserve">  </t>
  </si>
  <si>
    <r>
      <t>Cd/l/m</t>
    </r>
    <r>
      <rPr>
        <b/>
        <vertAlign val="superscript"/>
        <sz val="10"/>
        <rFont val="Arial"/>
      </rPr>
      <t>2</t>
    </r>
  </si>
  <si>
    <r>
      <t>mCd/l/m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</si>
  <si>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</si>
  <si>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</si>
  <si>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</si>
  <si>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</si>
  <si>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</si>
  <si>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</si>
  <si>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</si>
  <si>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</si>
  <si>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</si>
  <si>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</si>
  <si>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</si>
  <si>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</si>
  <si>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</si>
  <si>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</si>
  <si>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</si>
  <si>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RC (Corte)</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</si>
  <si>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</si>
  <si>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</si>
  <si>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</si>
  <si>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</si>
  <si>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</si>
  <si>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</si>
  <si>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</si>
  <si>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SLV-020</t>
  </si>
  <si>
    <t>Fecha Llegada: 5 de Abril de 2017</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</si>
  <si>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</si>
  <si>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</si>
  <si>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</si>
  <si>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</si>
  <si>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</si>
  <si>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</si>
  <si>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</si>
  <si>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</si>
  <si>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</si>
  <si>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</si>
  <si>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</si>
  <si>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</si>
  <si>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</si>
  <si>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</si>
  <si>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</si>
  <si>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</si>
  <si>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</si>
  <si>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</si>
  <si>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</si>
  <si>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</si>
  <si>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</si>
  <si>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SLH-043</t>
  </si>
  <si>
    <t>Fecha Llegada: 28 de junio de 2017</t>
  </si>
  <si>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</si>
  <si>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</si>
  <si>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</si>
  <si>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</si>
  <si>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</si>
  <si>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</si>
  <si>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</si>
  <si>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</si>
  <si>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</si>
  <si>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</si>
  <si>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</si>
  <si>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</si>
  <si>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</si>
  <si>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</si>
  <si>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</si>
  <si>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Fecha Llegada: 11 de diciembre de 2017</t>
  </si>
  <si>
    <r>
      <t>Cd/l/m</t>
    </r>
    <r>
      <rPr>
        <b/>
        <vertAlign val="superscript"/>
        <sz val="10"/>
        <rFont val="Arial"/>
      </rPr>
      <t>2</t>
    </r>
  </si>
  <si>
    <r>
      <t>Cd/l/m</t>
    </r>
    <r>
      <rPr>
        <b/>
        <vertAlign val="superscript"/>
        <sz val="10"/>
        <rFont val="Arial"/>
      </rPr>
      <t>2</t>
    </r>
  </si>
  <si>
    <t>SLV-003</t>
  </si>
  <si>
    <r>
      <t>Cd/l/m</t>
    </r>
    <r>
      <rPr>
        <b/>
        <vertAlign val="superscript"/>
        <sz val="10"/>
        <rFont val="Arial"/>
      </rPr>
      <t>2</t>
    </r>
  </si>
  <si>
    <t>El equipo llega por garantia, ya que el cliente expresa que las medidas son diferentes, y adicional a ello tienden a 600, se encuentra que el equipo sufre es de filtraciones de luz por la parte delantera y lateral, se reajusto el valor de la calibracion para que no genere medidas en concreto.</t>
  </si>
  <si>
    <r>
      <t>Cd/l/m</t>
    </r>
    <r>
      <rPr>
        <b/>
        <vertAlign val="superscript"/>
        <sz val="10"/>
        <rFont val="Arial"/>
      </rPr>
      <t>2</t>
    </r>
  </si>
  <si>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</si>
  <si>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</si>
  <si>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</si>
  <si>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</si>
  <si>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</si>
  <si>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</si>
  <si>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</si>
  <si>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</si>
  <si>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</si>
  <si>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valor de medida amarillo y blanco bajo. Entrada de luz en caja del modelo geometrico</t>
  </si>
  <si>
    <t>sin novedad</t>
  </si>
  <si>
    <t>se aplica silicona negra para cerrar</t>
  </si>
  <si>
    <t xml:space="preserve">se limpia con varsol </t>
  </si>
  <si>
    <t>peladura laterial</t>
  </si>
  <si>
    <t>SE LIMPIA CON VARSOL</t>
  </si>
  <si>
    <t>Fecha Llegada: 13 de Agosto de 2018</t>
  </si>
  <si>
    <t>Fecha calibracion 18/03/2020</t>
  </si>
  <si>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</si>
  <si>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</si>
  <si>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</si>
  <si>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</si>
  <si>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</si>
  <si>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</si>
  <si>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</si>
  <si>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</si>
  <si>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</si>
  <si>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</si>
  <si>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</si>
  <si>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</si>
  <si>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</si>
  <si>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</si>
  <si>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</si>
  <si>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calibrado 25/02/2020</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</si>
  <si>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</si>
  <si>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</si>
  <si>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</si>
  <si>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</si>
  <si>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</si>
  <si>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Fecha Llegada: 14 de marzo de 2017</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</si>
  <si>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</si>
  <si>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</si>
  <si>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</si>
  <si>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</si>
  <si>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</si>
  <si>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</si>
  <si>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</si>
  <si>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</si>
  <si>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</si>
  <si>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</si>
  <si>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</si>
  <si>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</si>
  <si>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</si>
  <si>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</si>
  <si>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p9</t>
  </si>
  <si>
    <t>SLH-044</t>
  </si>
  <si>
    <t>p8</t>
  </si>
  <si>
    <r>
      <t>mCd/l/m</t>
    </r>
    <r>
      <rPr>
        <b/>
        <vertAlign val="superscript"/>
        <sz val="10"/>
        <rFont val="Arial"/>
      </rPr>
      <t>2</t>
    </r>
  </si>
  <si>
    <t>SLV-028</t>
  </si>
  <si>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</si>
  <si>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</si>
  <si>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</si>
  <si>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</si>
  <si>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</si>
  <si>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</si>
  <si>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</si>
  <si>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</si>
  <si>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t>SLV-021</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</si>
  <si>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</si>
  <si>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</si>
  <si>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</si>
  <si>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</si>
  <si>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</si>
  <si>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</si>
  <si>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</si>
  <si>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</si>
  <si>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</si>
  <si>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</si>
  <si>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</si>
  <si>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Fecha Llegada:  13 - Julio - 2018</t>
  </si>
  <si>
    <r>
      <t>mCd/l/m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</si>
  <si>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</si>
  <si>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</si>
  <si>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</si>
  <si>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</si>
  <si>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</si>
  <si>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</si>
  <si>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</si>
  <si>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</si>
  <si>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</si>
  <si>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</si>
  <si>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</si>
  <si>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</si>
  <si>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</si>
  <si>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</si>
  <si>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</si>
  <si>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</si>
  <si>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</si>
  <si>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</si>
  <si>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</si>
  <si>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Fecha Salida: 20 de Diciembre de 2018</t>
  </si>
  <si>
    <t>SLV-019</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</si>
  <si>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</si>
  <si>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</si>
  <si>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</si>
  <si>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</si>
  <si>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</si>
  <si>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</si>
  <si>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</si>
  <si>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</si>
  <si>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</si>
  <si>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</si>
  <si>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</si>
  <si>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</si>
  <si>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</si>
  <si>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</si>
  <si>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</si>
  <si>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</si>
  <si>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</si>
  <si>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t>SLH-042</t>
  </si>
  <si>
    <t>Fecha Llegada: 27 de Octubre 2017</t>
  </si>
  <si>
    <r>
      <t>mCd/l/m</t>
    </r>
    <r>
      <rPr>
        <b/>
        <vertAlign val="superscript"/>
        <sz val="10"/>
        <rFont val="Arial"/>
      </rPr>
      <t>2</t>
    </r>
  </si>
  <si>
    <t>Fecha de intervención: 01 de Noviembre de 2017</t>
  </si>
  <si>
    <t xml:space="preserve">El equipo llega por garantia, presenta lecturas diferentes de cero al medir el suelo. El equipo se encuentra en buenas condiciones, pero para corregir el error es necesario modificar las variables de ganancia y offset por lo que se modifica el valor del patrón. Al culminar la calibración se obtiene un equipo en óptimas condiciones. </t>
  </si>
  <si>
    <r>
      <t>mCd/l/m</t>
    </r>
    <r>
      <rPr>
        <b/>
        <vertAlign val="superscript"/>
        <sz val="10"/>
        <rFont val="Arial"/>
      </rPr>
      <t>2</t>
    </r>
  </si>
  <si>
    <r>
      <t>mCd/l/m</t>
    </r>
    <r>
      <rPr>
        <b/>
        <vertAlign val="superscript"/>
        <sz val="10"/>
        <rFont val="Arial"/>
      </rPr>
      <t>2</t>
    </r>
  </si>
  <si>
    <t>Fecha Llegada: 21 de Noviembre de 2017</t>
  </si>
  <si>
    <t>Fecha de intervención: 21 de Noviembre de 2017</t>
  </si>
  <si>
    <t xml:space="preserve">EL equipo llego sin cargar, el cargador estaba roto, producto de un posibleimpacto, se cambio el cargadors, y se puso apruebas arrojando un correcto funcionamiento. </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</si>
  <si>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</si>
  <si>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</si>
  <si>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</si>
  <si>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</si>
  <si>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Fecha Llegada: 15 de mayo de 2018</t>
  </si>
  <si>
    <t>Fecha de intervención: 17 de mayo de 2018</t>
  </si>
  <si>
    <t>SLH-032</t>
  </si>
  <si>
    <t>Fecha Llegada: 6 de Septiembre 2017</t>
  </si>
  <si>
    <r>
      <t>mCd/l/m</t>
    </r>
    <r>
      <rPr>
        <b/>
        <vertAlign val="superscript"/>
        <sz val="10"/>
        <rFont val="Arial"/>
      </rPr>
      <t>2</t>
    </r>
  </si>
  <si>
    <t>Calibrado por Diego Rubiano</t>
  </si>
  <si>
    <r>
      <t>mCd/l/m</t>
    </r>
    <r>
      <rPr>
        <b/>
        <vertAlign val="superscript"/>
        <sz val="10"/>
        <rFont val="Arial"/>
      </rPr>
      <t>2</t>
    </r>
  </si>
  <si>
    <t xml:space="preserve">El equipo es sensible a cambios de temperatura. Se le realizarón pruebas al equipo en un rango de temperatura comprendido entre 20 y 26,5 grados, dando como cambio en la medición una diferencia de 40 unidades aproximadamente.  </t>
  </si>
  <si>
    <r>
      <t>mCd/l/m</t>
    </r>
    <r>
      <rPr>
        <b/>
        <vertAlign val="superscript"/>
        <sz val="10"/>
        <rFont val="Arial"/>
      </rPr>
      <t>2</t>
    </r>
  </si>
  <si>
    <r>
      <t>mCd/l/m</t>
    </r>
    <r>
      <rPr>
        <b/>
        <vertAlign val="superscript"/>
        <sz val="10"/>
        <rFont val="Arial"/>
      </rPr>
      <t>2</t>
    </r>
  </si>
  <si>
    <t>SLV-009</t>
  </si>
  <si>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</si>
  <si>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</si>
  <si>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</si>
  <si>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</si>
  <si>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</si>
  <si>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</si>
  <si>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</si>
  <si>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</si>
  <si>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</si>
  <si>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</si>
  <si>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</si>
  <si>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</si>
  <si>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</si>
  <si>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</si>
  <si>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</si>
  <si>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</si>
  <si>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</si>
  <si>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</si>
  <si>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det promedio</t>
  </si>
  <si>
    <t>SLV-026</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</si>
  <si>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</si>
  <si>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</si>
  <si>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</si>
  <si>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</si>
  <si>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</si>
  <si>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</si>
  <si>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</si>
  <si>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</si>
  <si>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Fecha Salida: 13-12-2017</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</si>
  <si>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</si>
  <si>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</si>
  <si>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</si>
  <si>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</si>
  <si>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</si>
  <si>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</si>
  <si>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</si>
  <si>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</si>
  <si>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</si>
  <si>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</si>
  <si>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</si>
  <si>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</si>
  <si>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El equipo ingresa por garantía puesto que se reinicia, adicional a ello se encontró un desajuste en la pantalla, esto se corrige destapando el equipo y colocando la PCB en su lugar, y ajustando la tornillería de la tarjeta electronica, se verificaron las medidas, y se encuentran adecuadas.</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</si>
  <si>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</si>
  <si>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</si>
  <si>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</si>
  <si>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</si>
  <si>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Fecha Llegada: 15 de junio de 2018</t>
  </si>
  <si>
    <t>Fecha de intervención: 15 de junio de 2018</t>
  </si>
  <si>
    <t>ESTADO CARGADOR</t>
  </si>
  <si>
    <t>PRUEBA MUESTRA QUE EL CARGADOR FUNCIONA CORRECTAMENTE.</t>
  </si>
  <si>
    <t xml:space="preserve">el sensor se salio de su posicion </t>
  </si>
  <si>
    <t>ESTADO BATERIA</t>
  </si>
  <si>
    <t>PRUEBA MUESTRA QUE LA BATERIA FUNCIONA CORRECTAMENTE.</t>
  </si>
  <si>
    <r>
      <t>mCd/l/m</t>
    </r>
    <r>
      <rPr>
        <b/>
        <vertAlign val="superscript"/>
        <sz val="10"/>
        <rFont val="Arial"/>
      </rPr>
      <t>2</t>
    </r>
  </si>
  <si>
    <t>ESTADO CONECTOR USB</t>
  </si>
  <si>
    <r>
      <t>mCd/l/m</t>
    </r>
    <r>
      <rPr>
        <b/>
        <vertAlign val="superscript"/>
        <sz val="10"/>
        <rFont val="Arial"/>
      </rPr>
      <t>2</t>
    </r>
  </si>
  <si>
    <t>SE LE AGREGA SILICONA PARA EVITAR ENTRADA DE LUZ AL EQUIPO.</t>
  </si>
  <si>
    <t>ESTADO LCD</t>
  </si>
  <si>
    <t>EN BUEN ESTADO, NO ES NECESARIA LIMPIEZA.</t>
  </si>
  <si>
    <t>Fecha Llegada:</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</si>
  <si>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</si>
  <si>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</si>
  <si>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</si>
  <si>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</si>
  <si>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p41</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</si>
  <si>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</si>
  <si>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</si>
  <si>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</si>
  <si>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</si>
  <si>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</si>
  <si>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</si>
  <si>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</si>
  <si>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</si>
  <si>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</si>
  <si>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</si>
  <si>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</si>
  <si>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</si>
  <si>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malas medidas</t>
  </si>
  <si>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</si>
  <si>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</si>
  <si>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</si>
  <si>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</si>
  <si>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</si>
  <si>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</si>
  <si>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</si>
  <si>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</si>
  <si>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</si>
  <si>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</si>
  <si>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</si>
  <si>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</si>
  <si>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</si>
  <si>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</si>
  <si>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SLV-017</t>
  </si>
  <si>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</si>
  <si>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</si>
  <si>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</si>
  <si>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</si>
  <si>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</si>
  <si>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</si>
  <si>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</si>
  <si>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</si>
  <si>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</si>
  <si>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</si>
  <si>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SLH-052</t>
  </si>
  <si>
    <r>
      <t>mCd/l/m</t>
    </r>
    <r>
      <rPr>
        <b/>
        <vertAlign val="superscript"/>
        <sz val="10"/>
        <rFont val="Arial"/>
      </rPr>
      <t>2</t>
    </r>
  </si>
  <si>
    <r>
      <t>mCd/l/m</t>
    </r>
    <r>
      <rPr>
        <b/>
        <vertAlign val="superscript"/>
        <sz val="10"/>
        <rFont val="Arial"/>
      </rPr>
      <t>2</t>
    </r>
  </si>
  <si>
    <t>El equipo entra a garantia debido a que el patron vence el dia 24 de junio de 2018. Llega con el boton de enter sin funcionamiento. El error es debido a que se solto un cable. Se inspecciona el equipo y no se encuentran anomalias. El boton enter del equipo presenta desgaste severo, funciona pero al presionarlo duro.</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</si>
  <si>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</si>
  <si>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</si>
  <si>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</si>
  <si>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</si>
  <si>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</si>
  <si>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</si>
  <si>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SLV-027</t>
  </si>
  <si>
    <t>SLH-030a</t>
  </si>
  <si>
    <t>Se cambia boton que estaba fallando</t>
  </si>
  <si>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</si>
  <si>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</si>
  <si>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</si>
  <si>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</si>
  <si>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</si>
  <si>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</si>
  <si>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</si>
  <si>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</si>
  <si>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</si>
  <si>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</si>
  <si>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</si>
  <si>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</si>
  <si>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</si>
  <si>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</si>
  <si>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</si>
  <si>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</si>
  <si>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</si>
  <si>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</si>
  <si>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</si>
  <si>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</si>
  <si>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 xml:space="preserve">Fecha de llegada : </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</si>
  <si>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</si>
  <si>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</si>
  <si>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</si>
  <si>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</si>
  <si>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</si>
  <si>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</si>
  <si>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</si>
  <si>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</si>
  <si>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</si>
  <si>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</si>
  <si>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</si>
  <si>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</si>
  <si>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</si>
  <si>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</si>
  <si>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</si>
  <si>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</si>
  <si>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</si>
  <si>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</si>
  <si>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</si>
  <si>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</si>
  <si>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</si>
  <si>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</si>
  <si>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30-80</t>
  </si>
  <si>
    <t>40-80</t>
  </si>
  <si>
    <t>50-80</t>
  </si>
  <si>
    <r>
      <t>mCd/l/m</t>
    </r>
    <r>
      <rPr>
        <b/>
        <vertAlign val="superscript"/>
        <sz val="10"/>
        <rFont val="Arial"/>
      </rPr>
      <t>2</t>
    </r>
  </si>
  <si>
    <r>
      <t>mCd/l/m</t>
    </r>
    <r>
      <rPr>
        <b/>
        <vertAlign val="superscript"/>
        <sz val="10"/>
        <rFont val="Arial"/>
      </rPr>
      <t>2</t>
    </r>
  </si>
  <si>
    <t>MEDIDAS INICALES ALTAS E INCREMENTALES.</t>
  </si>
  <si>
    <r>
      <t>mCd/l/m</t>
    </r>
    <r>
      <rPr>
        <b/>
        <vertAlign val="superscript"/>
        <sz val="10"/>
        <rFont val="Arial"/>
      </rPr>
      <t>2</t>
    </r>
  </si>
  <si>
    <t>ESTADO TARJETA ELECTRONICA</t>
  </si>
  <si>
    <t>TARJETA ELECTRONICA FUNCIONANDO INCORRECTAMENTE, SE PROCEDE A SU CAMBIO.</t>
  </si>
  <si>
    <r>
      <t>mCd/l/m</t>
    </r>
    <r>
      <rPr>
        <b/>
        <vertAlign val="superscript"/>
        <sz val="10"/>
        <rFont val="Arial"/>
      </rPr>
      <t>2</t>
    </r>
  </si>
  <si>
    <t>Temperatura= 23,7°C</t>
  </si>
  <si>
    <t>Temperatura= 25,7°C</t>
  </si>
  <si>
    <t xml:space="preserve">ESTADO CAJA NEGRA </t>
  </si>
  <si>
    <t>POSEE ENTRADA DE LUZ EN LA PARTE DELANTERA, SE APLICA SILICONA NEGRA PARA SELLARLA.</t>
  </si>
  <si>
    <t>SLV-014</t>
  </si>
  <si>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</si>
  <si>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</si>
  <si>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</si>
  <si>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</si>
  <si>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</si>
  <si>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</si>
  <si>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</si>
  <si>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</si>
  <si>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</si>
  <si>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</si>
  <si>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</si>
  <si>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</si>
  <si>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</si>
  <si>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</si>
  <si>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</si>
  <si>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</si>
  <si>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</si>
  <si>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</si>
  <si>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</si>
  <si>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</si>
  <si>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t>Fecha Llegada: 01 - Agosto - 2018</t>
  </si>
  <si>
    <t xml:space="preserve">Fecha : 22-12-2017 </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</si>
  <si>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</si>
  <si>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</si>
  <si>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</si>
  <si>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</si>
  <si>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</si>
  <si>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</si>
  <si>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</si>
  <si>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</si>
  <si>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</si>
  <si>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</si>
  <si>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</si>
  <si>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</si>
  <si>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</si>
  <si>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</si>
  <si>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</si>
  <si>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</si>
  <si>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MEDIDAS INICIALES BAJAS, SE PROCEDE A SU CALIBRACION.</t>
  </si>
  <si>
    <t>SENSOR DE LUZ</t>
  </si>
  <si>
    <t>EN BUEN ESTADO, FUNCIONA CORECTAMENTE.</t>
  </si>
  <si>
    <t>SENSOR DE HUMEDAD</t>
  </si>
  <si>
    <t>SLV-030</t>
  </si>
  <si>
    <t>Fecha Salida: 18 de Octubre de 2017</t>
  </si>
  <si>
    <t>PRUEBA MUESTRA QUE NO FUNCIONA, SE REALIZA SU CAMBIO.</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</si>
  <si>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</si>
  <si>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</si>
  <si>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</si>
  <si>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</si>
  <si>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</si>
  <si>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</si>
  <si>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</si>
  <si>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</si>
  <si>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ref</t>
  </si>
  <si>
    <r>
      <t>mCd/l/m</t>
    </r>
    <r>
      <rPr>
        <b/>
        <vertAlign val="superscript"/>
        <sz val="10"/>
        <rFont val="Arial"/>
      </rPr>
      <t>2</t>
    </r>
  </si>
  <si>
    <r>
      <t>mCd/l/m</t>
    </r>
    <r>
      <rPr>
        <b/>
        <vertAlign val="superscript"/>
        <sz val="10"/>
        <rFont val="Arial"/>
      </rPr>
      <t>2</t>
    </r>
  </si>
  <si>
    <t>SLH-053</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</si>
  <si>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</si>
  <si>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</si>
  <si>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</si>
  <si>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</si>
  <si>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</si>
  <si>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</si>
  <si>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</si>
  <si>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</si>
  <si>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</si>
  <si>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</si>
  <si>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</si>
  <si>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</si>
  <si>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</si>
  <si>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</si>
  <si>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</si>
  <si>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</si>
  <si>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</si>
  <si>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</si>
  <si>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</si>
  <si>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</si>
  <si>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</si>
  <si>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</si>
  <si>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</si>
  <si>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</si>
  <si>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</si>
  <si>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</si>
  <si>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</si>
  <si>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</si>
  <si>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</si>
  <si>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</si>
  <si>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</si>
  <si>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</si>
  <si>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</si>
  <si>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</si>
  <si>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</si>
  <si>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</si>
  <si>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</si>
  <si>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</si>
  <si>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</si>
  <si>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</si>
  <si>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</si>
  <si>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</si>
  <si>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</si>
  <si>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</si>
  <si>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</si>
  <si>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</si>
  <si>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</si>
  <si>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</si>
  <si>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</si>
  <si>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</si>
  <si>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</si>
  <si>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</si>
  <si>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</si>
  <si>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</si>
  <si>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</si>
  <si>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</si>
  <si>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</si>
  <si>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</si>
  <si>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calibracion:24/02/2020</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</si>
  <si>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</si>
  <si>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</si>
  <si>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</si>
  <si>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</si>
  <si>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</si>
  <si>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</si>
  <si>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</si>
  <si>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</si>
  <si>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SLH-038</t>
  </si>
  <si>
    <t xml:space="preserve">FECHA: </t>
  </si>
  <si>
    <t>SLH-050</t>
  </si>
  <si>
    <t>Temperatura= 18.3 grados</t>
  </si>
  <si>
    <t>SLH-060</t>
  </si>
  <si>
    <t>MEDIDA INICiAL</t>
  </si>
  <si>
    <t>MEDIDAS INICIALES CORRECTAS EXCEPTO AMARILLO QUE MUESTRA UNA LECTURA BAJA</t>
  </si>
  <si>
    <r>
      <t>mCd/l/m</t>
    </r>
    <r>
      <rPr>
        <b/>
        <vertAlign val="superscript"/>
        <sz val="10"/>
        <rFont val="Arial"/>
      </rPr>
      <t>2</t>
    </r>
  </si>
  <si>
    <r>
      <t>mCd/l/m</t>
    </r>
    <r>
      <rPr>
        <b/>
        <vertAlign val="superscript"/>
        <sz val="10"/>
        <rFont val="Arial"/>
      </rPr>
      <t>2</t>
    </r>
  </si>
  <si>
    <t>BUEN ESTADO, SE REALIZA LIMPIEZA.</t>
  </si>
  <si>
    <r>
      <t>mCd/l/m</t>
    </r>
    <r>
      <rPr>
        <b/>
        <vertAlign val="superscript"/>
        <sz val="10"/>
        <rFont val="Arial"/>
      </rPr>
      <t>2</t>
    </r>
  </si>
  <si>
    <r>
      <t>mCd/l/m</t>
    </r>
    <r>
      <rPr>
        <b/>
        <vertAlign val="superscript"/>
        <sz val="10"/>
        <rFont val="Arial"/>
      </rPr>
      <t>2</t>
    </r>
  </si>
  <si>
    <r>
      <t>mCd/l/m</t>
    </r>
    <r>
      <rPr>
        <b/>
        <vertAlign val="superscript"/>
        <sz val="10"/>
        <rFont val="Arial"/>
      </rPr>
      <t>2</t>
    </r>
  </si>
  <si>
    <t>POSEE ENTRADA DE LUZ EN LA PARTE TRASERA, SE APLICA SILICONA NEGRA PARA SELLARLA.</t>
  </si>
  <si>
    <r>
      <t>mCd/l/m</t>
    </r>
    <r>
      <rPr>
        <b/>
        <vertAlign val="superscript"/>
        <sz val="10"/>
        <rFont val="Arial"/>
      </rPr>
      <t>2</t>
    </r>
  </si>
  <si>
    <t>REVISIÓN BOTONES</t>
  </si>
  <si>
    <r>
      <t>mCd/l/m</t>
    </r>
    <r>
      <rPr>
        <b/>
        <vertAlign val="superscript"/>
        <sz val="10"/>
        <rFont val="Arial"/>
      </rPr>
      <t>2</t>
    </r>
  </si>
  <si>
    <t>REVISIÓN LEDS ÓPTICA</t>
  </si>
  <si>
    <r>
      <t>mCd/l/m</t>
    </r>
    <r>
      <rPr>
        <b/>
        <vertAlign val="superscript"/>
        <sz val="10"/>
        <rFont val="Arial"/>
      </rPr>
      <t>2</t>
    </r>
  </si>
  <si>
    <r>
      <t>mCd/l/m</t>
    </r>
    <r>
      <rPr>
        <b/>
        <vertAlign val="superscript"/>
        <sz val="10"/>
        <rFont val="Arial"/>
      </rPr>
      <t>2</t>
    </r>
  </si>
  <si>
    <r>
      <t>mCd/l/m</t>
    </r>
    <r>
      <rPr>
        <b/>
        <vertAlign val="superscript"/>
        <sz val="10"/>
        <rFont val="Arial"/>
      </rPr>
      <t>2</t>
    </r>
  </si>
  <si>
    <t>ESTADO PATRÓN</t>
  </si>
  <si>
    <t>BUEN ESTADO, SE LIMPIA CON VARSOL.</t>
  </si>
  <si>
    <t>RECOMENDACIONES:</t>
  </si>
  <si>
    <t>NO COLCOAR EL EQUIPO EN PINTURA FRESCA.</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</si>
  <si>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</si>
  <si>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</si>
  <si>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</si>
  <si>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</si>
  <si>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</si>
  <si>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</si>
  <si>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SLH-018</t>
  </si>
  <si>
    <r>
      <t>Cd/l/m</t>
    </r>
    <r>
      <rPr>
        <b/>
        <vertAlign val="superscript"/>
        <sz val="10"/>
        <rFont val="Arial"/>
      </rPr>
      <t>2</t>
    </r>
  </si>
  <si>
    <r>
      <t>Cd/l/m</t>
    </r>
    <r>
      <rPr>
        <b/>
        <vertAlign val="superscript"/>
        <sz val="10"/>
        <rFont val="Arial"/>
      </rPr>
      <t>2</t>
    </r>
  </si>
  <si>
    <t>SLV-024</t>
  </si>
  <si>
    <t>Fecha Llegada: 13 de marzo de 2018</t>
  </si>
  <si>
    <r>
      <t>mCd/l/m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</si>
  <si>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</si>
  <si>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</si>
  <si>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</si>
  <si>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</si>
  <si>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</si>
  <si>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</si>
  <si>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</si>
  <si>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</si>
  <si>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</si>
  <si>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</si>
  <si>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</si>
  <si>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t>SLH-049</t>
  </si>
  <si>
    <r>
      <t>mCd/l/m</t>
    </r>
    <r>
      <rPr>
        <b/>
        <vertAlign val="superscript"/>
        <sz val="10"/>
        <rFont val="Arial"/>
      </rPr>
      <t>2</t>
    </r>
  </si>
  <si>
    <r>
      <t>mCd/l/m</t>
    </r>
    <r>
      <rPr>
        <b/>
        <vertAlign val="superscript"/>
        <sz val="10"/>
        <rFont val="Arial"/>
      </rPr>
      <t>2</t>
    </r>
  </si>
  <si>
    <t>¡</t>
  </si>
  <si>
    <r>
      <t>mCd/l/m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</si>
  <si>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</si>
  <si>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</si>
  <si>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</si>
  <si>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</si>
  <si>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</si>
  <si>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</si>
  <si>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</si>
  <si>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</si>
  <si>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</si>
  <si>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SLH-021</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</si>
  <si>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</si>
  <si>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</si>
  <si>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</si>
  <si>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</si>
  <si>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SLV-002</t>
  </si>
  <si>
    <t xml:space="preserve">Fecha Salida: 8 de febrero del 2018 </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</si>
  <si>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</si>
  <si>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</si>
  <si>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</si>
  <si>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</si>
  <si>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</si>
  <si>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</si>
  <si>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</si>
  <si>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</si>
  <si>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t>SLH-005</t>
  </si>
  <si>
    <t>Temperatura= 22,6 grados</t>
  </si>
  <si>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</si>
  <si>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</si>
  <si>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</si>
  <si>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</si>
  <si>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</si>
  <si>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</si>
  <si>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</si>
  <si>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</si>
  <si>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</si>
  <si>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</si>
  <si>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</si>
  <si>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</si>
  <si>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</si>
  <si>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</si>
  <si>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</si>
  <si>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</si>
  <si>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</si>
  <si>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Cd/l/m</t>
    </r>
    <r>
      <rPr>
        <b/>
        <vertAlign val="superscript"/>
        <sz val="10"/>
        <rFont val="Arial"/>
      </rPr>
      <t>2</t>
    </r>
  </si>
  <si>
    <r>
      <t>mCd/l/m</t>
    </r>
    <r>
      <rPr>
        <b/>
        <vertAlign val="superscript"/>
        <sz val="10"/>
        <rFont val="Arial"/>
      </rPr>
      <t>2</t>
    </r>
  </si>
  <si>
    <r>
      <t>mCd/l/m</t>
    </r>
    <r>
      <rPr>
        <b/>
        <vertAlign val="superscript"/>
        <sz val="10"/>
        <rFont val="Arial"/>
      </rPr>
      <t>2</t>
    </r>
  </si>
  <si>
    <t>SLH-015</t>
  </si>
  <si>
    <t>Fecha Llegada: 24/10/2018</t>
  </si>
  <si>
    <t>SLH-011</t>
  </si>
  <si>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</si>
  <si>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</si>
  <si>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</si>
  <si>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</si>
  <si>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</si>
  <si>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r>
      <t>mCd/l/m</t>
    </r>
    <r>
      <rPr>
        <b/>
        <vertAlign val="superscript"/>
        <sz val="10"/>
        <rFont val="Arial"/>
      </rPr>
      <t>2</t>
    </r>
  </si>
  <si>
    <t>MAYO-26-2020</t>
  </si>
  <si>
    <t xml:space="preserve"> PAPEL AMARILLO</t>
  </si>
  <si>
    <t>PAPEL BLANCO</t>
  </si>
  <si>
    <t>PAPEL NARANJA</t>
  </si>
  <si>
    <t>PAPEL ROJO</t>
  </si>
  <si>
    <t>PAPEL AZUL</t>
  </si>
  <si>
    <t>PAPEL VERDE</t>
  </si>
  <si>
    <t xml:space="preserve">   </t>
  </si>
  <si>
    <t>TESB6:F58TIGO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</si>
</sst>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
    <numFmt numFmtId="167" formatCode="[$-F800]dddd\,\ mmmm\ dd\,\ yyyy"/>
  </numFmts>
  <fonts count="33" x14ac:knownFonts="1">
    <font>
      <sz val="11"/>
      <color theme="1"/>
      <name val="Arial"/>
    </font>
    <font>
      <b/>
      <sz val="11"/>
      <color theme="1"/>
      <name val="Calibri"/>
    </font>
    <font>
      <sz val="11"/>
      <color theme="1"/>
      <name val="Calibri"/>
    </font>
    <font>
      <b/>
      <sz val="9"/>
      <color theme="1"/>
      <name val="Arial"/>
    </font>
    <font>
      <b/>
      <sz val="10"/>
      <color theme="1"/>
      <name val="Arial"/>
    </font>
    <font>
      <sz val="11"/>
      <name val="Arial"/>
    </font>
    <font>
      <sz val="10"/>
      <color theme="1"/>
      <name val="Arial"/>
    </font>
    <font>
      <b/>
      <sz val="10"/>
      <name val="Arial"/>
    </font>
    <font>
      <sz val="11"/>
      <color theme="1"/>
      <name val="Calibri"/>
    </font>
    <font>
      <sz val="10"/>
      <color rgb="FF000000"/>
      <name val="Arial"/>
    </font>
    <font>
      <b/>
      <i/>
      <u/>
      <sz val="14"/>
      <color theme="1"/>
      <name val="Calibri"/>
    </font>
    <font>
      <b/>
      <i/>
      <u/>
      <sz val="14"/>
      <color theme="1"/>
      <name val="Calibri"/>
    </font>
    <font>
      <b/>
      <sz val="14"/>
      <color theme="1"/>
      <name val="Calibri"/>
    </font>
    <font>
      <b/>
      <i/>
      <sz val="11"/>
      <color theme="1"/>
      <name val="Calibri"/>
    </font>
    <font>
      <u/>
      <sz val="12"/>
      <color theme="1"/>
      <name val="Calibri"/>
    </font>
    <font>
      <u/>
      <sz val="11"/>
      <color theme="1"/>
      <name val="Calibri"/>
    </font>
    <font>
      <u/>
      <sz val="11"/>
      <color theme="1"/>
      <name val="Calibri"/>
    </font>
    <font>
      <u/>
      <sz val="12"/>
      <color theme="1"/>
      <name val="Calibri"/>
    </font>
    <font>
      <sz val="14"/>
      <color theme="1"/>
      <name val="Calibri"/>
    </font>
    <font>
      <b/>
      <sz val="10"/>
      <color rgb="FF000000"/>
      <name val="Arial"/>
    </font>
    <font>
      <sz val="10"/>
      <color theme="1"/>
      <name val="Times New Roman"/>
    </font>
    <font>
      <b/>
      <sz val="12"/>
      <color theme="1"/>
      <name val="Calibri"/>
    </font>
    <font>
      <sz val="14"/>
      <color rgb="FF000000"/>
      <name val="Tahoma"/>
    </font>
    <font>
      <sz val="10"/>
      <color rgb="FF000000"/>
      <name val="Tahoma"/>
    </font>
    <font>
      <b/>
      <sz val="11"/>
      <color rgb="FF000000"/>
      <name val="Calibri"/>
    </font>
    <font>
      <b/>
      <sz val="14"/>
      <color theme="1"/>
      <name val="Arial"/>
    </font>
    <font>
      <sz val="14"/>
      <color rgb="FF000000"/>
      <name val="Calibri"/>
    </font>
    <font>
      <b/>
      <vertAlign val="superscript"/>
      <sz val="10"/>
      <name val="Arial"/>
    </font>
    <font>
      <sz val="11"/>
      <color rgb="FFFF0000"/>
      <name val="Calibri"/>
    </font>
    <font>
      <b/>
      <sz val="9"/>
      <color theme="1"/>
      <name val="Arial"/>
      <family val="2"/>
    </font>
    <font>
      <b/>
      <sz val="24"/>
      <color theme="1"/>
      <name val="Arial"/>
      <family val="2"/>
    </font>
    <font>
      <b/>
      <sz val="36"/>
      <color theme="1"/>
      <name val="Arial"/>
      <family val="2"/>
    </font>
    <font>
      <b/>
      <sz val="24"/>
      <name val="Arial"/>
      <family val="2"/>
    </font>
  </fonts>
  <fills count="21">
    <fill>
      <patternFill patternType="none"/>
    </fill>
    <fill>
      <patternFill patternType="gray125"/>
    </fill>
    <fill>
      <patternFill patternType="solid">
        <fgColor rgb="FFEAF1DD"/>
        <bgColor rgb="FFEAF1DD"/>
      </patternFill>
    </fill>
    <fill>
      <patternFill patternType="solid">
        <fgColor rgb="FFFFFF00"/>
        <bgColor rgb="FFFFFF00"/>
      </patternFill>
    </fill>
    <fill>
      <patternFill patternType="solid">
        <fgColor rgb="FF00B050"/>
        <bgColor rgb="FF00B050"/>
      </patternFill>
    </fill>
    <fill>
      <patternFill patternType="solid">
        <fgColor rgb="FFFF0000"/>
        <bgColor rgb="FFFF0000"/>
      </patternFill>
    </fill>
    <fill>
      <patternFill patternType="solid">
        <fgColor rgb="FF92D050"/>
        <bgColor rgb="FF92D050"/>
      </patternFill>
    </fill>
    <fill>
      <patternFill patternType="solid">
        <fgColor theme="5"/>
        <bgColor theme="5"/>
      </patternFill>
    </fill>
    <fill>
      <patternFill patternType="solid">
        <fgColor theme="0"/>
        <bgColor indexed="64"/>
      </patternFill>
    </fill>
    <fill>
      <patternFill patternType="solid">
        <fgColor rgb="FFFFC000"/>
        <bgColor indexed="64"/>
      </patternFill>
    </fill>
    <fill>
      <patternFill patternType="solid">
        <fgColor theme="9"/>
        <bgColor rgb="FFFFFF00"/>
      </patternFill>
    </fill>
    <fill>
      <patternFill patternType="solid">
        <fgColor theme="9"/>
        <bgColor indexed="64"/>
      </patternFill>
    </fill>
    <fill>
      <patternFill patternType="solid">
        <fgColor rgb="FFFF0000"/>
        <bgColor rgb="FFFFFF00"/>
      </patternFill>
    </fill>
    <fill>
      <patternFill patternType="solid">
        <fgColor rgb="FFFF0000"/>
        <bgColor indexed="64"/>
      </patternFill>
    </fill>
    <fill>
      <patternFill patternType="solid">
        <fgColor rgb="FF0070C0"/>
        <bgColor rgb="FFFFFF00"/>
      </patternFill>
    </fill>
    <fill>
      <patternFill patternType="solid">
        <fgColor rgb="FF0070C0"/>
        <bgColor indexed="64"/>
      </patternFill>
    </fill>
    <fill>
      <patternFill patternType="solid">
        <fgColor rgb="FF00B050"/>
        <bgColor rgb="FFFFFF00"/>
      </patternFill>
    </fill>
    <fill>
      <patternFill patternType="solid">
        <fgColor rgb="FF00B050"/>
        <bgColor indexed="64"/>
      </patternFill>
    </fill>
    <fill>
      <patternFill patternType="solid">
        <fgColor theme="0" tint="-0.14999847407452621"/>
        <bgColor rgb="FFFFFF00"/>
      </patternFill>
    </fill>
    <fill>
      <patternFill patternType="solid">
        <fgColor theme="0" tint="-0.14999847407452621"/>
        <bgColor indexed="64"/>
      </patternFill>
    </fill>
    <fill>
      <patternFill patternType="solid">
        <fgColor rgb="FFFFFF00"/>
        <bgColor rgb="FFEAF1DD"/>
      </patternFill>
    </fill>
  </fills>
  <borders count="87">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top style="medium">
        <color rgb="FF000000"/>
      </top>
      <bottom style="medium">
        <color rgb="FF000000"/>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diagonal/>
    </border>
    <border>
      <left/>
      <right/>
      <top/>
      <bottom/>
      <diagonal/>
    </border>
    <border>
      <left/>
      <right/>
      <top/>
      <bottom/>
      <diagonal/>
    </border>
    <border>
      <left/>
      <right/>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s>
  <cellStyleXfs count="1">
    <xf numFmtId="0" fontId="0" fillId="0" borderId="0"/>
  </cellStyleXfs>
  <cellXfs count="425">
    <xf numFmtId="0" fontId="0" fillId="0" borderId="0" xfId="0" applyFont="1" applyAlignment="1"/>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9" fontId="1" fillId="0" borderId="0" xfId="0" applyNumberFormat="1" applyFont="1" applyAlignment="1">
      <alignment horizontal="center" vertical="center"/>
    </xf>
    <xf numFmtId="9" fontId="3" fillId="2" borderId="2" xfId="0" applyNumberFormat="1"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6" fillId="0" borderId="8" xfId="0" applyFont="1" applyBorder="1" applyAlignment="1">
      <alignment horizontal="center" vertical="center" wrapText="1"/>
    </xf>
    <xf numFmtId="0" fontId="4" fillId="0" borderId="1" xfId="0" applyFont="1" applyBorder="1" applyAlignment="1">
      <alignment horizontal="center" vertical="center" wrapText="1"/>
    </xf>
    <xf numFmtId="0" fontId="4" fillId="0" borderId="6" xfId="0" applyFont="1" applyBorder="1" applyAlignment="1">
      <alignment horizontal="left" vertical="center" wrapText="1"/>
    </xf>
    <xf numFmtId="0" fontId="4" fillId="4" borderId="9" xfId="0" applyFont="1" applyFill="1" applyBorder="1" applyAlignment="1">
      <alignment horizontal="center" vertical="center" wrapText="1"/>
    </xf>
    <xf numFmtId="164" fontId="4" fillId="0" borderId="8" xfId="0" applyNumberFormat="1" applyFont="1" applyBorder="1" applyAlignment="1">
      <alignment horizontal="center" vertical="center" wrapText="1"/>
    </xf>
    <xf numFmtId="9" fontId="4" fillId="0" borderId="8" xfId="0" applyNumberFormat="1" applyFont="1" applyBorder="1" applyAlignment="1">
      <alignment horizontal="center" vertical="center" wrapText="1"/>
    </xf>
    <xf numFmtId="0" fontId="4" fillId="0" borderId="8" xfId="0" applyFont="1" applyBorder="1" applyAlignment="1">
      <alignment horizontal="center" vertical="center" wrapText="1"/>
    </xf>
    <xf numFmtId="0" fontId="4" fillId="5" borderId="9"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8" fillId="0" borderId="0" xfId="0" applyFont="1"/>
    <xf numFmtId="0" fontId="9" fillId="0" borderId="8" xfId="0" applyFont="1" applyBorder="1" applyAlignment="1">
      <alignment horizontal="center" vertical="center" wrapText="1"/>
    </xf>
    <xf numFmtId="0" fontId="1" fillId="0" borderId="0" xfId="0" applyFont="1"/>
    <xf numFmtId="0" fontId="4" fillId="0" borderId="5" xfId="0" applyFont="1" applyBorder="1" applyAlignment="1">
      <alignment horizontal="center" vertical="center" wrapText="1"/>
    </xf>
    <xf numFmtId="0" fontId="6" fillId="0" borderId="5" xfId="0" applyFont="1" applyBorder="1" applyAlignment="1">
      <alignment horizontal="center" vertical="center" wrapText="1"/>
    </xf>
    <xf numFmtId="0" fontId="9" fillId="0" borderId="5" xfId="0" applyFont="1" applyBorder="1" applyAlignment="1">
      <alignment horizontal="center" vertical="center" wrapText="1"/>
    </xf>
    <xf numFmtId="0" fontId="4" fillId="0" borderId="0" xfId="0" applyFont="1" applyAlignment="1">
      <alignment horizontal="center" vertical="center" wrapText="1"/>
    </xf>
    <xf numFmtId="0" fontId="2" fillId="0" borderId="0" xfId="0" applyFont="1"/>
    <xf numFmtId="0" fontId="2" fillId="3" borderId="12" xfId="0" applyFont="1" applyFill="1" applyBorder="1"/>
    <xf numFmtId="0" fontId="1" fillId="3" borderId="12" xfId="0" applyFont="1" applyFill="1" applyBorder="1" applyAlignment="1">
      <alignment horizontal="center" vertical="center"/>
    </xf>
    <xf numFmtId="0" fontId="6" fillId="0" borderId="0" xfId="0" applyFont="1" applyAlignment="1">
      <alignment horizontal="center" vertical="center" wrapText="1"/>
    </xf>
    <xf numFmtId="0" fontId="2" fillId="3" borderId="12" xfId="0" applyFont="1" applyFill="1" applyBorder="1" applyAlignment="1">
      <alignment horizontal="center" vertical="center"/>
    </xf>
    <xf numFmtId="0" fontId="4" fillId="3" borderId="12" xfId="0" applyFont="1" applyFill="1" applyBorder="1" applyAlignment="1">
      <alignment horizontal="center" vertical="center" wrapText="1"/>
    </xf>
    <xf numFmtId="0" fontId="2" fillId="3" borderId="12" xfId="0" applyFont="1" applyFill="1" applyBorder="1" applyAlignment="1">
      <alignment horizontal="center"/>
    </xf>
    <xf numFmtId="0" fontId="6" fillId="3" borderId="12" xfId="0" applyFont="1" applyFill="1" applyBorder="1" applyAlignment="1">
      <alignment horizontal="center" vertical="center" wrapText="1"/>
    </xf>
    <xf numFmtId="0" fontId="9" fillId="3" borderId="12" xfId="0" applyFont="1" applyFill="1" applyBorder="1" applyAlignment="1">
      <alignment horizontal="center" vertical="center" wrapText="1"/>
    </xf>
    <xf numFmtId="14" fontId="2" fillId="0" borderId="0" xfId="0" applyNumberFormat="1" applyFont="1" applyAlignment="1">
      <alignment horizontal="center" vertical="center"/>
    </xf>
    <xf numFmtId="0" fontId="9" fillId="0" borderId="0" xfId="0" applyFont="1" applyAlignment="1">
      <alignment horizontal="center" vertical="center" wrapText="1"/>
    </xf>
    <xf numFmtId="1" fontId="4" fillId="4" borderId="9" xfId="0" applyNumberFormat="1" applyFont="1" applyFill="1" applyBorder="1" applyAlignment="1">
      <alignment horizontal="center" vertical="center" wrapText="1"/>
    </xf>
    <xf numFmtId="1" fontId="4" fillId="5" borderId="9" xfId="0" applyNumberFormat="1" applyFont="1" applyFill="1" applyBorder="1" applyAlignment="1">
      <alignment horizontal="center"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0" xfId="0" applyFont="1" applyAlignment="1">
      <alignment horizontal="left" vertical="center" wrapText="1"/>
    </xf>
    <xf numFmtId="0" fontId="4" fillId="3" borderId="13" xfId="0" applyFont="1" applyFill="1" applyBorder="1" applyAlignment="1">
      <alignment vertical="center" wrapText="1"/>
    </xf>
    <xf numFmtId="2" fontId="3" fillId="2" borderId="1" xfId="0" applyNumberFormat="1" applyFont="1" applyFill="1" applyBorder="1" applyAlignment="1">
      <alignment horizontal="center" vertical="center" wrapText="1"/>
    </xf>
    <xf numFmtId="0" fontId="4" fillId="3" borderId="14" xfId="0" applyFont="1" applyFill="1" applyBorder="1" applyAlignment="1">
      <alignment vertical="center" wrapText="1"/>
    </xf>
    <xf numFmtId="1" fontId="6" fillId="0" borderId="8" xfId="0" applyNumberFormat="1" applyFont="1" applyBorder="1" applyAlignment="1">
      <alignment horizontal="center" vertical="center" wrapText="1"/>
    </xf>
    <xf numFmtId="0" fontId="2" fillId="0" borderId="0" xfId="0" applyFont="1" applyAlignment="1">
      <alignment horizontal="center" vertical="center" wrapText="1"/>
    </xf>
    <xf numFmtId="0" fontId="4" fillId="0" borderId="10" xfId="0" applyFont="1" applyBorder="1" applyAlignment="1">
      <alignment horizontal="center" vertical="center" wrapText="1"/>
    </xf>
    <xf numFmtId="1" fontId="6" fillId="0" borderId="15" xfId="0" applyNumberFormat="1" applyFont="1" applyBorder="1" applyAlignment="1">
      <alignment horizontal="center" vertical="center" wrapText="1"/>
    </xf>
    <xf numFmtId="0" fontId="6" fillId="0" borderId="15" xfId="0" applyFont="1" applyBorder="1" applyAlignment="1">
      <alignment horizontal="center" vertical="center" wrapText="1"/>
    </xf>
    <xf numFmtId="0" fontId="6" fillId="0" borderId="18" xfId="0" applyFont="1" applyBorder="1" applyAlignment="1">
      <alignment horizontal="center" vertical="center" wrapText="1"/>
    </xf>
    <xf numFmtId="1" fontId="2" fillId="0" borderId="7" xfId="0" applyNumberFormat="1" applyFont="1" applyBorder="1" applyAlignment="1">
      <alignment horizontal="center"/>
    </xf>
    <xf numFmtId="1" fontId="2" fillId="0" borderId="1" xfId="0" applyNumberFormat="1" applyFont="1" applyBorder="1" applyAlignment="1">
      <alignment horizontal="center"/>
    </xf>
    <xf numFmtId="1" fontId="2" fillId="0" borderId="6" xfId="0" applyNumberFormat="1" applyFont="1" applyBorder="1" applyAlignment="1">
      <alignment horizontal="center"/>
    </xf>
    <xf numFmtId="1" fontId="4" fillId="0" borderId="6" xfId="0" applyNumberFormat="1" applyFont="1" applyBorder="1" applyAlignment="1">
      <alignment horizontal="center" vertical="center" wrapText="1"/>
    </xf>
    <xf numFmtId="1" fontId="4" fillId="0" borderId="10" xfId="0" applyNumberFormat="1" applyFont="1" applyBorder="1" applyAlignment="1">
      <alignment horizontal="center" vertical="center" wrapText="1"/>
    </xf>
    <xf numFmtId="0" fontId="13" fillId="0" borderId="27" xfId="0" applyFont="1" applyBorder="1" applyAlignment="1">
      <alignment horizontal="center" vertical="center"/>
    </xf>
    <xf numFmtId="0" fontId="13" fillId="0" borderId="28" xfId="0" applyFont="1" applyBorder="1" applyAlignment="1">
      <alignment horizontal="center" vertical="center" wrapText="1"/>
    </xf>
    <xf numFmtId="9" fontId="1" fillId="3" borderId="12" xfId="0" applyNumberFormat="1" applyFont="1" applyFill="1" applyBorder="1" applyAlignment="1">
      <alignment horizontal="center" vertical="center"/>
    </xf>
    <xf numFmtId="0" fontId="13" fillId="0" borderId="28" xfId="0" applyFont="1" applyBorder="1" applyAlignment="1">
      <alignment horizontal="center" vertical="center"/>
    </xf>
    <xf numFmtId="0" fontId="13" fillId="0" borderId="29" xfId="0" applyFont="1" applyBorder="1" applyAlignment="1">
      <alignment horizontal="center" vertical="center" wrapText="1"/>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2" fillId="0" borderId="31" xfId="0" applyFont="1" applyBorder="1" applyAlignment="1">
      <alignment horizontal="center" vertical="center"/>
    </xf>
    <xf numFmtId="0" fontId="2" fillId="0" borderId="31" xfId="0" applyFont="1" applyBorder="1" applyAlignment="1">
      <alignment horizontal="center"/>
    </xf>
    <xf numFmtId="1" fontId="4" fillId="0" borderId="4" xfId="0" applyNumberFormat="1" applyFont="1" applyBorder="1" applyAlignment="1">
      <alignment vertical="center" wrapText="1"/>
    </xf>
    <xf numFmtId="2" fontId="2" fillId="0" borderId="31" xfId="0" applyNumberFormat="1" applyFont="1" applyBorder="1" applyAlignment="1">
      <alignment horizontal="center" vertical="center"/>
    </xf>
    <xf numFmtId="1" fontId="6" fillId="0" borderId="5" xfId="0" applyNumberFormat="1" applyFont="1" applyBorder="1" applyAlignment="1">
      <alignment horizontal="center" vertical="center" wrapText="1"/>
    </xf>
    <xf numFmtId="0" fontId="2" fillId="0" borderId="34" xfId="0" applyFont="1" applyBorder="1" applyAlignment="1">
      <alignment horizont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 fontId="6" fillId="0" borderId="4" xfId="0" applyNumberFormat="1" applyFont="1" applyBorder="1" applyAlignment="1">
      <alignment horizontal="center" vertical="center" wrapText="1"/>
    </xf>
    <xf numFmtId="165" fontId="2" fillId="0" borderId="36" xfId="0" applyNumberFormat="1" applyFont="1" applyBorder="1" applyAlignment="1">
      <alignment horizontal="center" vertical="center"/>
    </xf>
    <xf numFmtId="0" fontId="2" fillId="0" borderId="37" xfId="0" applyFont="1" applyBorder="1" applyAlignment="1">
      <alignment horizontal="center" vertical="center"/>
    </xf>
    <xf numFmtId="166" fontId="14" fillId="0" borderId="38" xfId="0" applyNumberFormat="1" applyFont="1" applyBorder="1" applyAlignment="1">
      <alignment horizontal="center" vertical="center"/>
    </xf>
    <xf numFmtId="9" fontId="4" fillId="3" borderId="13" xfId="0" applyNumberFormat="1" applyFont="1" applyFill="1" applyBorder="1" applyAlignment="1">
      <alignment vertical="center" wrapText="1"/>
    </xf>
    <xf numFmtId="0" fontId="1" fillId="0" borderId="35" xfId="0" applyFont="1" applyBorder="1" applyAlignment="1">
      <alignment horizontal="center" vertical="center"/>
    </xf>
    <xf numFmtId="9" fontId="4" fillId="3" borderId="14" xfId="0" applyNumberFormat="1" applyFont="1" applyFill="1" applyBorder="1" applyAlignment="1">
      <alignment vertical="center" wrapText="1"/>
    </xf>
    <xf numFmtId="0" fontId="2" fillId="0" borderId="36" xfId="0" applyFont="1" applyBorder="1" applyAlignment="1">
      <alignment horizontal="center"/>
    </xf>
    <xf numFmtId="1" fontId="4" fillId="3" borderId="14" xfId="0" applyNumberFormat="1" applyFont="1" applyFill="1" applyBorder="1" applyAlignment="1">
      <alignment vertical="center" wrapText="1"/>
    </xf>
    <xf numFmtId="2" fontId="2" fillId="0" borderId="36" xfId="0" applyNumberFormat="1" applyFont="1" applyBorder="1" applyAlignment="1">
      <alignment horizontal="center" vertical="center"/>
    </xf>
    <xf numFmtId="1" fontId="4" fillId="3" borderId="2" xfId="0" applyNumberFormat="1" applyFont="1" applyFill="1" applyBorder="1" applyAlignment="1">
      <alignment vertical="center" wrapText="1"/>
    </xf>
    <xf numFmtId="10" fontId="2" fillId="0" borderId="39" xfId="0" applyNumberFormat="1" applyFont="1" applyBorder="1" applyAlignment="1">
      <alignment horizontal="center"/>
    </xf>
    <xf numFmtId="0" fontId="1" fillId="0" borderId="40" xfId="0" applyFont="1" applyBorder="1" applyAlignment="1">
      <alignment horizontal="center" vertical="center"/>
    </xf>
    <xf numFmtId="1" fontId="2" fillId="0" borderId="10" xfId="0" applyNumberFormat="1" applyFont="1" applyBorder="1" applyAlignment="1">
      <alignment horizontal="center"/>
    </xf>
    <xf numFmtId="166" fontId="2" fillId="0" borderId="36" xfId="0" applyNumberFormat="1" applyFont="1" applyBorder="1" applyAlignment="1">
      <alignment horizontal="center" vertical="center"/>
    </xf>
    <xf numFmtId="166" fontId="15" fillId="0" borderId="38" xfId="0" applyNumberFormat="1" applyFont="1" applyBorder="1" applyAlignment="1">
      <alignment horizontal="center" vertical="center"/>
    </xf>
    <xf numFmtId="165" fontId="2" fillId="0" borderId="36" xfId="0" applyNumberFormat="1" applyFont="1" applyBorder="1" applyAlignment="1">
      <alignment horizontal="center"/>
    </xf>
    <xf numFmtId="1" fontId="4" fillId="0" borderId="3" xfId="0" applyNumberFormat="1" applyFont="1" applyBorder="1" applyAlignment="1">
      <alignment vertical="center" wrapText="1"/>
    </xf>
    <xf numFmtId="0" fontId="1" fillId="0" borderId="36" xfId="0" applyFont="1" applyBorder="1" applyAlignment="1">
      <alignment horizontal="center" vertical="center"/>
    </xf>
    <xf numFmtId="0" fontId="1" fillId="0" borderId="37" xfId="0" applyFont="1" applyBorder="1" applyAlignment="1">
      <alignment horizontal="center" vertical="center"/>
    </xf>
    <xf numFmtId="0" fontId="1" fillId="0" borderId="10" xfId="0" applyFont="1" applyBorder="1" applyAlignment="1">
      <alignment horizontal="center" vertical="center"/>
    </xf>
    <xf numFmtId="0" fontId="1" fillId="0" borderId="41" xfId="0" applyFont="1" applyBorder="1" applyAlignment="1">
      <alignment horizontal="center" vertical="center"/>
    </xf>
    <xf numFmtId="0" fontId="2" fillId="0" borderId="42" xfId="0" applyFont="1" applyBorder="1" applyAlignment="1">
      <alignment horizontal="center" vertical="center"/>
    </xf>
    <xf numFmtId="1" fontId="4" fillId="0" borderId="5" xfId="0" applyNumberFormat="1" applyFont="1" applyBorder="1" applyAlignment="1">
      <alignment vertical="center" wrapText="1"/>
    </xf>
    <xf numFmtId="165" fontId="2" fillId="0" borderId="42" xfId="0" applyNumberFormat="1" applyFont="1" applyBorder="1" applyAlignment="1">
      <alignment horizontal="center"/>
    </xf>
    <xf numFmtId="2" fontId="2" fillId="0" borderId="42" xfId="0" applyNumberFormat="1" applyFont="1" applyBorder="1" applyAlignment="1">
      <alignment horizontal="center" vertical="center"/>
    </xf>
    <xf numFmtId="10" fontId="2" fillId="0" borderId="43" xfId="0" applyNumberFormat="1" applyFont="1" applyBorder="1" applyAlignment="1">
      <alignment horizontal="center"/>
    </xf>
    <xf numFmtId="165" fontId="2" fillId="0" borderId="41" xfId="0" applyNumberFormat="1" applyFont="1" applyBorder="1" applyAlignment="1">
      <alignment horizontal="center" vertical="center"/>
    </xf>
    <xf numFmtId="166" fontId="2" fillId="0" borderId="42" xfId="0" applyNumberFormat="1" applyFont="1" applyBorder="1" applyAlignment="1">
      <alignment horizontal="center" vertical="center"/>
    </xf>
    <xf numFmtId="165" fontId="2" fillId="0" borderId="42" xfId="0" applyNumberFormat="1" applyFont="1" applyBorder="1" applyAlignment="1">
      <alignment horizontal="center" vertical="center"/>
    </xf>
    <xf numFmtId="166" fontId="2" fillId="0" borderId="44" xfId="0" applyNumberFormat="1" applyFont="1" applyBorder="1" applyAlignment="1">
      <alignment horizontal="center" vertical="center"/>
    </xf>
    <xf numFmtId="166" fontId="16" fillId="0" borderId="45" xfId="0" applyNumberFormat="1" applyFont="1" applyBorder="1" applyAlignment="1">
      <alignment horizontal="center" vertical="center"/>
    </xf>
    <xf numFmtId="10" fontId="2" fillId="0" borderId="34" xfId="0" applyNumberFormat="1" applyFont="1" applyBorder="1" applyAlignment="1">
      <alignment horizontal="center"/>
    </xf>
    <xf numFmtId="0" fontId="17" fillId="0" borderId="38" xfId="0" applyFont="1" applyBorder="1" applyAlignment="1">
      <alignment horizontal="center" vertical="center"/>
    </xf>
    <xf numFmtId="165" fontId="2" fillId="0" borderId="37" xfId="0" applyNumberFormat="1" applyFont="1" applyBorder="1" applyAlignment="1">
      <alignment horizontal="center" vertical="center"/>
    </xf>
    <xf numFmtId="2" fontId="4" fillId="0" borderId="8" xfId="0" applyNumberFormat="1" applyFont="1" applyBorder="1" applyAlignment="1">
      <alignment horizontal="center" vertical="center" wrapText="1"/>
    </xf>
    <xf numFmtId="0" fontId="1" fillId="0" borderId="47" xfId="0" applyFont="1" applyBorder="1" applyAlignment="1">
      <alignment horizontal="center" vertical="center"/>
    </xf>
    <xf numFmtId="0" fontId="2" fillId="0" borderId="48" xfId="0" applyFont="1" applyBorder="1" applyAlignment="1">
      <alignment horizontal="center" vertical="center"/>
    </xf>
    <xf numFmtId="165" fontId="2" fillId="0" borderId="48" xfId="0" applyNumberFormat="1" applyFont="1" applyBorder="1" applyAlignment="1">
      <alignment horizontal="center"/>
    </xf>
    <xf numFmtId="2" fontId="2" fillId="0" borderId="48" xfId="0" applyNumberFormat="1" applyFont="1" applyBorder="1" applyAlignment="1">
      <alignment horizontal="center"/>
    </xf>
    <xf numFmtId="10" fontId="2" fillId="0" borderId="49" xfId="0" applyNumberFormat="1" applyFont="1" applyBorder="1" applyAlignment="1">
      <alignment horizontal="center"/>
    </xf>
    <xf numFmtId="165" fontId="2" fillId="0" borderId="47" xfId="0" applyNumberFormat="1" applyFont="1" applyBorder="1" applyAlignment="1">
      <alignment horizontal="center" vertical="center"/>
    </xf>
    <xf numFmtId="166" fontId="2" fillId="0" borderId="48" xfId="0" applyNumberFormat="1" applyFont="1" applyBorder="1" applyAlignment="1">
      <alignment horizontal="center" vertical="center"/>
    </xf>
    <xf numFmtId="165" fontId="2" fillId="0" borderId="48" xfId="0" applyNumberFormat="1" applyFont="1" applyBorder="1" applyAlignment="1">
      <alignment horizontal="center" vertical="center"/>
    </xf>
    <xf numFmtId="0" fontId="2" fillId="0" borderId="50" xfId="0" applyFont="1" applyBorder="1" applyAlignment="1">
      <alignment horizontal="center" vertical="center"/>
    </xf>
    <xf numFmtId="15" fontId="2" fillId="0" borderId="0" xfId="0" applyNumberFormat="1" applyFont="1"/>
    <xf numFmtId="0" fontId="2" fillId="0" borderId="0" xfId="0" applyFont="1" applyAlignment="1">
      <alignment vertical="center"/>
    </xf>
    <xf numFmtId="2" fontId="2" fillId="3" borderId="12" xfId="0" applyNumberFormat="1" applyFont="1" applyFill="1" applyBorder="1"/>
    <xf numFmtId="2" fontId="2" fillId="0" borderId="0" xfId="0" applyNumberFormat="1" applyFont="1"/>
    <xf numFmtId="14" fontId="2" fillId="0" borderId="0" xfId="0" applyNumberFormat="1" applyFont="1"/>
    <xf numFmtId="0" fontId="4" fillId="0" borderId="24" xfId="0" applyFont="1" applyBorder="1" applyAlignment="1">
      <alignment vertical="center" wrapText="1"/>
    </xf>
    <xf numFmtId="0" fontId="4" fillId="0" borderId="26" xfId="0" applyFont="1" applyBorder="1" applyAlignment="1">
      <alignment horizontal="center" vertical="center" wrapText="1"/>
    </xf>
    <xf numFmtId="1" fontId="6" fillId="0" borderId="0" xfId="0" applyNumberFormat="1" applyFont="1" applyAlignment="1">
      <alignment horizontal="center" vertical="center" wrapText="1"/>
    </xf>
    <xf numFmtId="14" fontId="2" fillId="0" borderId="0" xfId="0" applyNumberFormat="1" applyFont="1" applyAlignment="1">
      <alignment vertical="center"/>
    </xf>
    <xf numFmtId="0" fontId="4" fillId="0" borderId="46" xfId="0" applyFont="1" applyBorder="1" applyAlignment="1">
      <alignment horizontal="center" vertical="center" wrapText="1"/>
    </xf>
    <xf numFmtId="9" fontId="4" fillId="3" borderId="51" xfId="0" applyNumberFormat="1" applyFont="1" applyFill="1" applyBorder="1" applyAlignment="1">
      <alignment vertical="center" wrapText="1"/>
    </xf>
    <xf numFmtId="9" fontId="4" fillId="3" borderId="52" xfId="0" applyNumberFormat="1" applyFont="1" applyFill="1" applyBorder="1" applyAlignment="1">
      <alignment vertical="center" wrapText="1"/>
    </xf>
    <xf numFmtId="0" fontId="4" fillId="3" borderId="51" xfId="0" applyFont="1" applyFill="1" applyBorder="1" applyAlignment="1">
      <alignment vertical="center" wrapText="1"/>
    </xf>
    <xf numFmtId="0" fontId="4" fillId="3" borderId="52" xfId="0" applyFont="1" applyFill="1" applyBorder="1" applyAlignment="1">
      <alignment vertical="center" wrapText="1"/>
    </xf>
    <xf numFmtId="1" fontId="6" fillId="0" borderId="1" xfId="0" applyNumberFormat="1" applyFont="1" applyBorder="1" applyAlignment="1">
      <alignment horizontal="center" vertical="center" wrapText="1"/>
    </xf>
    <xf numFmtId="0" fontId="4" fillId="0" borderId="26" xfId="0" applyFont="1" applyBorder="1" applyAlignment="1">
      <alignment vertical="center" wrapText="1"/>
    </xf>
    <xf numFmtId="0" fontId="4" fillId="0" borderId="18" xfId="0" applyFont="1" applyBorder="1" applyAlignment="1">
      <alignment vertical="center" wrapText="1"/>
    </xf>
    <xf numFmtId="2" fontId="2" fillId="0" borderId="0" xfId="0" applyNumberFormat="1" applyFont="1" applyAlignment="1">
      <alignment horizontal="center" vertical="center"/>
    </xf>
    <xf numFmtId="9" fontId="3" fillId="2" borderId="1" xfId="0" applyNumberFormat="1" applyFont="1" applyFill="1" applyBorder="1" applyAlignment="1">
      <alignment horizontal="center" vertical="center" wrapText="1"/>
    </xf>
    <xf numFmtId="2" fontId="4" fillId="0" borderId="1" xfId="0" applyNumberFormat="1" applyFont="1" applyBorder="1" applyAlignment="1">
      <alignment horizontal="center" vertical="center" wrapText="1"/>
    </xf>
    <xf numFmtId="9" fontId="4" fillId="0" borderId="1" xfId="0" applyNumberFormat="1" applyFont="1" applyBorder="1" applyAlignment="1">
      <alignment horizontal="center" vertical="center" wrapText="1"/>
    </xf>
    <xf numFmtId="9" fontId="4" fillId="0" borderId="15" xfId="0" applyNumberFormat="1" applyFont="1" applyBorder="1" applyAlignment="1">
      <alignment horizontal="center" vertical="center" wrapText="1"/>
    </xf>
    <xf numFmtId="2" fontId="4" fillId="0" borderId="7" xfId="0" applyNumberFormat="1" applyFont="1" applyBorder="1" applyAlignment="1">
      <alignment horizontal="center" vertical="center" wrapText="1"/>
    </xf>
    <xf numFmtId="9" fontId="4" fillId="0" borderId="7" xfId="0" applyNumberFormat="1" applyFont="1" applyBorder="1" applyAlignment="1">
      <alignment horizontal="center" vertical="center" wrapText="1"/>
    </xf>
    <xf numFmtId="2" fontId="4" fillId="0" borderId="6" xfId="0" applyNumberFormat="1" applyFont="1" applyBorder="1" applyAlignment="1">
      <alignment horizontal="center" vertical="center" wrapText="1"/>
    </xf>
    <xf numFmtId="9" fontId="4" fillId="0" borderId="6" xfId="0" applyNumberFormat="1" applyFont="1" applyBorder="1" applyAlignment="1">
      <alignment horizontal="center" vertical="center" wrapText="1"/>
    </xf>
    <xf numFmtId="2" fontId="1" fillId="0" borderId="0" xfId="0" applyNumberFormat="1" applyFont="1" applyAlignment="1">
      <alignment horizontal="center" vertical="center"/>
    </xf>
    <xf numFmtId="0" fontId="1" fillId="0" borderId="3" xfId="0" applyFont="1" applyBorder="1" applyAlignment="1">
      <alignment horizontal="center"/>
    </xf>
    <xf numFmtId="2" fontId="4" fillId="0" borderId="5" xfId="0" applyNumberFormat="1" applyFont="1" applyBorder="1" applyAlignment="1">
      <alignment horizontal="center" vertical="center" wrapText="1"/>
    </xf>
    <xf numFmtId="2" fontId="4" fillId="0" borderId="0" xfId="0" applyNumberFormat="1" applyFont="1" applyAlignment="1">
      <alignment horizontal="center" vertical="center" wrapText="1"/>
    </xf>
    <xf numFmtId="0" fontId="2" fillId="0" borderId="46" xfId="0" applyFont="1" applyBorder="1"/>
    <xf numFmtId="0" fontId="3" fillId="2" borderId="53"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6" fillId="0" borderId="1" xfId="0" applyFont="1" applyBorder="1" applyAlignment="1">
      <alignment horizontal="center" vertical="center" wrapText="1"/>
    </xf>
    <xf numFmtId="2" fontId="2" fillId="0" borderId="5" xfId="0" applyNumberFormat="1" applyFont="1" applyBorder="1" applyAlignment="1">
      <alignment horizontal="center" vertical="center"/>
    </xf>
    <xf numFmtId="11" fontId="2" fillId="0" borderId="0" xfId="0" applyNumberFormat="1" applyFont="1"/>
    <xf numFmtId="0" fontId="3" fillId="2" borderId="54" xfId="0" applyFont="1" applyFill="1" applyBorder="1" applyAlignment="1">
      <alignment horizontal="center" vertical="center" wrapText="1"/>
    </xf>
    <xf numFmtId="0" fontId="3" fillId="2" borderId="55" xfId="0" applyFont="1" applyFill="1" applyBorder="1" applyAlignment="1">
      <alignment horizontal="center" vertical="center" wrapText="1"/>
    </xf>
    <xf numFmtId="9" fontId="3" fillId="2" borderId="55" xfId="0" applyNumberFormat="1" applyFont="1" applyFill="1" applyBorder="1" applyAlignment="1">
      <alignment horizontal="center" vertical="center" wrapText="1"/>
    </xf>
    <xf numFmtId="2" fontId="1" fillId="3" borderId="12" xfId="0" applyNumberFormat="1" applyFont="1" applyFill="1" applyBorder="1" applyAlignment="1">
      <alignment horizontal="center" vertical="center"/>
    </xf>
    <xf numFmtId="0" fontId="2" fillId="0" borderId="10" xfId="0" applyFont="1" applyBorder="1"/>
    <xf numFmtId="0" fontId="12" fillId="0" borderId="56" xfId="0" applyFont="1" applyBorder="1" applyAlignment="1">
      <alignment horizontal="center"/>
    </xf>
    <xf numFmtId="0" fontId="3" fillId="3" borderId="14" xfId="0" applyFont="1" applyFill="1" applyBorder="1" applyAlignment="1">
      <alignment vertical="center" wrapText="1"/>
    </xf>
    <xf numFmtId="0" fontId="18" fillId="0" borderId="57" xfId="0" applyFont="1" applyBorder="1" applyAlignment="1">
      <alignment horizontal="center"/>
    </xf>
    <xf numFmtId="0" fontId="12" fillId="0" borderId="47" xfId="0" applyFont="1" applyBorder="1" applyAlignment="1">
      <alignment horizontal="center"/>
    </xf>
    <xf numFmtId="14" fontId="18" fillId="0" borderId="49" xfId="0" applyNumberFormat="1" applyFont="1" applyBorder="1" applyAlignment="1">
      <alignment horizontal="center"/>
    </xf>
    <xf numFmtId="0" fontId="3" fillId="2" borderId="36" xfId="0" applyFont="1" applyFill="1" applyBorder="1" applyAlignment="1">
      <alignment horizontal="center" vertical="center" wrapText="1"/>
    </xf>
    <xf numFmtId="0" fontId="4" fillId="0" borderId="36" xfId="0" applyFont="1" applyBorder="1" applyAlignment="1">
      <alignment horizontal="center" vertical="center" wrapText="1"/>
    </xf>
    <xf numFmtId="0" fontId="6" fillId="0" borderId="36"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36" xfId="0" applyFont="1" applyBorder="1" applyAlignment="1">
      <alignment horizontal="center" vertical="center" wrapText="1"/>
    </xf>
    <xf numFmtId="0" fontId="4" fillId="0" borderId="36" xfId="0" applyFont="1" applyBorder="1" applyAlignment="1">
      <alignment horizontal="left" vertical="center" wrapText="1"/>
    </xf>
    <xf numFmtId="0" fontId="6" fillId="0" borderId="36" xfId="0" applyFont="1" applyBorder="1" applyAlignment="1">
      <alignment horizontal="left" vertical="center" wrapText="1"/>
    </xf>
    <xf numFmtId="0" fontId="2" fillId="0" borderId="36" xfId="0" applyFont="1" applyBorder="1" applyAlignment="1">
      <alignment horizontal="left"/>
    </xf>
    <xf numFmtId="0" fontId="2" fillId="0" borderId="36" xfId="0" applyFont="1" applyBorder="1"/>
    <xf numFmtId="0" fontId="4" fillId="0" borderId="15" xfId="0" applyFont="1" applyBorder="1" applyAlignment="1">
      <alignment horizontal="center" vertical="center" wrapText="1"/>
    </xf>
    <xf numFmtId="0" fontId="6" fillId="0" borderId="25" xfId="0" applyFont="1" applyBorder="1" applyAlignment="1">
      <alignment horizontal="center" vertical="center" wrapText="1"/>
    </xf>
    <xf numFmtId="0" fontId="19" fillId="0" borderId="8" xfId="0" applyFont="1" applyBorder="1" applyAlignment="1">
      <alignment horizontal="center" vertical="center" wrapText="1"/>
    </xf>
    <xf numFmtId="0" fontId="20" fillId="0" borderId="8" xfId="0" applyFont="1" applyBorder="1" applyAlignment="1">
      <alignment vertical="center" wrapText="1"/>
    </xf>
    <xf numFmtId="0" fontId="1" fillId="0" borderId="36" xfId="0" applyFont="1" applyBorder="1"/>
    <xf numFmtId="0" fontId="6" fillId="0" borderId="4" xfId="0" applyFont="1" applyBorder="1" applyAlignment="1">
      <alignment horizontal="center" vertical="center" wrapText="1"/>
    </xf>
    <xf numFmtId="0" fontId="4" fillId="0" borderId="4" xfId="0" applyFont="1" applyBorder="1" applyAlignment="1">
      <alignment horizontal="center" vertical="center" wrapText="1"/>
    </xf>
    <xf numFmtId="1" fontId="4" fillId="3" borderId="9" xfId="0" applyNumberFormat="1" applyFont="1" applyFill="1" applyBorder="1" applyAlignment="1">
      <alignment horizontal="center" vertical="center" wrapText="1"/>
    </xf>
    <xf numFmtId="1" fontId="4" fillId="3" borderId="52" xfId="0" applyNumberFormat="1" applyFont="1" applyFill="1" applyBorder="1" applyAlignment="1">
      <alignment vertical="center" wrapText="1"/>
    </xf>
    <xf numFmtId="1" fontId="2" fillId="0" borderId="0" xfId="0" applyNumberFormat="1" applyFont="1"/>
    <xf numFmtId="1" fontId="1" fillId="0" borderId="0" xfId="0" applyNumberFormat="1" applyFont="1"/>
    <xf numFmtId="1" fontId="3" fillId="2" borderId="2" xfId="0" applyNumberFormat="1" applyFont="1" applyFill="1" applyBorder="1" applyAlignment="1">
      <alignment horizontal="center" vertical="center" wrapText="1"/>
    </xf>
    <xf numFmtId="1" fontId="4" fillId="0" borderId="8" xfId="0" applyNumberFormat="1" applyFont="1" applyBorder="1" applyAlignment="1">
      <alignment horizontal="center" vertical="center" wrapText="1"/>
    </xf>
    <xf numFmtId="1" fontId="1" fillId="0" borderId="0" xfId="0" applyNumberFormat="1" applyFont="1" applyAlignment="1">
      <alignment horizontal="center" vertical="center"/>
    </xf>
    <xf numFmtId="1" fontId="2" fillId="0" borderId="0" xfId="0" applyNumberFormat="1" applyFont="1" applyAlignment="1">
      <alignment horizontal="center" vertical="center"/>
    </xf>
    <xf numFmtId="2" fontId="3" fillId="2" borderId="12" xfId="0" applyNumberFormat="1" applyFont="1" applyFill="1" applyBorder="1" applyAlignment="1">
      <alignment horizontal="center" vertical="center" wrapText="1"/>
    </xf>
    <xf numFmtId="9" fontId="4" fillId="3" borderId="12" xfId="0" applyNumberFormat="1" applyFont="1" applyFill="1" applyBorder="1" applyAlignment="1">
      <alignment horizontal="center" vertical="center" wrapText="1"/>
    </xf>
    <xf numFmtId="1" fontId="2" fillId="3" borderId="12" xfId="0" applyNumberFormat="1" applyFont="1" applyFill="1" applyBorder="1" applyAlignment="1">
      <alignment horizontal="center" vertical="center"/>
    </xf>
    <xf numFmtId="0" fontId="1" fillId="0" borderId="4" xfId="0" applyFont="1" applyBorder="1"/>
    <xf numFmtId="0" fontId="3" fillId="3" borderId="2" xfId="0" applyFont="1" applyFill="1" applyBorder="1" applyAlignment="1">
      <alignment vertical="center" wrapText="1"/>
    </xf>
    <xf numFmtId="0" fontId="2" fillId="0" borderId="7" xfId="0" applyFont="1" applyBorder="1"/>
    <xf numFmtId="1" fontId="2" fillId="3" borderId="12" xfId="0" applyNumberFormat="1" applyFont="1" applyFill="1" applyBorder="1"/>
    <xf numFmtId="2" fontId="4" fillId="3" borderId="12" xfId="0" applyNumberFormat="1" applyFont="1" applyFill="1" applyBorder="1" applyAlignment="1">
      <alignment horizontal="center" vertical="center" wrapText="1"/>
    </xf>
    <xf numFmtId="0" fontId="2" fillId="0" borderId="24" xfId="0" applyFont="1" applyBorder="1"/>
    <xf numFmtId="0" fontId="1" fillId="0" borderId="5" xfId="0" applyFont="1" applyBorder="1" applyAlignment="1">
      <alignment horizontal="center"/>
    </xf>
    <xf numFmtId="0" fontId="1" fillId="0" borderId="4" xfId="0" applyFont="1" applyBorder="1" applyAlignment="1">
      <alignment horizontal="center"/>
    </xf>
    <xf numFmtId="0" fontId="4" fillId="0" borderId="5" xfId="0" applyFont="1" applyBorder="1" applyAlignment="1">
      <alignment vertical="center" wrapText="1"/>
    </xf>
    <xf numFmtId="0" fontId="4" fillId="0" borderId="0" xfId="0" applyFont="1" applyAlignment="1">
      <alignment vertical="center" wrapText="1"/>
    </xf>
    <xf numFmtId="0" fontId="4" fillId="0" borderId="8" xfId="0" applyFont="1" applyBorder="1" applyAlignment="1">
      <alignment vertical="center" wrapText="1"/>
    </xf>
    <xf numFmtId="0" fontId="1" fillId="0" borderId="0" xfId="0" applyFont="1" applyAlignment="1">
      <alignment horizontal="center"/>
    </xf>
    <xf numFmtId="0" fontId="21" fillId="0" borderId="47" xfId="0" applyFont="1" applyBorder="1" applyAlignment="1">
      <alignment horizontal="center"/>
    </xf>
    <xf numFmtId="9" fontId="4" fillId="3" borderId="2"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22" fillId="0" borderId="1" xfId="0" applyFont="1" applyBorder="1" applyAlignment="1">
      <alignment horizontal="center"/>
    </xf>
    <xf numFmtId="0" fontId="22" fillId="0" borderId="6" xfId="0" applyFont="1" applyBorder="1" applyAlignment="1">
      <alignment horizontal="center"/>
    </xf>
    <xf numFmtId="0" fontId="23" fillId="0" borderId="1" xfId="0" applyFont="1" applyBorder="1" applyAlignment="1">
      <alignment horizontal="center"/>
    </xf>
    <xf numFmtId="0" fontId="23" fillId="0" borderId="6" xfId="0" applyFont="1" applyBorder="1" applyAlignment="1">
      <alignment horizontal="center"/>
    </xf>
    <xf numFmtId="0" fontId="1" fillId="0" borderId="3" xfId="0" applyFont="1" applyBorder="1" applyAlignment="1">
      <alignment vertical="center"/>
    </xf>
    <xf numFmtId="0" fontId="1" fillId="0" borderId="4" xfId="0" applyFont="1" applyBorder="1" applyAlignment="1">
      <alignment vertical="center"/>
    </xf>
    <xf numFmtId="0" fontId="2" fillId="0" borderId="1" xfId="0" applyFont="1" applyBorder="1" applyAlignment="1">
      <alignment horizontal="center"/>
    </xf>
    <xf numFmtId="9" fontId="4" fillId="3" borderId="2" xfId="0" applyNumberFormat="1" applyFont="1" applyFill="1" applyBorder="1" applyAlignment="1">
      <alignment vertical="center" wrapText="1"/>
    </xf>
    <xf numFmtId="0" fontId="4" fillId="3" borderId="2" xfId="0" applyFont="1" applyFill="1" applyBorder="1" applyAlignment="1">
      <alignment vertical="center" wrapText="1"/>
    </xf>
    <xf numFmtId="0" fontId="21" fillId="0" borderId="0" xfId="0" applyFont="1" applyAlignment="1">
      <alignment horizontal="center"/>
    </xf>
    <xf numFmtId="0" fontId="19" fillId="0" borderId="5" xfId="0" applyFont="1" applyBorder="1" applyAlignment="1">
      <alignment horizontal="center" vertical="center" wrapText="1"/>
    </xf>
    <xf numFmtId="0" fontId="2" fillId="0" borderId="44" xfId="0" applyFont="1" applyBorder="1" applyAlignment="1">
      <alignment horizontal="center" vertical="center"/>
    </xf>
    <xf numFmtId="0" fontId="3" fillId="2" borderId="63" xfId="0" applyFont="1" applyFill="1" applyBorder="1" applyAlignment="1">
      <alignment horizontal="center" vertical="center" wrapText="1"/>
    </xf>
    <xf numFmtId="0" fontId="3" fillId="2" borderId="64"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9" fillId="0" borderId="8" xfId="0" applyFont="1" applyBorder="1" applyAlignment="1">
      <alignment horizontal="center" vertical="center" wrapText="1"/>
    </xf>
    <xf numFmtId="0" fontId="4" fillId="3" borderId="9" xfId="0" applyFont="1" applyFill="1" applyBorder="1" applyAlignment="1">
      <alignment horizontal="center" vertical="center" wrapText="1"/>
    </xf>
    <xf numFmtId="0" fontId="9" fillId="0" borderId="15" xfId="0" applyFont="1" applyBorder="1" applyAlignment="1">
      <alignment horizontal="center" vertical="center" wrapText="1"/>
    </xf>
    <xf numFmtId="1" fontId="4" fillId="0" borderId="5" xfId="0" applyNumberFormat="1" applyFont="1" applyBorder="1" applyAlignment="1">
      <alignment horizontal="center" vertical="center" wrapText="1"/>
    </xf>
    <xf numFmtId="0" fontId="4" fillId="0" borderId="8" xfId="0" applyFont="1" applyBorder="1" applyAlignment="1">
      <alignment horizontal="left" vertical="center" wrapText="1"/>
    </xf>
    <xf numFmtId="0" fontId="2" fillId="0" borderId="71" xfId="0" applyFont="1" applyBorder="1"/>
    <xf numFmtId="0" fontId="2" fillId="0" borderId="72" xfId="0" applyFont="1" applyBorder="1" applyAlignment="1">
      <alignment horizontal="center"/>
    </xf>
    <xf numFmtId="0" fontId="2" fillId="0" borderId="72" xfId="0" applyFont="1" applyBorder="1"/>
    <xf numFmtId="0" fontId="2" fillId="0" borderId="73" xfId="0" applyFont="1" applyBorder="1"/>
    <xf numFmtId="0" fontId="2" fillId="0" borderId="48" xfId="0" applyFont="1" applyBorder="1" applyAlignment="1">
      <alignment horizontal="left"/>
    </xf>
    <xf numFmtId="0" fontId="2" fillId="0" borderId="0" xfId="0" applyFont="1" applyAlignment="1">
      <alignment horizontal="left"/>
    </xf>
    <xf numFmtId="0" fontId="2" fillId="0" borderId="36" xfId="0" applyFont="1" applyBorder="1" applyAlignment="1">
      <alignment vertical="center"/>
    </xf>
    <xf numFmtId="0" fontId="9" fillId="0" borderId="18" xfId="0" applyFont="1" applyBorder="1" applyAlignment="1">
      <alignment horizontal="center" vertical="center" wrapText="1"/>
    </xf>
    <xf numFmtId="0" fontId="6" fillId="0" borderId="1" xfId="0" applyFont="1" applyBorder="1" applyAlignment="1">
      <alignment horizontal="center"/>
    </xf>
    <xf numFmtId="0" fontId="6" fillId="0" borderId="6" xfId="0" applyFont="1" applyBorder="1" applyAlignment="1">
      <alignment horizontal="center" vertical="center" wrapText="1"/>
    </xf>
    <xf numFmtId="1" fontId="6" fillId="0" borderId="25" xfId="0" applyNumberFormat="1" applyFont="1" applyBorder="1" applyAlignment="1">
      <alignment horizontal="center" vertical="center" wrapText="1"/>
    </xf>
    <xf numFmtId="0" fontId="4" fillId="0" borderId="23" xfId="0" applyFont="1" applyBorder="1" applyAlignment="1">
      <alignment horizontal="center" vertical="center" wrapText="1"/>
    </xf>
    <xf numFmtId="1" fontId="6" fillId="0" borderId="7" xfId="0" applyNumberFormat="1" applyFont="1" applyBorder="1" applyAlignment="1">
      <alignment horizontal="center" vertical="center" wrapText="1"/>
    </xf>
    <xf numFmtId="0" fontId="2" fillId="0" borderId="39" xfId="0" applyFont="1" applyBorder="1"/>
    <xf numFmtId="9" fontId="4" fillId="3" borderId="9" xfId="0" applyNumberFormat="1" applyFont="1" applyFill="1" applyBorder="1" applyAlignment="1">
      <alignment vertical="center" wrapText="1"/>
    </xf>
    <xf numFmtId="0" fontId="4" fillId="3" borderId="9" xfId="0" applyFont="1" applyFill="1" applyBorder="1" applyAlignment="1">
      <alignment vertical="center" wrapText="1"/>
    </xf>
    <xf numFmtId="0" fontId="1" fillId="0" borderId="23" xfId="0" applyFont="1" applyBorder="1" applyAlignment="1">
      <alignment horizontal="center"/>
    </xf>
    <xf numFmtId="0" fontId="2" fillId="0" borderId="25" xfId="0" applyFont="1" applyBorder="1" applyAlignment="1">
      <alignment horizontal="center"/>
    </xf>
    <xf numFmtId="0" fontId="1" fillId="0" borderId="26" xfId="0" applyFont="1" applyBorder="1" applyAlignment="1">
      <alignment horizontal="center"/>
    </xf>
    <xf numFmtId="14" fontId="2" fillId="0" borderId="8" xfId="0" applyNumberFormat="1" applyFont="1" applyBorder="1" applyAlignment="1">
      <alignment horizontal="center"/>
    </xf>
    <xf numFmtId="14" fontId="26" fillId="0" borderId="49" xfId="0" applyNumberFormat="1" applyFont="1" applyBorder="1" applyAlignment="1">
      <alignment horizontal="center"/>
    </xf>
    <xf numFmtId="0" fontId="12" fillId="0" borderId="23" xfId="0" applyFont="1" applyBorder="1" applyAlignment="1">
      <alignment vertical="center"/>
    </xf>
    <xf numFmtId="0" fontId="12" fillId="0" borderId="24" xfId="0" applyFont="1" applyBorder="1" applyAlignment="1">
      <alignment vertical="center"/>
    </xf>
    <xf numFmtId="0" fontId="12" fillId="0" borderId="25" xfId="0" applyFont="1" applyBorder="1" applyAlignment="1">
      <alignment vertical="center"/>
    </xf>
    <xf numFmtId="0" fontId="12" fillId="0" borderId="46" xfId="0" applyFont="1" applyBorder="1" applyAlignment="1">
      <alignment vertical="center"/>
    </xf>
    <xf numFmtId="0" fontId="12" fillId="0" borderId="0" xfId="0" applyFont="1" applyAlignment="1">
      <alignment vertical="center"/>
    </xf>
    <xf numFmtId="0" fontId="12" fillId="0" borderId="15" xfId="0" applyFont="1" applyBorder="1" applyAlignment="1">
      <alignment vertical="center"/>
    </xf>
    <xf numFmtId="0" fontId="12" fillId="0" borderId="26" xfId="0" applyFont="1" applyBorder="1" applyAlignment="1">
      <alignment vertical="center"/>
    </xf>
    <xf numFmtId="0" fontId="12" fillId="0" borderId="18" xfId="0" applyFont="1" applyBorder="1" applyAlignment="1">
      <alignment vertical="center"/>
    </xf>
    <xf numFmtId="0" fontId="12" fillId="0" borderId="8" xfId="0" applyFont="1" applyBorder="1" applyAlignment="1">
      <alignment vertical="center"/>
    </xf>
    <xf numFmtId="1" fontId="9" fillId="0" borderId="8" xfId="0" applyNumberFormat="1" applyFont="1" applyBorder="1" applyAlignment="1">
      <alignment horizontal="center" vertical="center" wrapText="1"/>
    </xf>
    <xf numFmtId="0" fontId="2" fillId="0" borderId="41" xfId="0" applyFont="1" applyBorder="1" applyAlignment="1">
      <alignment horizontal="center" vertical="center"/>
    </xf>
    <xf numFmtId="0" fontId="0" fillId="0" borderId="0" xfId="0" applyFont="1" applyAlignment="1"/>
    <xf numFmtId="0" fontId="29" fillId="0" borderId="0" xfId="0" applyFont="1" applyAlignment="1">
      <alignment horizontal="center" vertical="center" wrapText="1"/>
    </xf>
    <xf numFmtId="1" fontId="6" fillId="8" borderId="8" xfId="0" applyNumberFormat="1" applyFont="1" applyFill="1" applyBorder="1" applyAlignment="1">
      <alignment horizontal="center" vertical="center" wrapText="1"/>
    </xf>
    <xf numFmtId="0" fontId="6" fillId="8" borderId="8" xfId="0" applyFont="1" applyFill="1" applyBorder="1" applyAlignment="1">
      <alignment horizontal="center" vertical="center" wrapText="1"/>
    </xf>
    <xf numFmtId="1" fontId="6" fillId="8" borderId="15" xfId="0" applyNumberFormat="1" applyFont="1" applyFill="1" applyBorder="1" applyAlignment="1">
      <alignment horizontal="center" vertical="center" wrapText="1"/>
    </xf>
    <xf numFmtId="1" fontId="6" fillId="8" borderId="5" xfId="0" applyNumberFormat="1" applyFont="1" applyFill="1" applyBorder="1" applyAlignment="1">
      <alignment horizontal="center" vertical="center" wrapText="1"/>
    </xf>
    <xf numFmtId="0" fontId="6" fillId="8" borderId="15" xfId="0" applyFont="1" applyFill="1" applyBorder="1" applyAlignment="1">
      <alignment horizontal="center" vertical="center" wrapText="1"/>
    </xf>
    <xf numFmtId="0" fontId="4" fillId="9" borderId="3" xfId="0" applyFont="1" applyFill="1" applyBorder="1" applyAlignment="1">
      <alignment vertical="center" wrapText="1"/>
    </xf>
    <xf numFmtId="0" fontId="4" fillId="9" borderId="24" xfId="0" applyFont="1" applyFill="1" applyBorder="1" applyAlignment="1">
      <alignment vertical="center" wrapText="1"/>
    </xf>
    <xf numFmtId="0" fontId="4" fillId="9" borderId="4" xfId="0" applyFont="1" applyFill="1" applyBorder="1" applyAlignment="1">
      <alignment vertical="center" wrapText="1"/>
    </xf>
    <xf numFmtId="0" fontId="6" fillId="9" borderId="8"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4" fillId="11" borderId="3" xfId="0" applyFont="1" applyFill="1" applyBorder="1" applyAlignment="1">
      <alignment vertical="center" wrapText="1"/>
    </xf>
    <xf numFmtId="0" fontId="4" fillId="11" borderId="24" xfId="0" applyFont="1" applyFill="1" applyBorder="1" applyAlignment="1">
      <alignment vertical="center" wrapText="1"/>
    </xf>
    <xf numFmtId="0" fontId="4" fillId="11" borderId="4" xfId="0" applyFont="1" applyFill="1" applyBorder="1" applyAlignment="1">
      <alignment vertical="center" wrapText="1"/>
    </xf>
    <xf numFmtId="0" fontId="6" fillId="11" borderId="8" xfId="0" applyFont="1" applyFill="1" applyBorder="1" applyAlignment="1">
      <alignment horizontal="center" vertical="center" wrapText="1"/>
    </xf>
    <xf numFmtId="1" fontId="6" fillId="11" borderId="8" xfId="0" applyNumberFormat="1" applyFont="1" applyFill="1" applyBorder="1" applyAlignment="1">
      <alignment horizontal="center" vertical="center" wrapText="1"/>
    </xf>
    <xf numFmtId="1" fontId="4" fillId="13" borderId="3" xfId="0" applyNumberFormat="1" applyFont="1" applyFill="1" applyBorder="1" applyAlignment="1">
      <alignment vertical="center" wrapText="1"/>
    </xf>
    <xf numFmtId="1" fontId="4" fillId="13" borderId="4" xfId="0" applyNumberFormat="1" applyFont="1" applyFill="1" applyBorder="1" applyAlignment="1">
      <alignment vertical="center" wrapText="1"/>
    </xf>
    <xf numFmtId="0" fontId="6" fillId="13" borderId="8" xfId="0" applyFont="1" applyFill="1" applyBorder="1" applyAlignment="1">
      <alignment horizontal="center" vertical="center" wrapText="1"/>
    </xf>
    <xf numFmtId="1" fontId="6" fillId="13" borderId="8" xfId="0" applyNumberFormat="1" applyFont="1" applyFill="1" applyBorder="1" applyAlignment="1">
      <alignment horizontal="center" vertical="center" wrapText="1"/>
    </xf>
    <xf numFmtId="0" fontId="4" fillId="15" borderId="3" xfId="0" applyFont="1" applyFill="1" applyBorder="1" applyAlignment="1">
      <alignment vertical="center" wrapText="1"/>
    </xf>
    <xf numFmtId="0" fontId="4" fillId="15" borderId="24" xfId="0" applyFont="1" applyFill="1" applyBorder="1" applyAlignment="1">
      <alignment vertical="center" wrapText="1"/>
    </xf>
    <xf numFmtId="0" fontId="4" fillId="15" borderId="4" xfId="0" applyFont="1" applyFill="1" applyBorder="1" applyAlignment="1">
      <alignment vertical="center" wrapText="1"/>
    </xf>
    <xf numFmtId="0" fontId="6" fillId="15" borderId="8" xfId="0" applyFont="1" applyFill="1" applyBorder="1" applyAlignment="1">
      <alignment horizontal="center" vertical="center" wrapText="1"/>
    </xf>
    <xf numFmtId="1" fontId="6" fillId="15" borderId="8" xfId="0" applyNumberFormat="1" applyFont="1" applyFill="1" applyBorder="1" applyAlignment="1">
      <alignment horizontal="center" vertical="center" wrapText="1"/>
    </xf>
    <xf numFmtId="0" fontId="4" fillId="17" borderId="26" xfId="0" applyFont="1" applyFill="1" applyBorder="1" applyAlignment="1">
      <alignment vertical="center" wrapText="1"/>
    </xf>
    <xf numFmtId="0" fontId="4" fillId="17" borderId="18" xfId="0" applyFont="1" applyFill="1" applyBorder="1" applyAlignment="1">
      <alignment vertical="center" wrapText="1"/>
    </xf>
    <xf numFmtId="0" fontId="4" fillId="17" borderId="5" xfId="0" applyFont="1" applyFill="1" applyBorder="1" applyAlignment="1">
      <alignment vertical="center" wrapText="1"/>
    </xf>
    <xf numFmtId="1" fontId="6" fillId="17" borderId="8" xfId="0" applyNumberFormat="1" applyFont="1" applyFill="1" applyBorder="1" applyAlignment="1">
      <alignment horizontal="center" vertical="center" wrapText="1"/>
    </xf>
    <xf numFmtId="0" fontId="4" fillId="19" borderId="3" xfId="0" applyFont="1" applyFill="1" applyBorder="1" applyAlignment="1">
      <alignment vertical="center" wrapText="1"/>
    </xf>
    <xf numFmtId="0" fontId="4" fillId="19" borderId="24" xfId="0" applyFont="1" applyFill="1" applyBorder="1" applyAlignment="1">
      <alignment vertical="center" wrapText="1"/>
    </xf>
    <xf numFmtId="0" fontId="4" fillId="19" borderId="4" xfId="0" applyFont="1" applyFill="1" applyBorder="1" applyAlignment="1">
      <alignment vertical="center" wrapText="1"/>
    </xf>
    <xf numFmtId="0" fontId="6" fillId="19" borderId="8" xfId="0" applyFont="1" applyFill="1" applyBorder="1" applyAlignment="1">
      <alignment horizontal="center" vertical="center" wrapText="1"/>
    </xf>
    <xf numFmtId="0" fontId="6" fillId="19"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5" fillId="0" borderId="4" xfId="0" applyFont="1" applyBorder="1"/>
    <xf numFmtId="0" fontId="5" fillId="0" borderId="5" xfId="0" applyFont="1" applyBorder="1"/>
    <xf numFmtId="0" fontId="4" fillId="0" borderId="10" xfId="0" applyFont="1" applyBorder="1" applyAlignment="1">
      <alignment horizontal="center" vertical="center" wrapText="1"/>
    </xf>
    <xf numFmtId="0" fontId="5" fillId="0" borderId="10" xfId="0" applyFont="1" applyBorder="1"/>
    <xf numFmtId="0" fontId="5" fillId="0" borderId="6" xfId="0" applyFont="1" applyBorder="1"/>
    <xf numFmtId="0" fontId="4" fillId="0" borderId="7" xfId="0" applyFont="1" applyBorder="1" applyAlignment="1">
      <alignment horizontal="center" vertical="center" wrapText="1"/>
    </xf>
    <xf numFmtId="1" fontId="4" fillId="0" borderId="10" xfId="0" applyNumberFormat="1" applyFont="1" applyBorder="1" applyAlignment="1">
      <alignment horizontal="center" vertical="center" wrapText="1"/>
    </xf>
    <xf numFmtId="0" fontId="1" fillId="0" borderId="3" xfId="0" applyFont="1" applyBorder="1" applyAlignment="1">
      <alignment horizontal="center" vertical="center"/>
    </xf>
    <xf numFmtId="0" fontId="4" fillId="3" borderId="3" xfId="0" applyFont="1" applyFill="1" applyBorder="1" applyAlignment="1">
      <alignment horizontal="center" vertical="center" wrapText="1"/>
    </xf>
    <xf numFmtId="0" fontId="5" fillId="0" borderId="11" xfId="0" applyFont="1" applyBorder="1"/>
    <xf numFmtId="1" fontId="4" fillId="0" borderId="3" xfId="0" applyNumberFormat="1" applyFont="1" applyBorder="1" applyAlignment="1">
      <alignment horizontal="center" vertical="center" wrapText="1"/>
    </xf>
    <xf numFmtId="9" fontId="4" fillId="3" borderId="3" xfId="0" applyNumberFormat="1" applyFont="1" applyFill="1" applyBorder="1" applyAlignment="1">
      <alignment horizontal="center" vertical="center" wrapText="1"/>
    </xf>
    <xf numFmtId="1" fontId="4" fillId="0" borderId="7" xfId="0" applyNumberFormat="1" applyFont="1" applyBorder="1" applyAlignment="1">
      <alignment horizontal="center" vertical="center" wrapText="1"/>
    </xf>
    <xf numFmtId="0" fontId="3" fillId="3" borderId="3" xfId="0" applyFont="1" applyFill="1" applyBorder="1" applyAlignment="1">
      <alignment horizontal="center" vertical="center" wrapText="1"/>
    </xf>
    <xf numFmtId="0" fontId="12" fillId="0" borderId="23" xfId="0" applyFont="1" applyBorder="1" applyAlignment="1">
      <alignment horizontal="center" vertical="center"/>
    </xf>
    <xf numFmtId="0" fontId="5" fillId="0" borderId="24" xfId="0" applyFont="1" applyBorder="1"/>
    <xf numFmtId="0" fontId="5" fillId="0" borderId="25" xfId="0" applyFont="1" applyBorder="1"/>
    <xf numFmtId="0" fontId="5" fillId="0" borderId="46" xfId="0" applyFont="1" applyBorder="1"/>
    <xf numFmtId="0" fontId="0" fillId="0" borderId="0" xfId="0" applyFont="1" applyAlignment="1"/>
    <xf numFmtId="0" fontId="5" fillId="0" borderId="15" xfId="0" applyFont="1" applyBorder="1"/>
    <xf numFmtId="0" fontId="5" fillId="0" borderId="26" xfId="0" applyFont="1" applyBorder="1"/>
    <xf numFmtId="0" fontId="5" fillId="0" borderId="18" xfId="0" applyFont="1" applyBorder="1"/>
    <xf numFmtId="0" fontId="5" fillId="0" borderId="8" xfId="0" applyFont="1" applyBorder="1"/>
    <xf numFmtId="0" fontId="10" fillId="6" borderId="3" xfId="0" applyFont="1" applyFill="1" applyBorder="1" applyAlignment="1">
      <alignment horizontal="center"/>
    </xf>
    <xf numFmtId="0" fontId="11" fillId="6" borderId="20" xfId="0" applyFont="1" applyFill="1" applyBorder="1" applyAlignment="1">
      <alignment horizontal="center"/>
    </xf>
    <xf numFmtId="0" fontId="5" fillId="0" borderId="21" xfId="0" applyFont="1" applyBorder="1"/>
    <xf numFmtId="0" fontId="5" fillId="0" borderId="22" xfId="0" applyFont="1" applyBorder="1"/>
    <xf numFmtId="0" fontId="2" fillId="0" borderId="0" xfId="0" applyFont="1" applyAlignment="1">
      <alignment horizontal="center" vertical="center" wrapText="1"/>
    </xf>
    <xf numFmtId="0" fontId="12" fillId="0" borderId="3" xfId="0" applyFont="1" applyBorder="1" applyAlignment="1">
      <alignment horizontal="center" vertical="center"/>
    </xf>
    <xf numFmtId="0" fontId="2" fillId="3" borderId="16" xfId="0" applyFont="1" applyFill="1" applyBorder="1" applyAlignment="1">
      <alignment horizontal="center"/>
    </xf>
    <xf numFmtId="0" fontId="5" fillId="0" borderId="17" xfId="0" applyFont="1" applyBorder="1"/>
    <xf numFmtId="0" fontId="5" fillId="0" borderId="19" xfId="0" applyFont="1" applyBorder="1"/>
    <xf numFmtId="0" fontId="3" fillId="0" borderId="0" xfId="0" applyFont="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wrapText="1"/>
    </xf>
    <xf numFmtId="0" fontId="1" fillId="0" borderId="3" xfId="0" applyFont="1" applyBorder="1" applyAlignment="1">
      <alignment horizontal="center"/>
    </xf>
    <xf numFmtId="0" fontId="2" fillId="0" borderId="37" xfId="0" applyFont="1" applyBorder="1" applyAlignment="1">
      <alignment horizontal="left"/>
    </xf>
    <xf numFmtId="0" fontId="5" fillId="0" borderId="58" xfId="0" applyFont="1" applyBorder="1"/>
    <xf numFmtId="0" fontId="5" fillId="0" borderId="59" xfId="0" applyFont="1" applyBorder="1"/>
    <xf numFmtId="0" fontId="1" fillId="0" borderId="37" xfId="0" applyFont="1" applyBorder="1" applyAlignment="1">
      <alignment horizontal="center"/>
    </xf>
    <xf numFmtId="0" fontId="3" fillId="3" borderId="37" xfId="0" applyFont="1" applyFill="1" applyBorder="1" applyAlignment="1">
      <alignment horizontal="center" vertical="center" wrapText="1"/>
    </xf>
    <xf numFmtId="0" fontId="4" fillId="0" borderId="18" xfId="0" applyFont="1" applyBorder="1" applyAlignment="1">
      <alignment horizontal="center" vertical="center" wrapText="1"/>
    </xf>
    <xf numFmtId="0" fontId="4" fillId="0" borderId="37" xfId="0" applyFont="1" applyBorder="1" applyAlignment="1">
      <alignment horizontal="left" vertical="center" wrapText="1"/>
    </xf>
    <xf numFmtId="0" fontId="4" fillId="0" borderId="37" xfId="0" applyFont="1" applyBorder="1" applyAlignment="1">
      <alignment horizontal="center" vertical="center" wrapText="1"/>
    </xf>
    <xf numFmtId="0" fontId="2" fillId="0" borderId="37" xfId="0" applyFont="1" applyBorder="1" applyAlignment="1">
      <alignment horizontal="center" vertical="center"/>
    </xf>
    <xf numFmtId="0" fontId="4" fillId="3" borderId="60" xfId="0" applyFont="1" applyFill="1" applyBorder="1" applyAlignment="1">
      <alignment horizontal="center" vertical="center" wrapText="1"/>
    </xf>
    <xf numFmtId="0" fontId="5" fillId="0" borderId="61" xfId="0" applyFont="1" applyBorder="1"/>
    <xf numFmtId="0" fontId="5" fillId="0" borderId="62" xfId="0" applyFont="1" applyBorder="1"/>
    <xf numFmtId="0" fontId="2" fillId="0" borderId="3" xfId="0" applyFont="1" applyBorder="1" applyAlignment="1">
      <alignment horizontal="center"/>
    </xf>
    <xf numFmtId="0" fontId="2" fillId="0" borderId="7" xfId="0" applyFont="1" applyBorder="1" applyAlignment="1">
      <alignment horizontal="center"/>
    </xf>
    <xf numFmtId="0" fontId="2" fillId="0" borderId="37" xfId="0" applyFont="1" applyBorder="1" applyAlignment="1">
      <alignment horizontal="center"/>
    </xf>
    <xf numFmtId="0" fontId="4" fillId="0" borderId="26" xfId="0" applyFont="1" applyBorder="1" applyAlignment="1">
      <alignment horizontal="center" vertical="center" wrapText="1"/>
    </xf>
    <xf numFmtId="0" fontId="2" fillId="0" borderId="0" xfId="0" applyFont="1" applyAlignment="1">
      <alignment horizontal="center" vertical="center"/>
    </xf>
    <xf numFmtId="1" fontId="4" fillId="3" borderId="3" xfId="0" applyNumberFormat="1" applyFont="1" applyFill="1" applyBorder="1" applyAlignment="1">
      <alignment horizontal="center" vertical="center" wrapText="1"/>
    </xf>
    <xf numFmtId="0" fontId="2" fillId="0" borderId="23" xfId="0" applyFont="1" applyBorder="1" applyAlignment="1">
      <alignment horizontal="center" vertical="center" wrapText="1"/>
    </xf>
    <xf numFmtId="20" fontId="2" fillId="0" borderId="3" xfId="0" applyNumberFormat="1" applyFont="1" applyBorder="1" applyAlignment="1">
      <alignment horizontal="center"/>
    </xf>
    <xf numFmtId="0" fontId="2" fillId="0" borderId="3" xfId="0" applyFont="1" applyBorder="1" applyAlignment="1">
      <alignment horizontal="center" wrapText="1"/>
    </xf>
    <xf numFmtId="0" fontId="4" fillId="0" borderId="24" xfId="0" applyFont="1" applyBorder="1" applyAlignment="1">
      <alignment horizontal="center" vertical="center" wrapText="1"/>
    </xf>
    <xf numFmtId="167" fontId="4" fillId="0" borderId="0" xfId="0" applyNumberFormat="1" applyFont="1" applyAlignment="1">
      <alignment horizontal="center" vertical="center" wrapText="1"/>
    </xf>
    <xf numFmtId="0" fontId="1" fillId="0" borderId="4" xfId="0" applyFont="1" applyBorder="1" applyAlignment="1">
      <alignment horizontal="center"/>
    </xf>
    <xf numFmtId="0" fontId="1" fillId="0" borderId="24" xfId="0" applyFont="1" applyBorder="1" applyAlignment="1">
      <alignment horizontal="center"/>
    </xf>
    <xf numFmtId="167" fontId="1" fillId="0" borderId="4" xfId="0" applyNumberFormat="1" applyFont="1" applyBorder="1" applyAlignment="1">
      <alignment horizontal="center" vertical="center"/>
    </xf>
    <xf numFmtId="0" fontId="1" fillId="0" borderId="0" xfId="0" applyFont="1" applyAlignment="1">
      <alignment horizontal="center"/>
    </xf>
    <xf numFmtId="167" fontId="1" fillId="0" borderId="0" xfId="0" applyNumberFormat="1" applyFont="1" applyAlignment="1">
      <alignment horizontal="center"/>
    </xf>
    <xf numFmtId="167" fontId="2" fillId="0" borderId="4" xfId="0" applyNumberFormat="1" applyFont="1" applyBorder="1" applyAlignment="1">
      <alignment horizontal="center" vertical="center"/>
    </xf>
    <xf numFmtId="0" fontId="24" fillId="0" borderId="3" xfId="0" applyFont="1" applyBorder="1" applyAlignment="1">
      <alignment horizontal="center" vertical="center"/>
    </xf>
    <xf numFmtId="0" fontId="25" fillId="3" borderId="3" xfId="0" applyFont="1" applyFill="1" applyBorder="1" applyAlignment="1">
      <alignment horizontal="center" vertical="center" wrapText="1"/>
    </xf>
    <xf numFmtId="0" fontId="31" fillId="0" borderId="23" xfId="0" applyFont="1" applyBorder="1" applyAlignment="1">
      <alignment horizontal="center" vertical="center" wrapText="1"/>
    </xf>
    <xf numFmtId="0" fontId="31" fillId="0" borderId="24" xfId="0" applyFont="1" applyBorder="1" applyAlignment="1">
      <alignment horizontal="center" vertical="center" wrapText="1"/>
    </xf>
    <xf numFmtId="0" fontId="31" fillId="0" borderId="60" xfId="0" applyFont="1" applyBorder="1" applyAlignment="1">
      <alignment horizontal="center" vertical="center" wrapText="1"/>
    </xf>
    <xf numFmtId="0" fontId="31" fillId="0" borderId="61" xfId="0" applyFont="1" applyBorder="1" applyAlignment="1">
      <alignment horizontal="center" vertical="center" wrapText="1"/>
    </xf>
    <xf numFmtId="0" fontId="31" fillId="0" borderId="55" xfId="0" applyFont="1" applyBorder="1" applyAlignment="1">
      <alignment horizontal="center" vertical="center" wrapText="1"/>
    </xf>
    <xf numFmtId="0" fontId="31" fillId="0" borderId="62" xfId="0" applyFont="1" applyBorder="1" applyAlignment="1">
      <alignment horizontal="center" vertical="center" wrapText="1"/>
    </xf>
    <xf numFmtId="0" fontId="30" fillId="20" borderId="13" xfId="0" applyFont="1" applyFill="1" applyBorder="1" applyAlignment="1">
      <alignment horizontal="center" vertical="center" wrapText="1"/>
    </xf>
    <xf numFmtId="0" fontId="30" fillId="20" borderId="14" xfId="0" applyFont="1" applyFill="1" applyBorder="1" applyAlignment="1">
      <alignment horizontal="center" vertical="center" wrapText="1"/>
    </xf>
    <xf numFmtId="0" fontId="30" fillId="20" borderId="5" xfId="0" applyFont="1" applyFill="1" applyBorder="1" applyAlignment="1">
      <alignment horizontal="center" vertical="center" wrapText="1"/>
    </xf>
    <xf numFmtId="0" fontId="1" fillId="0" borderId="4" xfId="0" applyFont="1" applyBorder="1" applyAlignment="1">
      <alignment horizontal="center" vertical="center"/>
    </xf>
    <xf numFmtId="0" fontId="4" fillId="0" borderId="13"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5" xfId="0" applyFont="1" applyBorder="1" applyAlignment="1">
      <alignment horizontal="center" vertical="center" wrapText="1"/>
    </xf>
    <xf numFmtId="0" fontId="2" fillId="0" borderId="0" xfId="0" applyFont="1" applyAlignment="1">
      <alignment horizontal="center"/>
    </xf>
    <xf numFmtId="9" fontId="30" fillId="18" borderId="13" xfId="0" applyNumberFormat="1" applyFont="1" applyFill="1" applyBorder="1" applyAlignment="1">
      <alignment horizontal="center" vertical="center" wrapText="1"/>
    </xf>
    <xf numFmtId="9" fontId="30" fillId="18" borderId="14" xfId="0" applyNumberFormat="1" applyFont="1" applyFill="1" applyBorder="1" applyAlignment="1">
      <alignment horizontal="center" vertical="center" wrapText="1"/>
    </xf>
    <xf numFmtId="9" fontId="30" fillId="10" borderId="13" xfId="0" applyNumberFormat="1" applyFont="1" applyFill="1" applyBorder="1" applyAlignment="1">
      <alignment horizontal="center" vertical="center" wrapText="1"/>
    </xf>
    <xf numFmtId="9" fontId="30" fillId="10" borderId="14" xfId="0" applyNumberFormat="1" applyFont="1" applyFill="1" applyBorder="1" applyAlignment="1">
      <alignment horizontal="center" vertical="center" wrapText="1"/>
    </xf>
    <xf numFmtId="0" fontId="32" fillId="12" borderId="13" xfId="0" applyFont="1" applyFill="1" applyBorder="1" applyAlignment="1">
      <alignment horizontal="center" vertical="center" wrapText="1"/>
    </xf>
    <xf numFmtId="0" fontId="32" fillId="12" borderId="14" xfId="0" applyFont="1" applyFill="1" applyBorder="1" applyAlignment="1">
      <alignment horizontal="center" vertical="center" wrapText="1"/>
    </xf>
    <xf numFmtId="0" fontId="30" fillId="14" borderId="60" xfId="0" applyFont="1" applyFill="1" applyBorder="1" applyAlignment="1">
      <alignment horizontal="center" vertical="center" wrapText="1"/>
    </xf>
    <xf numFmtId="0" fontId="30" fillId="14" borderId="61" xfId="0" applyFont="1" applyFill="1" applyBorder="1" applyAlignment="1">
      <alignment horizontal="center" vertical="center" wrapText="1"/>
    </xf>
    <xf numFmtId="0" fontId="30" fillId="16" borderId="13" xfId="0" applyFont="1" applyFill="1" applyBorder="1" applyAlignment="1">
      <alignment horizontal="center" vertical="center" wrapText="1"/>
    </xf>
    <xf numFmtId="0" fontId="30" fillId="16" borderId="14" xfId="0" applyFont="1" applyFill="1" applyBorder="1" applyAlignment="1">
      <alignment horizontal="center" vertical="center" wrapText="1"/>
    </xf>
    <xf numFmtId="0" fontId="1" fillId="0" borderId="37" xfId="0" applyFont="1" applyBorder="1" applyAlignment="1">
      <alignment horizontal="center" vertical="center"/>
    </xf>
    <xf numFmtId="0" fontId="2" fillId="0" borderId="44" xfId="0" applyFont="1" applyBorder="1" applyAlignment="1">
      <alignment horizontal="center" vertical="center" wrapText="1"/>
    </xf>
    <xf numFmtId="0" fontId="5" fillId="0" borderId="65" xfId="0" applyFont="1" applyBorder="1"/>
    <xf numFmtId="0" fontId="5" fillId="0" borderId="66" xfId="0" applyFont="1" applyBorder="1"/>
    <xf numFmtId="0" fontId="5" fillId="0" borderId="67" xfId="0" applyFont="1" applyBorder="1"/>
    <xf numFmtId="0" fontId="5" fillId="0" borderId="68" xfId="0" applyFont="1" applyBorder="1"/>
    <xf numFmtId="0" fontId="5" fillId="0" borderId="32" xfId="0" applyFont="1" applyBorder="1"/>
    <xf numFmtId="0" fontId="5" fillId="0" borderId="69" xfId="0" applyFont="1" applyBorder="1"/>
    <xf numFmtId="0" fontId="5" fillId="0" borderId="70" xfId="0" applyFont="1" applyBorder="1"/>
    <xf numFmtId="0" fontId="5" fillId="0" borderId="80" xfId="0" applyFont="1" applyBorder="1"/>
    <xf numFmtId="0" fontId="2" fillId="0" borderId="50" xfId="0" applyFont="1" applyBorder="1" applyAlignment="1">
      <alignment horizontal="left"/>
    </xf>
    <xf numFmtId="0" fontId="5" fillId="0" borderId="82" xfId="0" applyFont="1" applyBorder="1"/>
    <xf numFmtId="0" fontId="5" fillId="0" borderId="84" xfId="0" applyFont="1" applyBorder="1"/>
    <xf numFmtId="0" fontId="2" fillId="0" borderId="79" xfId="0" applyFont="1" applyBorder="1" applyAlignment="1">
      <alignment horizontal="left"/>
    </xf>
    <xf numFmtId="0" fontId="1" fillId="0" borderId="77" xfId="0" applyFont="1" applyBorder="1" applyAlignment="1">
      <alignment horizontal="center"/>
    </xf>
    <xf numFmtId="0" fontId="5" fillId="0" borderId="75" xfId="0" applyFont="1" applyBorder="1"/>
    <xf numFmtId="0" fontId="5" fillId="0" borderId="76" xfId="0" applyFont="1" applyBorder="1"/>
    <xf numFmtId="0" fontId="5" fillId="0" borderId="78" xfId="0" applyFont="1" applyBorder="1"/>
    <xf numFmtId="0" fontId="4" fillId="0" borderId="79" xfId="0" applyFont="1" applyBorder="1" applyAlignment="1">
      <alignment horizontal="center" vertical="center" wrapText="1"/>
    </xf>
    <xf numFmtId="0" fontId="4" fillId="0" borderId="74" xfId="0" applyFont="1" applyBorder="1" applyAlignment="1">
      <alignment horizontal="center" vertical="center" wrapText="1"/>
    </xf>
    <xf numFmtId="0" fontId="4" fillId="0" borderId="77" xfId="0" applyFont="1" applyBorder="1" applyAlignment="1">
      <alignment horizontal="center" vertical="center" wrapText="1"/>
    </xf>
    <xf numFmtId="0" fontId="6" fillId="0" borderId="0" xfId="0" applyFont="1" applyAlignment="1">
      <alignment horizontal="center" vertical="center" wrapText="1"/>
    </xf>
    <xf numFmtId="0" fontId="2" fillId="0" borderId="81" xfId="0" applyFont="1" applyBorder="1" applyAlignment="1">
      <alignment horizontal="left"/>
    </xf>
    <xf numFmtId="0" fontId="5" fillId="0" borderId="83" xfId="0" applyFont="1" applyBorder="1"/>
    <xf numFmtId="167" fontId="2" fillId="0" borderId="0" xfId="0" applyNumberFormat="1" applyFont="1" applyAlignment="1">
      <alignment horizontal="center" vertical="center"/>
    </xf>
    <xf numFmtId="0" fontId="3" fillId="3" borderId="85" xfId="0" applyFont="1" applyFill="1" applyBorder="1" applyAlignment="1">
      <alignment horizontal="center" vertical="center" wrapText="1"/>
    </xf>
    <xf numFmtId="0" fontId="5" fillId="0" borderId="86" xfId="0" applyFont="1" applyBorder="1"/>
    <xf numFmtId="0" fontId="2" fillId="0" borderId="37" xfId="0" applyFont="1" applyBorder="1" applyAlignment="1">
      <alignment horizontal="center" vertical="center" wrapText="1"/>
    </xf>
    <xf numFmtId="0" fontId="2" fillId="0" borderId="79" xfId="0" applyFont="1" applyBorder="1" applyAlignment="1">
      <alignment horizontal="center"/>
    </xf>
    <xf numFmtId="0" fontId="2" fillId="0" borderId="37" xfId="0" applyFont="1" applyBorder="1"/>
    <xf numFmtId="0" fontId="2" fillId="0" borderId="50" xfId="0" applyFont="1" applyBorder="1"/>
    <xf numFmtId="0" fontId="2" fillId="0" borderId="81" xfId="0" applyFont="1" applyBorder="1" applyAlignment="1">
      <alignment horizontal="center"/>
    </xf>
    <xf numFmtId="0" fontId="4" fillId="3" borderId="20" xfId="0" applyFont="1" applyFill="1" applyBorder="1" applyAlignment="1">
      <alignment horizontal="center" vertical="center" wrapText="1"/>
    </xf>
    <xf numFmtId="0" fontId="1" fillId="0" borderId="77" xfId="0" applyFont="1" applyBorder="1" applyAlignment="1">
      <alignment horizontal="center" vertical="center"/>
    </xf>
    <xf numFmtId="0" fontId="2" fillId="0" borderId="79" xfId="0" applyFont="1" applyBorder="1" applyAlignment="1">
      <alignment horizontal="center" vertical="center"/>
    </xf>
    <xf numFmtId="0" fontId="2" fillId="0" borderId="50" xfId="0" applyFont="1" applyBorder="1" applyAlignment="1">
      <alignment horizontal="center" vertical="center"/>
    </xf>
    <xf numFmtId="0" fontId="2" fillId="0" borderId="81" xfId="0" applyFont="1" applyBorder="1" applyAlignment="1">
      <alignment horizontal="center" vertical="center"/>
    </xf>
  </cellXfs>
  <cellStyles count="1">
    <cellStyle name="Normal" xfId="0" builtinId="0"/>
  </cellStyles>
  <dxfs count="2">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2.625" defaultRowHeight="15" customHeight="1" x14ac:dyDescent="0.2"/>
  <cols>
    <col min="1" max="1" width="10" customWidth="1"/>
    <col min="2" max="2" width="9.875" customWidth="1"/>
    <col min="3" max="3" width="10" customWidth="1"/>
    <col min="4" max="4" width="15.5" customWidth="1"/>
    <col min="5" max="5" width="16" customWidth="1"/>
    <col min="6" max="26" width="10" customWidth="1"/>
  </cols>
  <sheetData>
    <row r="1" spans="2:9" x14ac:dyDescent="0.25">
      <c r="B1" s="1"/>
      <c r="C1" s="1"/>
      <c r="D1" s="2"/>
      <c r="E1" s="2"/>
      <c r="H1" s="3"/>
    </row>
    <row r="2" spans="2:9" ht="14.25" x14ac:dyDescent="0.2">
      <c r="B2" s="4" t="s">
        <v>0</v>
      </c>
      <c r="C2" s="5" t="s">
        <v>1</v>
      </c>
      <c r="D2" s="5" t="s">
        <v>2</v>
      </c>
      <c r="E2" s="5" t="s">
        <v>3</v>
      </c>
      <c r="G2" s="296" t="s">
        <v>6</v>
      </c>
      <c r="H2" s="297"/>
      <c r="I2" s="298"/>
    </row>
    <row r="3" spans="2:9" ht="14.25" x14ac:dyDescent="0.2">
      <c r="B3" s="9" t="s">
        <v>7</v>
      </c>
      <c r="C3" s="302" t="s">
        <v>9</v>
      </c>
      <c r="D3" s="11">
        <v>28.1</v>
      </c>
      <c r="E3" s="11">
        <v>26</v>
      </c>
      <c r="G3" s="13" t="s">
        <v>13</v>
      </c>
      <c r="H3" s="14">
        <f>H5+H5*0.05</f>
        <v>827.4</v>
      </c>
      <c r="I3" s="17" t="s">
        <v>14</v>
      </c>
    </row>
    <row r="4" spans="2:9" ht="14.25" x14ac:dyDescent="0.2">
      <c r="B4" s="9" t="s">
        <v>17</v>
      </c>
      <c r="C4" s="300"/>
      <c r="D4" s="11">
        <v>63.911000000000001</v>
      </c>
      <c r="E4" s="11">
        <v>50</v>
      </c>
      <c r="G4" s="13" t="s">
        <v>19</v>
      </c>
      <c r="H4" s="18">
        <f>H5-H5*0.05</f>
        <v>748.6</v>
      </c>
      <c r="I4" s="17" t="s">
        <v>25</v>
      </c>
    </row>
    <row r="5" spans="2:9" ht="14.25" x14ac:dyDescent="0.2">
      <c r="B5" s="9" t="s">
        <v>26</v>
      </c>
      <c r="C5" s="300"/>
      <c r="D5" s="11">
        <v>69.921999999999997</v>
      </c>
      <c r="E5" s="11">
        <v>56</v>
      </c>
      <c r="G5" s="13" t="s">
        <v>27</v>
      </c>
      <c r="H5" s="19">
        <v>788</v>
      </c>
      <c r="I5" s="17" t="s">
        <v>30</v>
      </c>
    </row>
    <row r="6" spans="2:9" x14ac:dyDescent="0.25">
      <c r="B6" s="9" t="s">
        <v>32</v>
      </c>
      <c r="C6" s="300"/>
      <c r="D6" s="11">
        <v>96.744</v>
      </c>
      <c r="E6" s="11">
        <v>88</v>
      </c>
      <c r="H6" s="3"/>
    </row>
    <row r="7" spans="2:9" x14ac:dyDescent="0.25">
      <c r="B7" s="9" t="s">
        <v>33</v>
      </c>
      <c r="C7" s="301"/>
      <c r="D7" s="11">
        <v>128.11000000000001</v>
      </c>
      <c r="E7" s="11">
        <v>125</v>
      </c>
      <c r="H7" s="3"/>
    </row>
    <row r="8" spans="2:9" x14ac:dyDescent="0.25">
      <c r="B8" s="296"/>
      <c r="C8" s="297"/>
      <c r="D8" s="297"/>
      <c r="E8" s="297"/>
      <c r="H8" s="3"/>
    </row>
    <row r="9" spans="2:9" x14ac:dyDescent="0.25">
      <c r="B9" s="9" t="s">
        <v>35</v>
      </c>
      <c r="C9" s="302" t="s">
        <v>36</v>
      </c>
      <c r="D9" s="11">
        <v>207.78</v>
      </c>
      <c r="E9" s="11">
        <v>136</v>
      </c>
      <c r="H9" s="3"/>
    </row>
    <row r="10" spans="2:9" x14ac:dyDescent="0.25">
      <c r="B10" s="9" t="s">
        <v>37</v>
      </c>
      <c r="C10" s="300"/>
      <c r="D10" s="11">
        <v>444.11</v>
      </c>
      <c r="E10" s="11">
        <v>433</v>
      </c>
      <c r="H10" s="3"/>
    </row>
    <row r="11" spans="2:9" x14ac:dyDescent="0.25">
      <c r="B11" s="9" t="s">
        <v>38</v>
      </c>
      <c r="C11" s="300"/>
      <c r="D11" s="11">
        <v>579.55999999999995</v>
      </c>
      <c r="E11" s="11">
        <v>550</v>
      </c>
      <c r="H11" s="3"/>
    </row>
    <row r="12" spans="2:9" x14ac:dyDescent="0.25">
      <c r="B12" s="9" t="s">
        <v>39</v>
      </c>
      <c r="C12" s="300"/>
      <c r="D12" s="11">
        <v>746.22</v>
      </c>
      <c r="E12" s="11">
        <v>770</v>
      </c>
      <c r="H12" s="3"/>
    </row>
    <row r="13" spans="2:9" x14ac:dyDescent="0.25">
      <c r="B13" s="9" t="s">
        <v>41</v>
      </c>
      <c r="C13" s="301"/>
      <c r="D13" s="11">
        <v>869.5</v>
      </c>
      <c r="E13" s="11">
        <v>820</v>
      </c>
      <c r="H13" s="3"/>
    </row>
    <row r="14" spans="2:9" x14ac:dyDescent="0.25">
      <c r="B14" s="305"/>
      <c r="C14" s="297"/>
      <c r="D14" s="297"/>
      <c r="E14" s="306"/>
      <c r="H14" s="3"/>
    </row>
    <row r="15" spans="2:9" x14ac:dyDescent="0.25">
      <c r="B15" s="9" t="s">
        <v>46</v>
      </c>
      <c r="C15" s="302" t="s">
        <v>47</v>
      </c>
      <c r="D15" s="11">
        <v>88.4</v>
      </c>
      <c r="E15" s="11">
        <v>88</v>
      </c>
      <c r="H15" s="3"/>
    </row>
    <row r="16" spans="2:9" x14ac:dyDescent="0.25">
      <c r="B16" s="9" t="s">
        <v>48</v>
      </c>
      <c r="C16" s="300"/>
      <c r="D16" s="11">
        <v>94.6</v>
      </c>
      <c r="E16" s="11">
        <v>93</v>
      </c>
      <c r="H16" s="3"/>
    </row>
    <row r="17" spans="2:8" x14ac:dyDescent="0.25">
      <c r="B17" s="9" t="s">
        <v>49</v>
      </c>
      <c r="C17" s="301"/>
      <c r="D17" s="11">
        <v>123.11669999999999</v>
      </c>
      <c r="E17" s="11">
        <v>120</v>
      </c>
      <c r="H17" s="3"/>
    </row>
    <row r="18" spans="2:8" x14ac:dyDescent="0.25">
      <c r="B18" s="296"/>
      <c r="C18" s="297"/>
      <c r="D18" s="297"/>
      <c r="E18" s="297"/>
      <c r="H18" s="3"/>
    </row>
    <row r="19" spans="2:8" x14ac:dyDescent="0.25">
      <c r="B19" s="9" t="s">
        <v>50</v>
      </c>
      <c r="C19" s="302" t="s">
        <v>51</v>
      </c>
      <c r="D19" s="11">
        <v>271.44400000000002</v>
      </c>
      <c r="E19" s="11">
        <v>258</v>
      </c>
      <c r="H19" s="3"/>
    </row>
    <row r="20" spans="2:8" x14ac:dyDescent="0.25">
      <c r="B20" s="9" t="s">
        <v>54</v>
      </c>
      <c r="C20" s="300"/>
      <c r="D20" s="11">
        <v>550.22199999999998</v>
      </c>
      <c r="E20" s="11">
        <v>270</v>
      </c>
      <c r="H20" s="3"/>
    </row>
    <row r="21" spans="2:8" ht="15.75" customHeight="1" x14ac:dyDescent="0.25">
      <c r="B21" s="9" t="s">
        <v>55</v>
      </c>
      <c r="C21" s="300"/>
      <c r="D21" s="11">
        <v>609</v>
      </c>
      <c r="E21" s="11">
        <v>592</v>
      </c>
      <c r="H21" s="3"/>
    </row>
    <row r="22" spans="2:8" ht="15.75" customHeight="1" x14ac:dyDescent="0.25">
      <c r="B22" s="9" t="s">
        <v>56</v>
      </c>
      <c r="C22" s="300"/>
      <c r="D22" s="11">
        <v>739.11099999999999</v>
      </c>
      <c r="E22" s="11">
        <v>725</v>
      </c>
      <c r="H22" s="3"/>
    </row>
    <row r="23" spans="2:8" ht="15.75" customHeight="1" x14ac:dyDescent="0.25">
      <c r="B23" s="9" t="s">
        <v>57</v>
      </c>
      <c r="C23" s="301"/>
      <c r="D23" s="11">
        <v>746.88900000000001</v>
      </c>
      <c r="E23" s="11">
        <v>455</v>
      </c>
      <c r="H23" s="3"/>
    </row>
    <row r="24" spans="2:8" ht="15.75" customHeight="1" x14ac:dyDescent="0.25">
      <c r="B24" s="305"/>
      <c r="C24" s="297"/>
      <c r="D24" s="297"/>
      <c r="E24" s="306"/>
      <c r="H24" s="3"/>
    </row>
    <row r="25" spans="2:8" ht="15.75" customHeight="1" x14ac:dyDescent="0.25">
      <c r="B25" s="9" t="s">
        <v>60</v>
      </c>
      <c r="C25" s="302" t="s">
        <v>62</v>
      </c>
      <c r="D25" s="11">
        <v>19.36</v>
      </c>
      <c r="E25" s="11">
        <v>18</v>
      </c>
      <c r="H25" s="3"/>
    </row>
    <row r="26" spans="2:8" ht="15.75" customHeight="1" x14ac:dyDescent="0.25">
      <c r="B26" s="9" t="s">
        <v>64</v>
      </c>
      <c r="C26" s="300"/>
      <c r="D26" s="11">
        <v>33.31</v>
      </c>
      <c r="E26" s="11">
        <v>31</v>
      </c>
      <c r="H26" s="3"/>
    </row>
    <row r="27" spans="2:8" ht="15.75" customHeight="1" x14ac:dyDescent="0.25">
      <c r="B27" s="9" t="s">
        <v>65</v>
      </c>
      <c r="C27" s="301"/>
      <c r="D27" s="11">
        <v>41.74</v>
      </c>
      <c r="E27" s="11">
        <v>24</v>
      </c>
      <c r="H27" s="3"/>
    </row>
    <row r="28" spans="2:8" ht="15.75" customHeight="1" x14ac:dyDescent="0.25">
      <c r="B28" s="296"/>
      <c r="C28" s="297"/>
      <c r="D28" s="297"/>
      <c r="E28" s="297"/>
      <c r="H28" s="3"/>
    </row>
    <row r="29" spans="2:8" ht="15.75" customHeight="1" x14ac:dyDescent="0.25">
      <c r="B29" s="9" t="s">
        <v>66</v>
      </c>
      <c r="C29" s="302" t="s">
        <v>68</v>
      </c>
      <c r="D29" s="11">
        <v>204.5</v>
      </c>
      <c r="E29" s="11">
        <v>202</v>
      </c>
      <c r="H29" s="3"/>
    </row>
    <row r="30" spans="2:8" ht="15.75" customHeight="1" x14ac:dyDescent="0.25">
      <c r="B30" s="9" t="s">
        <v>69</v>
      </c>
      <c r="C30" s="301"/>
      <c r="D30" s="11">
        <v>277.7</v>
      </c>
      <c r="E30" s="11">
        <v>270</v>
      </c>
      <c r="H30" s="3"/>
    </row>
    <row r="31" spans="2:8" ht="15.75" customHeight="1" x14ac:dyDescent="0.25">
      <c r="B31" s="305"/>
      <c r="C31" s="297"/>
      <c r="D31" s="297"/>
      <c r="E31" s="306"/>
      <c r="H31" s="3"/>
    </row>
    <row r="32" spans="2:8" ht="15.75" customHeight="1" x14ac:dyDescent="0.25">
      <c r="B32" s="9" t="s">
        <v>69</v>
      </c>
      <c r="C32" s="302" t="s">
        <v>71</v>
      </c>
      <c r="D32" s="11">
        <v>10.283300000000001</v>
      </c>
      <c r="E32" s="11">
        <v>10</v>
      </c>
      <c r="H32" s="3"/>
    </row>
    <row r="33" spans="2:8" ht="15.75" customHeight="1" x14ac:dyDescent="0.25">
      <c r="B33" s="9" t="s">
        <v>72</v>
      </c>
      <c r="C33" s="300"/>
      <c r="D33" s="11">
        <v>11.8833</v>
      </c>
      <c r="E33" s="11">
        <v>11</v>
      </c>
      <c r="H33" s="3"/>
    </row>
    <row r="34" spans="2:8" ht="15.75" customHeight="1" x14ac:dyDescent="0.25">
      <c r="B34" s="9" t="s">
        <v>73</v>
      </c>
      <c r="C34" s="301"/>
      <c r="D34" s="11">
        <v>17.433299999999999</v>
      </c>
      <c r="E34" s="11">
        <v>16</v>
      </c>
      <c r="H34" s="3"/>
    </row>
    <row r="35" spans="2:8" ht="15.75" customHeight="1" x14ac:dyDescent="0.25">
      <c r="B35" s="296"/>
      <c r="C35" s="297"/>
      <c r="D35" s="297"/>
      <c r="E35" s="297"/>
      <c r="H35" s="3"/>
    </row>
    <row r="36" spans="2:8" ht="15.75" customHeight="1" x14ac:dyDescent="0.25">
      <c r="B36" s="9" t="s">
        <v>76</v>
      </c>
      <c r="C36" s="302" t="s">
        <v>77</v>
      </c>
      <c r="D36" s="11">
        <v>117.467</v>
      </c>
      <c r="E36" s="11">
        <v>162</v>
      </c>
      <c r="H36" s="3"/>
    </row>
    <row r="37" spans="2:8" ht="15.75" customHeight="1" x14ac:dyDescent="0.25">
      <c r="B37" s="9" t="s">
        <v>78</v>
      </c>
      <c r="C37" s="300"/>
      <c r="D37" s="11">
        <v>187.833</v>
      </c>
      <c r="E37" s="11">
        <v>114</v>
      </c>
      <c r="H37" s="3"/>
    </row>
    <row r="38" spans="2:8" ht="15.75" customHeight="1" x14ac:dyDescent="0.25">
      <c r="B38" s="9" t="s">
        <v>79</v>
      </c>
      <c r="C38" s="300"/>
      <c r="D38" s="11">
        <v>218.333</v>
      </c>
      <c r="E38" s="11">
        <v>210</v>
      </c>
      <c r="H38" s="3"/>
    </row>
    <row r="39" spans="2:8" ht="15.75" customHeight="1" x14ac:dyDescent="0.25">
      <c r="B39" s="9" t="s">
        <v>80</v>
      </c>
      <c r="C39" s="301"/>
      <c r="D39" s="11">
        <v>238.5</v>
      </c>
      <c r="E39" s="11">
        <v>89</v>
      </c>
      <c r="H39" s="3"/>
    </row>
    <row r="40" spans="2:8" ht="15.75" customHeight="1" x14ac:dyDescent="0.25">
      <c r="B40" s="305"/>
      <c r="C40" s="297"/>
      <c r="D40" s="297"/>
      <c r="E40" s="306"/>
      <c r="H40" s="3"/>
    </row>
    <row r="41" spans="2:8" ht="15.75" customHeight="1" x14ac:dyDescent="0.25">
      <c r="B41" s="9" t="s">
        <v>81</v>
      </c>
      <c r="C41" s="302" t="s">
        <v>82</v>
      </c>
      <c r="D41" s="11">
        <v>2</v>
      </c>
      <c r="E41" s="11">
        <v>10</v>
      </c>
      <c r="H41" s="3"/>
    </row>
    <row r="42" spans="2:8" ht="15.75" customHeight="1" x14ac:dyDescent="0.25">
      <c r="B42" s="9" t="s">
        <v>83</v>
      </c>
      <c r="C42" s="300"/>
      <c r="D42" s="11">
        <v>7.133</v>
      </c>
      <c r="E42" s="11">
        <v>11</v>
      </c>
      <c r="H42" s="3"/>
    </row>
    <row r="43" spans="2:8" ht="15.75" customHeight="1" x14ac:dyDescent="0.25">
      <c r="B43" s="9" t="s">
        <v>84</v>
      </c>
      <c r="C43" s="301"/>
      <c r="D43" s="11">
        <v>10.72</v>
      </c>
      <c r="E43" s="11">
        <v>7</v>
      </c>
      <c r="H43" s="3"/>
    </row>
    <row r="44" spans="2:8" ht="15.75" customHeight="1" x14ac:dyDescent="0.25">
      <c r="B44" s="296"/>
      <c r="C44" s="297"/>
      <c r="D44" s="297"/>
      <c r="E44" s="297"/>
      <c r="H44" s="3"/>
    </row>
    <row r="45" spans="2:8" ht="15.75" customHeight="1" x14ac:dyDescent="0.25">
      <c r="B45" s="9" t="s">
        <v>86</v>
      </c>
      <c r="C45" s="302" t="s">
        <v>87</v>
      </c>
      <c r="D45" s="11">
        <v>20.466999999999999</v>
      </c>
      <c r="E45" s="11">
        <v>14</v>
      </c>
      <c r="H45" s="3"/>
    </row>
    <row r="46" spans="2:8" ht="15.75" customHeight="1" x14ac:dyDescent="0.25">
      <c r="B46" s="9" t="s">
        <v>88</v>
      </c>
      <c r="C46" s="301"/>
      <c r="D46" s="11">
        <v>20.367000000000001</v>
      </c>
      <c r="E46" s="11">
        <v>14</v>
      </c>
      <c r="H46" s="3"/>
    </row>
    <row r="47" spans="2:8" ht="15.75" customHeight="1" x14ac:dyDescent="0.25">
      <c r="B47" s="305"/>
      <c r="C47" s="297"/>
      <c r="D47" s="297"/>
      <c r="E47" s="306"/>
      <c r="H47" s="3"/>
    </row>
    <row r="48" spans="2:8" ht="15.75" customHeight="1" x14ac:dyDescent="0.25">
      <c r="B48" s="9" t="s">
        <v>89</v>
      </c>
      <c r="C48" s="302" t="s">
        <v>90</v>
      </c>
      <c r="D48" s="11">
        <v>5.15</v>
      </c>
      <c r="E48" s="11">
        <v>21</v>
      </c>
      <c r="H48" s="3"/>
    </row>
    <row r="49" spans="1:26" ht="15.75" customHeight="1" x14ac:dyDescent="0.25">
      <c r="B49" s="9" t="s">
        <v>91</v>
      </c>
      <c r="C49" s="300"/>
      <c r="D49" s="11">
        <v>16.2</v>
      </c>
      <c r="E49" s="11">
        <v>17</v>
      </c>
      <c r="H49" s="3"/>
    </row>
    <row r="50" spans="1:26" ht="15.75" customHeight="1" x14ac:dyDescent="0.25">
      <c r="B50" s="9" t="s">
        <v>92</v>
      </c>
      <c r="C50" s="301"/>
      <c r="D50" s="11">
        <v>17.260000000000002</v>
      </c>
      <c r="E50" s="11">
        <v>15</v>
      </c>
      <c r="H50" s="3"/>
    </row>
    <row r="51" spans="1:26" ht="15.75" customHeight="1" x14ac:dyDescent="0.25">
      <c r="B51" s="296"/>
      <c r="C51" s="297"/>
      <c r="D51" s="297"/>
      <c r="E51" s="297"/>
      <c r="H51" s="3"/>
    </row>
    <row r="52" spans="1:26" ht="15.75" customHeight="1" x14ac:dyDescent="0.25">
      <c r="B52" s="9" t="s">
        <v>94</v>
      </c>
      <c r="C52" s="302" t="s">
        <v>95</v>
      </c>
      <c r="D52" s="11">
        <v>50.082999999999998</v>
      </c>
      <c r="E52" s="11">
        <v>46</v>
      </c>
      <c r="H52" s="3"/>
    </row>
    <row r="53" spans="1:26" ht="15.75" customHeight="1" x14ac:dyDescent="0.25">
      <c r="B53" s="9" t="s">
        <v>96</v>
      </c>
      <c r="C53" s="300"/>
      <c r="D53" s="11">
        <v>93.992999999999995</v>
      </c>
      <c r="E53" s="11">
        <v>112</v>
      </c>
      <c r="H53" s="3"/>
    </row>
    <row r="54" spans="1:26" ht="15.75" customHeight="1" x14ac:dyDescent="0.25">
      <c r="B54" s="9" t="s">
        <v>97</v>
      </c>
      <c r="C54" s="300"/>
      <c r="D54" s="11">
        <v>95.516999999999996</v>
      </c>
      <c r="E54" s="11">
        <v>50</v>
      </c>
      <c r="H54" s="3"/>
    </row>
    <row r="55" spans="1:26" ht="15.75" customHeight="1" x14ac:dyDescent="0.25">
      <c r="B55" s="9" t="s">
        <v>98</v>
      </c>
      <c r="C55" s="300"/>
      <c r="D55" s="11">
        <v>100.92</v>
      </c>
      <c r="E55" s="11">
        <v>112</v>
      </c>
      <c r="H55" s="3"/>
    </row>
    <row r="56" spans="1:26" ht="15.75" customHeight="1" x14ac:dyDescent="0.25">
      <c r="B56" s="9" t="s">
        <v>99</v>
      </c>
      <c r="C56" s="301"/>
      <c r="D56" s="11">
        <v>115.37</v>
      </c>
      <c r="E56" s="11">
        <v>88</v>
      </c>
      <c r="H56" s="3"/>
    </row>
    <row r="57" spans="1:26" ht="15.75" customHeight="1" x14ac:dyDescent="0.25">
      <c r="B57" s="1"/>
      <c r="C57" s="1"/>
      <c r="D57" s="2"/>
      <c r="E57" s="2"/>
      <c r="H57" s="3"/>
    </row>
    <row r="58" spans="1:26" ht="15.75" customHeight="1" x14ac:dyDescent="0.25">
      <c r="A58" s="29"/>
      <c r="B58" s="30"/>
      <c r="C58" s="30"/>
      <c r="D58" s="32"/>
      <c r="E58" s="32"/>
      <c r="F58" s="29"/>
      <c r="G58" s="29"/>
      <c r="H58" s="34"/>
      <c r="I58" s="29"/>
      <c r="J58" s="29"/>
      <c r="K58" s="29"/>
      <c r="L58" s="29"/>
      <c r="M58" s="29"/>
      <c r="N58" s="29"/>
      <c r="O58" s="29"/>
      <c r="P58" s="29"/>
      <c r="Q58" s="29"/>
      <c r="R58" s="29"/>
      <c r="S58" s="29"/>
      <c r="T58" s="29"/>
      <c r="U58" s="29"/>
      <c r="V58" s="29"/>
      <c r="W58" s="29"/>
      <c r="X58" s="29"/>
      <c r="Y58" s="29"/>
      <c r="Z58" s="29"/>
    </row>
    <row r="59" spans="1:26" ht="15.75" customHeight="1" x14ac:dyDescent="0.25">
      <c r="B59" s="1"/>
      <c r="C59" s="1"/>
      <c r="D59" s="37">
        <v>42987</v>
      </c>
      <c r="E59" s="2"/>
      <c r="H59" s="3"/>
    </row>
    <row r="60" spans="1:26" ht="15.75" customHeight="1" x14ac:dyDescent="0.25">
      <c r="A60" s="21" t="s">
        <v>100</v>
      </c>
      <c r="B60" s="1"/>
      <c r="C60" s="1"/>
      <c r="D60" s="2"/>
      <c r="E60" s="2"/>
      <c r="H60" s="3"/>
    </row>
    <row r="61" spans="1:26" ht="15.75" customHeight="1" x14ac:dyDescent="0.2">
      <c r="B61" s="4" t="s">
        <v>0</v>
      </c>
      <c r="C61" s="5" t="s">
        <v>1</v>
      </c>
      <c r="D61" s="5" t="s">
        <v>2</v>
      </c>
      <c r="E61" s="5" t="s">
        <v>3</v>
      </c>
      <c r="G61" s="296"/>
      <c r="H61" s="297"/>
      <c r="I61" s="298"/>
    </row>
    <row r="62" spans="1:26" ht="15.75" customHeight="1" x14ac:dyDescent="0.2">
      <c r="B62" s="9" t="s">
        <v>7</v>
      </c>
      <c r="C62" s="302" t="s">
        <v>9</v>
      </c>
      <c r="D62" s="11">
        <v>28.1</v>
      </c>
      <c r="E62" s="11">
        <v>27</v>
      </c>
      <c r="G62" s="13"/>
      <c r="H62" s="39"/>
      <c r="I62" s="17"/>
    </row>
    <row r="63" spans="1:26" ht="15.75" customHeight="1" x14ac:dyDescent="0.2">
      <c r="B63" s="9" t="s">
        <v>17</v>
      </c>
      <c r="C63" s="300"/>
      <c r="D63" s="11">
        <v>63.911000000000001</v>
      </c>
      <c r="E63" s="11">
        <v>54</v>
      </c>
      <c r="G63" s="13"/>
      <c r="H63" s="40"/>
      <c r="I63" s="17"/>
    </row>
    <row r="64" spans="1:26" ht="15.75" customHeight="1" x14ac:dyDescent="0.2">
      <c r="B64" s="9" t="s">
        <v>26</v>
      </c>
      <c r="C64" s="300"/>
      <c r="D64" s="11">
        <v>69.921999999999997</v>
      </c>
      <c r="E64" s="11">
        <v>55</v>
      </c>
      <c r="G64" s="13"/>
      <c r="H64" s="20"/>
      <c r="I64" s="17"/>
    </row>
    <row r="65" spans="2:12" ht="15.75" customHeight="1" x14ac:dyDescent="0.25">
      <c r="B65" s="9" t="s">
        <v>32</v>
      </c>
      <c r="C65" s="300"/>
      <c r="D65" s="11">
        <v>96.744</v>
      </c>
      <c r="E65" s="11">
        <v>95</v>
      </c>
      <c r="H65" s="3"/>
    </row>
    <row r="66" spans="2:12" ht="15.75" customHeight="1" x14ac:dyDescent="0.25">
      <c r="B66" s="9" t="s">
        <v>33</v>
      </c>
      <c r="C66" s="301"/>
      <c r="D66" s="11">
        <v>128.11000000000001</v>
      </c>
      <c r="E66" s="11">
        <v>127</v>
      </c>
      <c r="H66" s="3"/>
    </row>
    <row r="67" spans="2:12" ht="15.75" customHeight="1" x14ac:dyDescent="0.2">
      <c r="B67" s="41"/>
      <c r="C67" s="42"/>
      <c r="D67" s="42"/>
      <c r="E67" s="42"/>
      <c r="G67" s="296" t="s">
        <v>6</v>
      </c>
      <c r="H67" s="297"/>
      <c r="I67" s="297"/>
      <c r="J67" s="297"/>
      <c r="K67" s="297"/>
      <c r="L67" s="298"/>
    </row>
    <row r="68" spans="2:12" ht="15.75" customHeight="1" x14ac:dyDescent="0.2">
      <c r="B68" s="9" t="s">
        <v>35</v>
      </c>
      <c r="C68" s="302" t="s">
        <v>36</v>
      </c>
      <c r="D68" s="11">
        <v>207.78</v>
      </c>
      <c r="E68" s="11">
        <v>191</v>
      </c>
      <c r="G68" s="296" t="s">
        <v>106</v>
      </c>
      <c r="H68" s="297"/>
      <c r="I68" s="298"/>
      <c r="J68" s="296" t="s">
        <v>107</v>
      </c>
      <c r="K68" s="297"/>
      <c r="L68" s="298"/>
    </row>
    <row r="69" spans="2:12" ht="15.75" customHeight="1" x14ac:dyDescent="0.2">
      <c r="B69" s="9" t="s">
        <v>37</v>
      </c>
      <c r="C69" s="300"/>
      <c r="D69" s="11">
        <v>444.11</v>
      </c>
      <c r="E69" s="11">
        <v>443</v>
      </c>
      <c r="G69" s="13" t="s">
        <v>13</v>
      </c>
      <c r="H69" s="14">
        <f>H71+H71*0.05</f>
        <v>787.5</v>
      </c>
      <c r="I69" s="17" t="s">
        <v>110</v>
      </c>
      <c r="J69" s="13" t="s">
        <v>13</v>
      </c>
      <c r="K69" s="39">
        <f>K71+K71*0.05</f>
        <v>803.25</v>
      </c>
      <c r="L69" s="17" t="s">
        <v>112</v>
      </c>
    </row>
    <row r="70" spans="2:12" ht="15.75" customHeight="1" x14ac:dyDescent="0.2">
      <c r="B70" s="9" t="s">
        <v>38</v>
      </c>
      <c r="C70" s="300"/>
      <c r="D70" s="11">
        <v>579.55999999999995</v>
      </c>
      <c r="E70" s="11">
        <v>558</v>
      </c>
      <c r="G70" s="13" t="s">
        <v>19</v>
      </c>
      <c r="H70" s="18">
        <f>H71-H71*0.05</f>
        <v>712.5</v>
      </c>
      <c r="I70" s="17" t="s">
        <v>113</v>
      </c>
      <c r="J70" s="13" t="s">
        <v>19</v>
      </c>
      <c r="K70" s="40">
        <f>K71-K71*0.05</f>
        <v>726.75</v>
      </c>
      <c r="L70" s="17" t="s">
        <v>114</v>
      </c>
    </row>
    <row r="71" spans="2:12" ht="15.75" customHeight="1" x14ac:dyDescent="0.2">
      <c r="B71" s="9" t="s">
        <v>39</v>
      </c>
      <c r="C71" s="300"/>
      <c r="D71" s="11">
        <v>746.22</v>
      </c>
      <c r="E71" s="11">
        <v>772</v>
      </c>
      <c r="G71" s="13" t="s">
        <v>27</v>
      </c>
      <c r="H71" s="20">
        <v>750</v>
      </c>
      <c r="I71" s="17" t="s">
        <v>116</v>
      </c>
      <c r="J71" s="13" t="s">
        <v>27</v>
      </c>
      <c r="K71" s="20">
        <v>765</v>
      </c>
      <c r="L71" s="17" t="s">
        <v>118</v>
      </c>
    </row>
    <row r="72" spans="2:12" ht="15.75" customHeight="1" x14ac:dyDescent="0.2">
      <c r="B72" s="9" t="s">
        <v>41</v>
      </c>
      <c r="C72" s="301"/>
      <c r="D72" s="11">
        <v>869.5</v>
      </c>
      <c r="E72" s="11">
        <v>840</v>
      </c>
      <c r="G72" s="13" t="s">
        <v>121</v>
      </c>
      <c r="H72" s="20">
        <v>780</v>
      </c>
      <c r="I72" s="17" t="s">
        <v>122</v>
      </c>
      <c r="J72" s="13" t="s">
        <v>121</v>
      </c>
      <c r="K72" s="20">
        <v>760</v>
      </c>
      <c r="L72" s="17" t="s">
        <v>124</v>
      </c>
    </row>
    <row r="73" spans="2:12" ht="15.75" customHeight="1" x14ac:dyDescent="0.25">
      <c r="B73" s="44"/>
      <c r="C73" s="46"/>
      <c r="D73" s="46"/>
      <c r="E73" s="46"/>
      <c r="H73" s="3"/>
    </row>
    <row r="74" spans="2:12" ht="15.75" customHeight="1" x14ac:dyDescent="0.25">
      <c r="B74" s="9" t="s">
        <v>46</v>
      </c>
      <c r="C74" s="302" t="s">
        <v>47</v>
      </c>
      <c r="D74" s="11">
        <v>88.4</v>
      </c>
      <c r="E74" s="11">
        <v>90</v>
      </c>
      <c r="H74" s="3"/>
    </row>
    <row r="75" spans="2:12" ht="15.75" customHeight="1" x14ac:dyDescent="0.25">
      <c r="B75" s="9" t="s">
        <v>48</v>
      </c>
      <c r="C75" s="300"/>
      <c r="D75" s="11">
        <v>94.6</v>
      </c>
      <c r="E75" s="11">
        <v>94</v>
      </c>
      <c r="H75" s="3"/>
    </row>
    <row r="76" spans="2:12" ht="15.75" customHeight="1" x14ac:dyDescent="0.25">
      <c r="B76" s="9" t="s">
        <v>49</v>
      </c>
      <c r="C76" s="301"/>
      <c r="D76" s="11">
        <v>123.11669999999999</v>
      </c>
      <c r="E76" s="11">
        <v>120</v>
      </c>
      <c r="H76" s="3"/>
    </row>
    <row r="77" spans="2:12" ht="15.75" customHeight="1" x14ac:dyDescent="0.25">
      <c r="B77" s="41"/>
      <c r="C77" s="42"/>
      <c r="D77" s="42"/>
      <c r="E77" s="42"/>
      <c r="H77" s="3"/>
    </row>
    <row r="78" spans="2:12" ht="15.75" customHeight="1" x14ac:dyDescent="0.25">
      <c r="B78" s="9" t="s">
        <v>50</v>
      </c>
      <c r="C78" s="302" t="s">
        <v>51</v>
      </c>
      <c r="D78" s="11">
        <v>271.44400000000002</v>
      </c>
      <c r="E78" s="11">
        <v>252</v>
      </c>
      <c r="H78" s="3"/>
    </row>
    <row r="79" spans="2:12" ht="15.75" customHeight="1" x14ac:dyDescent="0.25">
      <c r="B79" s="9" t="s">
        <v>54</v>
      </c>
      <c r="C79" s="300"/>
      <c r="D79" s="11">
        <v>550.22199999999998</v>
      </c>
      <c r="E79" s="11">
        <v>261</v>
      </c>
      <c r="H79" s="3"/>
    </row>
    <row r="80" spans="2:12" ht="15.75" customHeight="1" x14ac:dyDescent="0.25">
      <c r="B80" s="9" t="s">
        <v>55</v>
      </c>
      <c r="C80" s="300"/>
      <c r="D80" s="11">
        <v>609</v>
      </c>
      <c r="E80" s="11">
        <v>600</v>
      </c>
      <c r="H80" s="3"/>
    </row>
    <row r="81" spans="2:8" ht="15.75" customHeight="1" x14ac:dyDescent="0.25">
      <c r="B81" s="9" t="s">
        <v>56</v>
      </c>
      <c r="C81" s="300"/>
      <c r="D81" s="11">
        <v>739.11099999999999</v>
      </c>
      <c r="E81" s="11">
        <v>741</v>
      </c>
      <c r="H81" s="3"/>
    </row>
    <row r="82" spans="2:8" ht="15.75" customHeight="1" x14ac:dyDescent="0.25">
      <c r="B82" s="9" t="s">
        <v>57</v>
      </c>
      <c r="C82" s="301"/>
      <c r="D82" s="11">
        <v>746.88900000000001</v>
      </c>
      <c r="E82" s="11">
        <v>455</v>
      </c>
      <c r="H82" s="3"/>
    </row>
    <row r="83" spans="2:8" ht="15.75" customHeight="1" x14ac:dyDescent="0.25">
      <c r="B83" s="44"/>
      <c r="C83" s="46"/>
      <c r="D83" s="46"/>
      <c r="E83" s="46"/>
      <c r="H83" s="3"/>
    </row>
    <row r="84" spans="2:8" ht="15.75" customHeight="1" x14ac:dyDescent="0.25">
      <c r="B84" s="9" t="s">
        <v>60</v>
      </c>
      <c r="C84" s="302" t="s">
        <v>62</v>
      </c>
      <c r="D84" s="11">
        <v>19.36</v>
      </c>
      <c r="E84" s="11">
        <v>18</v>
      </c>
      <c r="H84" s="3"/>
    </row>
    <row r="85" spans="2:8" ht="15.75" customHeight="1" x14ac:dyDescent="0.25">
      <c r="B85" s="9" t="s">
        <v>64</v>
      </c>
      <c r="C85" s="300"/>
      <c r="D85" s="11">
        <v>33.31</v>
      </c>
      <c r="E85" s="11">
        <v>31</v>
      </c>
      <c r="H85" s="3"/>
    </row>
    <row r="86" spans="2:8" ht="15.75" customHeight="1" x14ac:dyDescent="0.25">
      <c r="B86" s="9" t="s">
        <v>65</v>
      </c>
      <c r="C86" s="301"/>
      <c r="D86" s="11">
        <v>41.74</v>
      </c>
      <c r="E86" s="11">
        <v>24</v>
      </c>
      <c r="H86" s="3"/>
    </row>
    <row r="87" spans="2:8" ht="15.75" customHeight="1" x14ac:dyDescent="0.25">
      <c r="B87" s="41"/>
      <c r="C87" s="42"/>
      <c r="D87" s="42"/>
      <c r="E87" s="42"/>
      <c r="H87" s="3"/>
    </row>
    <row r="88" spans="2:8" ht="15.75" customHeight="1" x14ac:dyDescent="0.25">
      <c r="B88" s="9" t="s">
        <v>66</v>
      </c>
      <c r="C88" s="302" t="s">
        <v>68</v>
      </c>
      <c r="D88" s="11">
        <v>204.5</v>
      </c>
      <c r="E88" s="11">
        <v>202</v>
      </c>
      <c r="H88" s="3"/>
    </row>
    <row r="89" spans="2:8" ht="15.75" customHeight="1" x14ac:dyDescent="0.25">
      <c r="B89" s="9" t="s">
        <v>69</v>
      </c>
      <c r="C89" s="301"/>
      <c r="D89" s="11">
        <v>277.7</v>
      </c>
      <c r="E89" s="11">
        <v>270</v>
      </c>
      <c r="H89" s="3"/>
    </row>
    <row r="90" spans="2:8" ht="15.75" customHeight="1" x14ac:dyDescent="0.25">
      <c r="B90" s="44"/>
      <c r="C90" s="46"/>
      <c r="D90" s="46"/>
      <c r="E90" s="46"/>
      <c r="H90" s="3"/>
    </row>
    <row r="91" spans="2:8" ht="15.75" customHeight="1" x14ac:dyDescent="0.25">
      <c r="B91" s="9" t="s">
        <v>69</v>
      </c>
      <c r="C91" s="302" t="s">
        <v>71</v>
      </c>
      <c r="D91" s="11">
        <v>10.283300000000001</v>
      </c>
      <c r="E91" s="11">
        <v>10</v>
      </c>
      <c r="H91" s="3"/>
    </row>
    <row r="92" spans="2:8" ht="15.75" customHeight="1" x14ac:dyDescent="0.25">
      <c r="B92" s="9" t="s">
        <v>72</v>
      </c>
      <c r="C92" s="300"/>
      <c r="D92" s="11">
        <v>11.8833</v>
      </c>
      <c r="E92" s="11">
        <v>11</v>
      </c>
      <c r="H92" s="3"/>
    </row>
    <row r="93" spans="2:8" ht="15.75" customHeight="1" x14ac:dyDescent="0.25">
      <c r="B93" s="9" t="s">
        <v>73</v>
      </c>
      <c r="C93" s="301"/>
      <c r="D93" s="11">
        <v>17.433299999999999</v>
      </c>
      <c r="E93" s="11">
        <v>16</v>
      </c>
      <c r="H93" s="3"/>
    </row>
    <row r="94" spans="2:8" ht="15.75" customHeight="1" x14ac:dyDescent="0.25">
      <c r="B94" s="41"/>
      <c r="C94" s="42"/>
      <c r="D94" s="42"/>
      <c r="E94" s="42"/>
      <c r="H94" s="3"/>
    </row>
    <row r="95" spans="2:8" ht="15.75" customHeight="1" x14ac:dyDescent="0.25">
      <c r="B95" s="9" t="s">
        <v>76</v>
      </c>
      <c r="C95" s="302" t="s">
        <v>77</v>
      </c>
      <c r="D95" s="11">
        <v>117.467</v>
      </c>
      <c r="E95" s="11">
        <v>162</v>
      </c>
      <c r="H95" s="3"/>
    </row>
    <row r="96" spans="2:8" ht="15.75" customHeight="1" x14ac:dyDescent="0.25">
      <c r="B96" s="9" t="s">
        <v>78</v>
      </c>
      <c r="C96" s="300"/>
      <c r="D96" s="11">
        <v>187.833</v>
      </c>
      <c r="E96" s="11">
        <v>114</v>
      </c>
      <c r="H96" s="3"/>
    </row>
    <row r="97" spans="2:8" ht="15.75" customHeight="1" x14ac:dyDescent="0.25">
      <c r="B97" s="9" t="s">
        <v>79</v>
      </c>
      <c r="C97" s="300"/>
      <c r="D97" s="11">
        <v>218.333</v>
      </c>
      <c r="E97" s="11">
        <v>210</v>
      </c>
      <c r="H97" s="3"/>
    </row>
    <row r="98" spans="2:8" ht="15.75" customHeight="1" x14ac:dyDescent="0.25">
      <c r="B98" s="9" t="s">
        <v>80</v>
      </c>
      <c r="C98" s="301"/>
      <c r="D98" s="11">
        <v>238.5</v>
      </c>
      <c r="E98" s="11">
        <v>89</v>
      </c>
      <c r="H98" s="3"/>
    </row>
    <row r="99" spans="2:8" ht="15.75" customHeight="1" x14ac:dyDescent="0.25">
      <c r="B99" s="44"/>
      <c r="C99" s="46"/>
      <c r="D99" s="46"/>
      <c r="E99" s="46"/>
      <c r="H99" s="3"/>
    </row>
    <row r="100" spans="2:8" ht="15.75" customHeight="1" x14ac:dyDescent="0.25">
      <c r="B100" s="9" t="s">
        <v>81</v>
      </c>
      <c r="C100" s="302" t="s">
        <v>82</v>
      </c>
      <c r="D100" s="11">
        <v>2</v>
      </c>
      <c r="E100" s="11">
        <v>10</v>
      </c>
      <c r="H100" s="3"/>
    </row>
    <row r="101" spans="2:8" ht="15.75" customHeight="1" x14ac:dyDescent="0.25">
      <c r="B101" s="9" t="s">
        <v>83</v>
      </c>
      <c r="C101" s="300"/>
      <c r="D101" s="11">
        <v>7.133</v>
      </c>
      <c r="E101" s="11">
        <v>11</v>
      </c>
      <c r="H101" s="3"/>
    </row>
    <row r="102" spans="2:8" ht="15.75" customHeight="1" x14ac:dyDescent="0.25">
      <c r="B102" s="9" t="s">
        <v>84</v>
      </c>
      <c r="C102" s="301"/>
      <c r="D102" s="11">
        <v>10.72</v>
      </c>
      <c r="E102" s="11">
        <v>7</v>
      </c>
      <c r="H102" s="3"/>
    </row>
    <row r="103" spans="2:8" ht="15.75" customHeight="1" x14ac:dyDescent="0.25">
      <c r="B103" s="41"/>
      <c r="C103" s="42"/>
      <c r="D103" s="42"/>
      <c r="E103" s="42"/>
      <c r="H103" s="3"/>
    </row>
    <row r="104" spans="2:8" ht="15.75" customHeight="1" x14ac:dyDescent="0.25">
      <c r="B104" s="9" t="s">
        <v>86</v>
      </c>
      <c r="C104" s="302" t="s">
        <v>87</v>
      </c>
      <c r="D104" s="11">
        <v>20.466999999999999</v>
      </c>
      <c r="E104" s="11">
        <v>14</v>
      </c>
      <c r="H104" s="3"/>
    </row>
    <row r="105" spans="2:8" ht="15.75" customHeight="1" x14ac:dyDescent="0.25">
      <c r="B105" s="9" t="s">
        <v>88</v>
      </c>
      <c r="C105" s="301"/>
      <c r="D105" s="11">
        <v>20.367000000000001</v>
      </c>
      <c r="E105" s="11">
        <v>14</v>
      </c>
      <c r="H105" s="3"/>
    </row>
    <row r="106" spans="2:8" ht="15.75" customHeight="1" x14ac:dyDescent="0.25">
      <c r="B106" s="44"/>
      <c r="C106" s="46"/>
      <c r="D106" s="46"/>
      <c r="E106" s="46"/>
      <c r="H106" s="3"/>
    </row>
    <row r="107" spans="2:8" ht="15.75" customHeight="1" x14ac:dyDescent="0.25">
      <c r="B107" s="9" t="s">
        <v>89</v>
      </c>
      <c r="C107" s="302" t="s">
        <v>90</v>
      </c>
      <c r="D107" s="11">
        <v>5.15</v>
      </c>
      <c r="E107" s="11">
        <v>21</v>
      </c>
      <c r="H107" s="3"/>
    </row>
    <row r="108" spans="2:8" ht="15.75" customHeight="1" x14ac:dyDescent="0.25">
      <c r="B108" s="9" t="s">
        <v>91</v>
      </c>
      <c r="C108" s="300"/>
      <c r="D108" s="11">
        <v>16.2</v>
      </c>
      <c r="E108" s="11">
        <v>17</v>
      </c>
      <c r="H108" s="3"/>
    </row>
    <row r="109" spans="2:8" ht="15.75" customHeight="1" x14ac:dyDescent="0.25">
      <c r="B109" s="9" t="s">
        <v>92</v>
      </c>
      <c r="C109" s="301"/>
      <c r="D109" s="11">
        <v>17.260000000000002</v>
      </c>
      <c r="E109" s="11">
        <v>15</v>
      </c>
      <c r="H109" s="3"/>
    </row>
    <row r="110" spans="2:8" ht="15.75" customHeight="1" x14ac:dyDescent="0.25">
      <c r="B110" s="41"/>
      <c r="C110" s="42"/>
      <c r="D110" s="42"/>
      <c r="E110" s="42"/>
      <c r="H110" s="3"/>
    </row>
    <row r="111" spans="2:8" ht="15.75" customHeight="1" x14ac:dyDescent="0.25">
      <c r="B111" s="9" t="s">
        <v>94</v>
      </c>
      <c r="C111" s="302" t="s">
        <v>95</v>
      </c>
      <c r="D111" s="11">
        <v>50.082999999999998</v>
      </c>
      <c r="E111" s="11">
        <v>46</v>
      </c>
      <c r="H111" s="3"/>
    </row>
    <row r="112" spans="2:8" ht="15.75" customHeight="1" x14ac:dyDescent="0.25">
      <c r="B112" s="9" t="s">
        <v>96</v>
      </c>
      <c r="C112" s="300"/>
      <c r="D112" s="11">
        <v>93.992999999999995</v>
      </c>
      <c r="E112" s="11">
        <v>112</v>
      </c>
      <c r="H112" s="3"/>
    </row>
    <row r="113" spans="1:26" ht="15.75" customHeight="1" x14ac:dyDescent="0.25">
      <c r="B113" s="9" t="s">
        <v>97</v>
      </c>
      <c r="C113" s="300"/>
      <c r="D113" s="11">
        <v>95.516999999999996</v>
      </c>
      <c r="E113" s="11">
        <v>50</v>
      </c>
      <c r="H113" s="3"/>
    </row>
    <row r="114" spans="1:26" ht="15.75" customHeight="1" x14ac:dyDescent="0.25">
      <c r="B114" s="9" t="s">
        <v>98</v>
      </c>
      <c r="C114" s="300"/>
      <c r="D114" s="11">
        <v>100.92</v>
      </c>
      <c r="E114" s="11">
        <v>112</v>
      </c>
      <c r="H114" s="3"/>
    </row>
    <row r="115" spans="1:26" ht="15.75" customHeight="1" x14ac:dyDescent="0.25">
      <c r="B115" s="9" t="s">
        <v>99</v>
      </c>
      <c r="C115" s="301"/>
      <c r="D115" s="11">
        <v>115.37</v>
      </c>
      <c r="E115" s="11">
        <v>88</v>
      </c>
      <c r="H115" s="3"/>
    </row>
    <row r="116" spans="1:26" ht="15.75" customHeight="1" x14ac:dyDescent="0.2"/>
    <row r="117" spans="1:26" ht="15.75" customHeight="1" x14ac:dyDescent="0.25">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5.75" customHeight="1" x14ac:dyDescent="0.25">
      <c r="B118" s="1"/>
      <c r="C118" s="1"/>
      <c r="D118" s="2"/>
      <c r="E118" s="2"/>
      <c r="H118" s="3"/>
    </row>
    <row r="119" spans="1:26" ht="15.75" customHeight="1" x14ac:dyDescent="0.25">
      <c r="A119" s="23" t="s">
        <v>115</v>
      </c>
      <c r="B119" s="43" t="s">
        <v>100</v>
      </c>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5.75" customHeight="1" x14ac:dyDescent="0.25">
      <c r="A120" s="304" t="s">
        <v>151</v>
      </c>
      <c r="B120" s="297"/>
      <c r="C120" s="297"/>
      <c r="D120" s="297"/>
      <c r="E120" s="298"/>
      <c r="F120" s="28"/>
      <c r="G120" s="28"/>
      <c r="H120" s="3"/>
      <c r="I120" s="28"/>
      <c r="J120" s="28"/>
      <c r="K120" s="28"/>
      <c r="L120" s="28"/>
      <c r="M120" s="28"/>
      <c r="N120" s="28"/>
      <c r="O120" s="28"/>
      <c r="P120" s="28"/>
      <c r="Q120" s="28"/>
      <c r="R120" s="28"/>
      <c r="S120" s="28"/>
      <c r="T120" s="28"/>
      <c r="U120" s="28"/>
      <c r="V120" s="28"/>
      <c r="W120" s="28"/>
      <c r="X120" s="28"/>
      <c r="Y120" s="28"/>
      <c r="Z120" s="28"/>
    </row>
    <row r="121" spans="1:26" ht="15.75" customHeight="1" x14ac:dyDescent="0.25">
      <c r="A121" s="4" t="s">
        <v>0</v>
      </c>
      <c r="B121" s="5" t="s">
        <v>1</v>
      </c>
      <c r="C121" s="5" t="s">
        <v>2</v>
      </c>
      <c r="D121" s="5" t="s">
        <v>43</v>
      </c>
      <c r="E121" s="45" t="s">
        <v>125</v>
      </c>
      <c r="F121" s="28"/>
      <c r="G121" s="296" t="s">
        <v>6</v>
      </c>
      <c r="H121" s="297"/>
      <c r="I121" s="297"/>
      <c r="J121" s="297"/>
      <c r="K121" s="297"/>
      <c r="L121" s="298"/>
      <c r="M121" s="28"/>
      <c r="N121" s="28"/>
      <c r="O121" s="28"/>
      <c r="P121" s="28"/>
      <c r="Q121" s="28"/>
      <c r="R121" s="28"/>
      <c r="S121" s="28"/>
      <c r="T121" s="28"/>
      <c r="U121" s="28"/>
      <c r="V121" s="28"/>
      <c r="W121" s="28"/>
      <c r="X121" s="28"/>
      <c r="Y121" s="28"/>
      <c r="Z121" s="28"/>
    </row>
    <row r="122" spans="1:26" ht="15.75" customHeight="1" x14ac:dyDescent="0.25">
      <c r="A122" s="9" t="s">
        <v>7</v>
      </c>
      <c r="B122" s="302" t="s">
        <v>9</v>
      </c>
      <c r="C122" s="47">
        <v>28.1</v>
      </c>
      <c r="D122" s="11">
        <v>27</v>
      </c>
      <c r="E122" s="47">
        <v>39</v>
      </c>
      <c r="F122" s="28"/>
      <c r="G122" s="296" t="s">
        <v>106</v>
      </c>
      <c r="H122" s="297"/>
      <c r="I122" s="298"/>
      <c r="J122" s="296" t="s">
        <v>107</v>
      </c>
      <c r="K122" s="297"/>
      <c r="L122" s="298"/>
      <c r="M122" s="28"/>
      <c r="N122" s="28"/>
      <c r="O122" s="28"/>
      <c r="P122" s="28"/>
      <c r="Q122" s="28"/>
      <c r="R122" s="28"/>
      <c r="S122" s="28"/>
      <c r="T122" s="28"/>
      <c r="U122" s="28"/>
      <c r="V122" s="28"/>
      <c r="W122" s="28"/>
      <c r="X122" s="28"/>
      <c r="Y122" s="28"/>
      <c r="Z122" s="28"/>
    </row>
    <row r="123" spans="1:26" ht="15.75" customHeight="1" x14ac:dyDescent="0.25">
      <c r="A123" s="9" t="s">
        <v>17</v>
      </c>
      <c r="B123" s="300"/>
      <c r="C123" s="47">
        <v>63.911000000000001</v>
      </c>
      <c r="D123" s="11">
        <v>54</v>
      </c>
      <c r="E123" s="47">
        <v>65</v>
      </c>
      <c r="F123" s="28"/>
      <c r="G123" s="13" t="s">
        <v>13</v>
      </c>
      <c r="H123" s="39">
        <f>+H125+H125*0.1</f>
        <v>836</v>
      </c>
      <c r="I123" s="17" t="s">
        <v>158</v>
      </c>
      <c r="J123" s="13" t="s">
        <v>13</v>
      </c>
      <c r="K123" s="39">
        <f>+K125+K125*0.1</f>
        <v>847</v>
      </c>
      <c r="L123" s="17" t="s">
        <v>159</v>
      </c>
      <c r="M123" s="28"/>
      <c r="N123" s="28"/>
      <c r="O123" s="28"/>
      <c r="P123" s="28"/>
      <c r="Q123" s="28"/>
      <c r="R123" s="28"/>
      <c r="S123" s="28"/>
      <c r="T123" s="28"/>
      <c r="U123" s="28"/>
      <c r="V123" s="28"/>
      <c r="W123" s="28"/>
      <c r="X123" s="28"/>
      <c r="Y123" s="28"/>
      <c r="Z123" s="28"/>
    </row>
    <row r="124" spans="1:26" ht="15.75" customHeight="1" x14ac:dyDescent="0.25">
      <c r="A124" s="9" t="s">
        <v>26</v>
      </c>
      <c r="B124" s="300"/>
      <c r="C124" s="47">
        <v>69.921999999999997</v>
      </c>
      <c r="D124" s="11">
        <v>55</v>
      </c>
      <c r="E124" s="47">
        <v>70</v>
      </c>
      <c r="F124" s="28"/>
      <c r="G124" s="13" t="s">
        <v>19</v>
      </c>
      <c r="H124" s="40">
        <f>+H125-H125*0.1</f>
        <v>684</v>
      </c>
      <c r="I124" s="17" t="s">
        <v>164</v>
      </c>
      <c r="J124" s="13" t="s">
        <v>19</v>
      </c>
      <c r="K124" s="40">
        <f>+K125-K125*0.1</f>
        <v>693</v>
      </c>
      <c r="L124" s="17" t="s">
        <v>166</v>
      </c>
      <c r="M124" s="28"/>
      <c r="N124" s="28"/>
      <c r="O124" s="28"/>
      <c r="P124" s="28"/>
      <c r="Q124" s="28"/>
      <c r="R124" s="28"/>
      <c r="S124" s="28"/>
      <c r="T124" s="28"/>
      <c r="U124" s="28"/>
      <c r="V124" s="28"/>
      <c r="W124" s="28"/>
      <c r="X124" s="28"/>
      <c r="Y124" s="28"/>
      <c r="Z124" s="28"/>
    </row>
    <row r="125" spans="1:26" ht="15.75" customHeight="1" x14ac:dyDescent="0.25">
      <c r="A125" s="9" t="s">
        <v>32</v>
      </c>
      <c r="B125" s="300"/>
      <c r="C125" s="47">
        <v>96.744</v>
      </c>
      <c r="D125" s="11">
        <v>95</v>
      </c>
      <c r="E125" s="47">
        <v>100</v>
      </c>
      <c r="F125" s="28"/>
      <c r="G125" s="13" t="s">
        <v>27</v>
      </c>
      <c r="H125" s="20">
        <v>760</v>
      </c>
      <c r="I125" s="17" t="s">
        <v>170</v>
      </c>
      <c r="J125" s="13" t="s">
        <v>27</v>
      </c>
      <c r="K125" s="20">
        <v>770</v>
      </c>
      <c r="L125" s="17" t="s">
        <v>174</v>
      </c>
      <c r="M125" s="28"/>
      <c r="N125" s="28"/>
      <c r="O125" s="28"/>
      <c r="P125" s="28"/>
      <c r="Q125" s="28"/>
      <c r="R125" s="28"/>
      <c r="S125" s="28"/>
      <c r="T125" s="28"/>
      <c r="U125" s="28"/>
      <c r="V125" s="28"/>
      <c r="W125" s="28"/>
      <c r="X125" s="28"/>
      <c r="Y125" s="28"/>
      <c r="Z125" s="28"/>
    </row>
    <row r="126" spans="1:26" ht="15.75" customHeight="1" x14ac:dyDescent="0.25">
      <c r="A126" s="49" t="s">
        <v>33</v>
      </c>
      <c r="B126" s="300"/>
      <c r="C126" s="50">
        <v>128.11000000000001</v>
      </c>
      <c r="D126" s="11">
        <v>127</v>
      </c>
      <c r="E126" s="50">
        <v>132</v>
      </c>
      <c r="F126" s="28"/>
      <c r="G126" s="13" t="s">
        <v>121</v>
      </c>
      <c r="H126" s="20">
        <v>756</v>
      </c>
      <c r="I126" s="17" t="s">
        <v>177</v>
      </c>
      <c r="J126" s="13" t="s">
        <v>121</v>
      </c>
      <c r="K126" s="20">
        <v>769</v>
      </c>
      <c r="L126" s="17" t="s">
        <v>178</v>
      </c>
      <c r="M126" s="28"/>
      <c r="N126" s="28"/>
      <c r="O126" s="28"/>
      <c r="P126" s="28"/>
      <c r="Q126" s="28"/>
      <c r="R126" s="28"/>
      <c r="S126" s="28"/>
      <c r="T126" s="28"/>
      <c r="U126" s="28"/>
      <c r="V126" s="28"/>
      <c r="W126" s="28"/>
      <c r="X126" s="28"/>
      <c r="Y126" s="28"/>
      <c r="Z126" s="28"/>
    </row>
    <row r="127" spans="1:26" ht="15.75" customHeight="1" x14ac:dyDescent="0.25">
      <c r="A127" s="41"/>
      <c r="B127" s="42"/>
      <c r="C127" s="69"/>
      <c r="D127" s="42"/>
      <c r="E127" s="71"/>
      <c r="F127" s="28"/>
      <c r="G127" s="28"/>
      <c r="H127" s="3"/>
      <c r="I127" s="28"/>
      <c r="J127" s="28"/>
      <c r="K127" s="28"/>
      <c r="L127" s="28"/>
      <c r="M127" s="28"/>
      <c r="N127" s="28"/>
      <c r="O127" s="28"/>
      <c r="P127" s="28"/>
      <c r="Q127" s="28"/>
      <c r="R127" s="28"/>
      <c r="S127" s="28"/>
      <c r="T127" s="28"/>
      <c r="U127" s="28"/>
      <c r="V127" s="28"/>
      <c r="W127" s="28"/>
      <c r="X127" s="28"/>
      <c r="Y127" s="28"/>
      <c r="Z127" s="28"/>
    </row>
    <row r="128" spans="1:26" ht="15.75" customHeight="1" x14ac:dyDescent="0.25">
      <c r="A128" s="9" t="s">
        <v>35</v>
      </c>
      <c r="B128" s="299" t="s">
        <v>36</v>
      </c>
      <c r="C128" s="47">
        <v>207.78</v>
      </c>
      <c r="D128" s="11">
        <v>191</v>
      </c>
      <c r="E128" s="47">
        <v>75</v>
      </c>
      <c r="F128" s="28"/>
      <c r="G128" s="28"/>
      <c r="H128" s="3">
        <v>695</v>
      </c>
      <c r="I128" s="28"/>
      <c r="J128" s="28"/>
      <c r="K128" s="28"/>
      <c r="L128" s="28"/>
      <c r="M128" s="28"/>
      <c r="N128" s="28"/>
      <c r="O128" s="28"/>
      <c r="P128" s="28"/>
      <c r="Q128" s="28"/>
      <c r="R128" s="28"/>
      <c r="S128" s="28"/>
      <c r="T128" s="28"/>
      <c r="U128" s="28"/>
      <c r="V128" s="28"/>
      <c r="W128" s="28"/>
      <c r="X128" s="28"/>
      <c r="Y128" s="28"/>
      <c r="Z128" s="28"/>
    </row>
    <row r="129" spans="1:26" ht="15.75" customHeight="1" x14ac:dyDescent="0.25">
      <c r="A129" s="9" t="s">
        <v>37</v>
      </c>
      <c r="B129" s="300"/>
      <c r="C129" s="47">
        <v>444.11</v>
      </c>
      <c r="D129" s="11">
        <v>443</v>
      </c>
      <c r="E129" s="47">
        <v>464</v>
      </c>
      <c r="F129" s="28"/>
      <c r="G129" s="28"/>
      <c r="H129" s="3"/>
      <c r="I129" s="28"/>
      <c r="J129" s="28"/>
      <c r="K129" s="28"/>
      <c r="L129" s="28"/>
      <c r="M129" s="28"/>
      <c r="N129" s="28"/>
      <c r="O129" s="28"/>
      <c r="P129" s="28"/>
      <c r="Q129" s="28"/>
      <c r="R129" s="28"/>
      <c r="S129" s="28"/>
      <c r="T129" s="28"/>
      <c r="U129" s="28"/>
      <c r="V129" s="28"/>
      <c r="W129" s="28"/>
      <c r="X129" s="28"/>
      <c r="Y129" s="28"/>
      <c r="Z129" s="28"/>
    </row>
    <row r="130" spans="1:26" ht="15.75" customHeight="1" x14ac:dyDescent="0.25">
      <c r="A130" s="9" t="s">
        <v>38</v>
      </c>
      <c r="B130" s="300"/>
      <c r="C130" s="47">
        <v>579.55999999999995</v>
      </c>
      <c r="D130" s="11">
        <v>558</v>
      </c>
      <c r="E130" s="47">
        <v>564</v>
      </c>
      <c r="F130" s="28"/>
      <c r="G130" s="28"/>
      <c r="H130" s="3"/>
      <c r="I130" s="28"/>
      <c r="J130" s="28"/>
      <c r="K130" s="28"/>
      <c r="L130" s="28"/>
      <c r="M130" s="28"/>
      <c r="N130" s="28"/>
      <c r="O130" s="28"/>
      <c r="P130" s="28"/>
      <c r="Q130" s="28"/>
      <c r="R130" s="28"/>
      <c r="S130" s="28"/>
      <c r="T130" s="28"/>
      <c r="U130" s="28"/>
      <c r="V130" s="28"/>
      <c r="W130" s="28"/>
      <c r="X130" s="28"/>
      <c r="Y130" s="28"/>
      <c r="Z130" s="28"/>
    </row>
    <row r="131" spans="1:26" ht="15.75" customHeight="1" x14ac:dyDescent="0.25">
      <c r="A131" s="9" t="s">
        <v>39</v>
      </c>
      <c r="B131" s="300"/>
      <c r="C131" s="47">
        <v>746.22</v>
      </c>
      <c r="D131" s="11">
        <v>772</v>
      </c>
      <c r="E131" s="47">
        <v>778</v>
      </c>
      <c r="F131" s="28"/>
      <c r="G131" s="28"/>
      <c r="H131" s="3"/>
      <c r="I131" s="28"/>
      <c r="J131" s="28"/>
      <c r="K131" s="28"/>
      <c r="L131" s="28"/>
      <c r="M131" s="28"/>
      <c r="N131" s="28"/>
      <c r="O131" s="28"/>
      <c r="P131" s="28"/>
      <c r="Q131" s="28"/>
      <c r="R131" s="28"/>
      <c r="S131" s="28"/>
      <c r="T131" s="28"/>
      <c r="U131" s="28"/>
      <c r="V131" s="28"/>
      <c r="W131" s="28"/>
      <c r="X131" s="28"/>
      <c r="Y131" s="28"/>
      <c r="Z131" s="28"/>
    </row>
    <row r="132" spans="1:26" ht="15.75" customHeight="1" x14ac:dyDescent="0.25">
      <c r="A132" s="49" t="s">
        <v>41</v>
      </c>
      <c r="B132" s="300"/>
      <c r="C132" s="50">
        <v>869.5</v>
      </c>
      <c r="D132" s="11">
        <v>840</v>
      </c>
      <c r="E132" s="50">
        <v>857</v>
      </c>
      <c r="F132" s="28"/>
      <c r="G132" s="28"/>
      <c r="H132" s="3"/>
      <c r="I132" s="28"/>
      <c r="J132" s="28"/>
      <c r="K132" s="28"/>
      <c r="L132" s="28"/>
      <c r="M132" s="28"/>
      <c r="N132" s="28"/>
      <c r="O132" s="28"/>
      <c r="P132" s="28"/>
      <c r="Q132" s="28"/>
      <c r="R132" s="28"/>
      <c r="S132" s="28"/>
      <c r="T132" s="28"/>
      <c r="U132" s="28"/>
      <c r="V132" s="28"/>
      <c r="W132" s="28"/>
      <c r="X132" s="28"/>
      <c r="Y132" s="28"/>
      <c r="Z132" s="28"/>
    </row>
    <row r="133" spans="1:26" ht="15.75" customHeight="1" x14ac:dyDescent="0.25">
      <c r="A133" s="79"/>
      <c r="B133" s="81"/>
      <c r="C133" s="83"/>
      <c r="D133" s="83"/>
      <c r="E133" s="85"/>
      <c r="F133" s="28"/>
      <c r="G133" s="28"/>
      <c r="H133" s="3"/>
      <c r="I133" s="28"/>
      <c r="J133" s="28"/>
      <c r="K133" s="28"/>
      <c r="L133" s="28"/>
      <c r="M133" s="28"/>
      <c r="N133" s="28"/>
      <c r="O133" s="28"/>
      <c r="P133" s="28"/>
      <c r="Q133" s="28"/>
      <c r="R133" s="28"/>
      <c r="S133" s="28"/>
      <c r="T133" s="28"/>
      <c r="U133" s="28"/>
      <c r="V133" s="28"/>
      <c r="W133" s="28"/>
      <c r="X133" s="28"/>
      <c r="Y133" s="28"/>
      <c r="Z133" s="28"/>
    </row>
    <row r="134" spans="1:26" ht="15.75" customHeight="1" x14ac:dyDescent="0.25">
      <c r="A134" s="9" t="s">
        <v>46</v>
      </c>
      <c r="B134" s="299" t="s">
        <v>47</v>
      </c>
      <c r="C134" s="47">
        <v>88.4</v>
      </c>
      <c r="D134" s="11">
        <v>90</v>
      </c>
      <c r="E134" s="47">
        <v>101</v>
      </c>
      <c r="F134" s="28"/>
      <c r="G134" s="28"/>
      <c r="H134" s="3"/>
      <c r="I134" s="28"/>
      <c r="J134" s="28"/>
      <c r="K134" s="28"/>
      <c r="L134" s="28"/>
      <c r="M134" s="28"/>
      <c r="N134" s="28"/>
      <c r="O134" s="28"/>
      <c r="P134" s="28"/>
      <c r="Q134" s="28"/>
      <c r="R134" s="28"/>
      <c r="S134" s="28"/>
      <c r="T134" s="28"/>
      <c r="U134" s="28"/>
      <c r="V134" s="28"/>
      <c r="W134" s="28"/>
      <c r="X134" s="28"/>
      <c r="Y134" s="28"/>
      <c r="Z134" s="28"/>
    </row>
    <row r="135" spans="1:26" ht="15.75" customHeight="1" x14ac:dyDescent="0.25">
      <c r="A135" s="49" t="s">
        <v>48</v>
      </c>
      <c r="B135" s="300"/>
      <c r="C135" s="50">
        <v>94.6</v>
      </c>
      <c r="D135" s="11">
        <v>94</v>
      </c>
      <c r="E135" s="50">
        <v>107</v>
      </c>
      <c r="F135" s="28"/>
      <c r="G135" s="28"/>
      <c r="H135" s="3"/>
      <c r="I135" s="28"/>
      <c r="J135" s="28"/>
      <c r="K135" s="28"/>
      <c r="L135" s="28"/>
      <c r="M135" s="28"/>
      <c r="N135" s="28"/>
      <c r="O135" s="28"/>
      <c r="P135" s="28"/>
      <c r="Q135" s="28"/>
      <c r="R135" s="28"/>
      <c r="S135" s="28"/>
      <c r="T135" s="28"/>
      <c r="U135" s="28"/>
      <c r="V135" s="28"/>
      <c r="W135" s="28"/>
      <c r="X135" s="28"/>
      <c r="Y135" s="28"/>
      <c r="Z135" s="28"/>
    </row>
    <row r="136" spans="1:26" ht="15.75" customHeight="1" x14ac:dyDescent="0.25">
      <c r="A136" s="41"/>
      <c r="B136" s="42"/>
      <c r="C136" s="69"/>
      <c r="D136" s="75"/>
      <c r="E136" s="71"/>
      <c r="F136" s="28"/>
      <c r="G136" s="28"/>
      <c r="H136" s="3"/>
      <c r="I136" s="28"/>
      <c r="J136" s="28"/>
      <c r="K136" s="28"/>
      <c r="L136" s="28"/>
      <c r="M136" s="28"/>
      <c r="N136" s="28"/>
      <c r="O136" s="28"/>
      <c r="P136" s="28"/>
      <c r="Q136" s="28"/>
      <c r="R136" s="28"/>
      <c r="S136" s="28"/>
      <c r="T136" s="28"/>
      <c r="U136" s="28"/>
      <c r="V136" s="28"/>
      <c r="W136" s="28"/>
      <c r="X136" s="28"/>
      <c r="Y136" s="28"/>
      <c r="Z136" s="28"/>
    </row>
    <row r="137" spans="1:26" ht="15.75" customHeight="1" x14ac:dyDescent="0.25">
      <c r="A137" s="9" t="s">
        <v>50</v>
      </c>
      <c r="B137" s="299" t="s">
        <v>51</v>
      </c>
      <c r="C137" s="47">
        <v>271.44</v>
      </c>
      <c r="D137" s="11">
        <v>252</v>
      </c>
      <c r="E137" s="47">
        <v>265</v>
      </c>
      <c r="F137" s="28"/>
      <c r="G137" s="28"/>
      <c r="H137" s="3"/>
      <c r="I137" s="28"/>
      <c r="J137" s="28"/>
      <c r="K137" s="28"/>
      <c r="L137" s="28"/>
      <c r="M137" s="28"/>
      <c r="N137" s="28"/>
      <c r="O137" s="28"/>
      <c r="P137" s="28"/>
      <c r="Q137" s="28"/>
      <c r="R137" s="28"/>
      <c r="S137" s="28"/>
      <c r="T137" s="28"/>
      <c r="U137" s="28"/>
      <c r="V137" s="28"/>
      <c r="W137" s="28"/>
      <c r="X137" s="28"/>
      <c r="Y137" s="28"/>
      <c r="Z137" s="28"/>
    </row>
    <row r="138" spans="1:26" ht="15.75" customHeight="1" x14ac:dyDescent="0.25">
      <c r="A138" s="9" t="s">
        <v>54</v>
      </c>
      <c r="B138" s="300"/>
      <c r="C138" s="47">
        <v>550.22199999999998</v>
      </c>
      <c r="D138" s="11">
        <v>261</v>
      </c>
      <c r="E138" s="47">
        <v>305</v>
      </c>
      <c r="F138" s="28"/>
      <c r="G138" s="28"/>
      <c r="H138" s="3"/>
      <c r="I138" s="28"/>
      <c r="J138" s="28"/>
      <c r="K138" s="28"/>
      <c r="L138" s="28"/>
      <c r="M138" s="28"/>
      <c r="N138" s="28"/>
      <c r="O138" s="28"/>
      <c r="P138" s="28"/>
      <c r="Q138" s="28"/>
      <c r="R138" s="28"/>
      <c r="S138" s="28"/>
      <c r="T138" s="28"/>
      <c r="U138" s="28"/>
      <c r="V138" s="28"/>
      <c r="W138" s="28"/>
      <c r="X138" s="28"/>
      <c r="Y138" s="28"/>
      <c r="Z138" s="28"/>
    </row>
    <row r="139" spans="1:26" ht="15.75" customHeight="1" x14ac:dyDescent="0.25">
      <c r="A139" s="9" t="s">
        <v>55</v>
      </c>
      <c r="B139" s="300"/>
      <c r="C139" s="47">
        <v>609</v>
      </c>
      <c r="D139" s="11">
        <v>600</v>
      </c>
      <c r="E139" s="47">
        <v>515</v>
      </c>
      <c r="F139" s="28"/>
      <c r="G139" s="28"/>
      <c r="H139" s="3"/>
      <c r="I139" s="28"/>
      <c r="J139" s="28"/>
      <c r="K139" s="28"/>
      <c r="L139" s="28"/>
      <c r="M139" s="28"/>
      <c r="N139" s="28"/>
      <c r="O139" s="28"/>
      <c r="P139" s="28"/>
      <c r="Q139" s="28"/>
      <c r="R139" s="28"/>
      <c r="S139" s="28"/>
      <c r="T139" s="28"/>
      <c r="U139" s="28"/>
      <c r="V139" s="28"/>
      <c r="W139" s="28"/>
      <c r="X139" s="28"/>
      <c r="Y139" s="28"/>
      <c r="Z139" s="28"/>
    </row>
    <row r="140" spans="1:26" ht="15.75" customHeight="1" x14ac:dyDescent="0.25">
      <c r="A140" s="9" t="s">
        <v>56</v>
      </c>
      <c r="B140" s="300"/>
      <c r="C140" s="47">
        <v>768.33333333333337</v>
      </c>
      <c r="D140" s="11">
        <v>741</v>
      </c>
      <c r="E140" s="47">
        <v>779</v>
      </c>
      <c r="F140" s="28"/>
      <c r="G140" s="28"/>
      <c r="H140" s="3"/>
      <c r="I140" s="28"/>
      <c r="J140" s="28"/>
      <c r="K140" s="28"/>
      <c r="L140" s="28"/>
      <c r="M140" s="28"/>
      <c r="N140" s="28"/>
      <c r="O140" s="28"/>
      <c r="P140" s="28"/>
      <c r="Q140" s="28"/>
      <c r="R140" s="28"/>
      <c r="S140" s="28"/>
      <c r="T140" s="28"/>
      <c r="U140" s="28"/>
      <c r="V140" s="28"/>
      <c r="W140" s="28"/>
      <c r="X140" s="28"/>
      <c r="Y140" s="28"/>
      <c r="Z140" s="28"/>
    </row>
    <row r="141" spans="1:26" ht="15.75" customHeight="1" x14ac:dyDescent="0.25">
      <c r="A141" s="49" t="s">
        <v>57</v>
      </c>
      <c r="B141" s="300"/>
      <c r="C141" s="50">
        <v>746</v>
      </c>
      <c r="D141" s="11">
        <v>455</v>
      </c>
      <c r="E141" s="50">
        <v>486</v>
      </c>
      <c r="F141" s="28"/>
      <c r="G141" s="28"/>
      <c r="H141" s="3"/>
      <c r="I141" s="28"/>
      <c r="J141" s="28"/>
      <c r="K141" s="28"/>
      <c r="L141" s="28"/>
      <c r="M141" s="28"/>
      <c r="N141" s="28"/>
      <c r="O141" s="28"/>
      <c r="P141" s="28"/>
      <c r="Q141" s="28"/>
      <c r="R141" s="28"/>
      <c r="S141" s="28"/>
      <c r="T141" s="28"/>
      <c r="U141" s="28"/>
      <c r="V141" s="28"/>
      <c r="W141" s="28"/>
      <c r="X141" s="28"/>
      <c r="Y141" s="28"/>
      <c r="Z141" s="28"/>
    </row>
    <row r="142" spans="1:26" ht="15.75" customHeight="1" x14ac:dyDescent="0.25">
      <c r="A142" s="79"/>
      <c r="B142" s="81"/>
      <c r="C142" s="83"/>
      <c r="D142" s="46"/>
      <c r="E142" s="85"/>
      <c r="F142" s="28"/>
      <c r="G142" s="28"/>
      <c r="H142" s="3"/>
      <c r="I142" s="28"/>
      <c r="J142" s="28"/>
      <c r="K142" s="28"/>
      <c r="L142" s="28"/>
      <c r="M142" s="28"/>
      <c r="N142" s="28"/>
      <c r="O142" s="28"/>
      <c r="P142" s="28"/>
      <c r="Q142" s="28"/>
      <c r="R142" s="28"/>
      <c r="S142" s="28"/>
      <c r="T142" s="28"/>
      <c r="U142" s="28"/>
      <c r="V142" s="28"/>
      <c r="W142" s="28"/>
      <c r="X142" s="28"/>
      <c r="Y142" s="28"/>
      <c r="Z142" s="28"/>
    </row>
    <row r="143" spans="1:26" ht="15.75" customHeight="1" x14ac:dyDescent="0.25">
      <c r="A143" s="9" t="s">
        <v>60</v>
      </c>
      <c r="B143" s="299" t="s">
        <v>62</v>
      </c>
      <c r="C143" s="47">
        <v>19.741666666666667</v>
      </c>
      <c r="D143" s="11">
        <v>18</v>
      </c>
      <c r="E143" s="88">
        <v>21</v>
      </c>
      <c r="F143" s="28"/>
      <c r="G143" s="28"/>
      <c r="H143" s="3"/>
      <c r="I143" s="28"/>
      <c r="J143" s="28"/>
      <c r="K143" s="28"/>
      <c r="L143" s="28"/>
      <c r="M143" s="28"/>
      <c r="N143" s="28"/>
      <c r="O143" s="28"/>
      <c r="P143" s="28"/>
      <c r="Q143" s="28"/>
      <c r="R143" s="28"/>
      <c r="S143" s="28"/>
      <c r="T143" s="28"/>
      <c r="U143" s="28"/>
      <c r="V143" s="28"/>
      <c r="W143" s="28"/>
      <c r="X143" s="28"/>
      <c r="Y143" s="28"/>
      <c r="Z143" s="28"/>
    </row>
    <row r="144" spans="1:26" ht="15.75" customHeight="1" x14ac:dyDescent="0.25">
      <c r="A144" s="9" t="s">
        <v>65</v>
      </c>
      <c r="B144" s="300"/>
      <c r="C144" s="47">
        <v>42</v>
      </c>
      <c r="D144" s="11">
        <v>31</v>
      </c>
      <c r="E144" s="54">
        <v>26</v>
      </c>
      <c r="F144" s="28"/>
      <c r="G144" s="28"/>
      <c r="H144" s="3"/>
      <c r="I144" s="28"/>
      <c r="J144" s="28"/>
      <c r="K144" s="28"/>
      <c r="L144" s="28"/>
      <c r="M144" s="28"/>
      <c r="N144" s="28"/>
      <c r="O144" s="28"/>
      <c r="P144" s="28"/>
      <c r="Q144" s="28"/>
      <c r="R144" s="28"/>
      <c r="S144" s="28"/>
      <c r="T144" s="28"/>
      <c r="U144" s="28"/>
      <c r="V144" s="28"/>
      <c r="W144" s="28"/>
      <c r="X144" s="28"/>
      <c r="Y144" s="28"/>
      <c r="Z144" s="28"/>
    </row>
    <row r="145" spans="1:26" ht="15.75" customHeight="1" x14ac:dyDescent="0.25">
      <c r="A145" s="9" t="s">
        <v>64</v>
      </c>
      <c r="B145" s="301"/>
      <c r="C145" s="47">
        <v>42</v>
      </c>
      <c r="D145" s="11">
        <v>24</v>
      </c>
      <c r="E145" s="55">
        <v>35</v>
      </c>
      <c r="F145" s="28"/>
      <c r="G145" s="28"/>
      <c r="H145" s="3"/>
      <c r="I145" s="28"/>
      <c r="J145" s="28"/>
      <c r="K145" s="28"/>
      <c r="L145" s="28"/>
      <c r="M145" s="28"/>
      <c r="N145" s="28"/>
      <c r="O145" s="28"/>
      <c r="P145" s="28"/>
      <c r="Q145" s="28"/>
      <c r="R145" s="28"/>
      <c r="S145" s="28"/>
      <c r="T145" s="28"/>
      <c r="U145" s="28"/>
      <c r="V145" s="28"/>
      <c r="W145" s="28"/>
      <c r="X145" s="28"/>
      <c r="Y145" s="28"/>
      <c r="Z145" s="28"/>
    </row>
    <row r="146" spans="1:26" ht="15.75" customHeight="1" x14ac:dyDescent="0.25">
      <c r="A146" s="41"/>
      <c r="B146" s="42"/>
      <c r="C146" s="69"/>
      <c r="D146" s="42"/>
      <c r="E146" s="47"/>
      <c r="F146" s="28"/>
      <c r="G146" s="28"/>
      <c r="H146" s="3"/>
      <c r="I146" s="28"/>
      <c r="J146" s="28"/>
      <c r="K146" s="28"/>
      <c r="L146" s="28"/>
      <c r="M146" s="28"/>
      <c r="N146" s="28"/>
      <c r="O146" s="28"/>
      <c r="P146" s="28"/>
      <c r="Q146" s="28"/>
      <c r="R146" s="28"/>
      <c r="S146" s="28"/>
      <c r="T146" s="28"/>
      <c r="U146" s="28"/>
      <c r="V146" s="28"/>
      <c r="W146" s="28"/>
      <c r="X146" s="28"/>
      <c r="Y146" s="28"/>
      <c r="Z146" s="28"/>
    </row>
    <row r="147" spans="1:26" ht="15.75" customHeight="1" x14ac:dyDescent="0.25">
      <c r="A147" s="9" t="s">
        <v>66</v>
      </c>
      <c r="B147" s="302" t="s">
        <v>68</v>
      </c>
      <c r="C147" s="47">
        <v>204.5</v>
      </c>
      <c r="D147" s="11">
        <v>202</v>
      </c>
      <c r="E147" s="47">
        <v>210</v>
      </c>
      <c r="F147" s="28"/>
      <c r="G147" s="28"/>
      <c r="H147" s="3"/>
      <c r="I147" s="28"/>
      <c r="J147" s="28"/>
      <c r="K147" s="28"/>
      <c r="L147" s="28"/>
      <c r="M147" s="28"/>
      <c r="N147" s="28"/>
      <c r="O147" s="28"/>
      <c r="P147" s="28"/>
      <c r="Q147" s="28"/>
      <c r="R147" s="28"/>
      <c r="S147" s="28"/>
      <c r="T147" s="28"/>
      <c r="U147" s="28"/>
      <c r="V147" s="28"/>
      <c r="W147" s="28"/>
      <c r="X147" s="28"/>
      <c r="Y147" s="28"/>
      <c r="Z147" s="28"/>
    </row>
    <row r="148" spans="1:26" ht="15.75" customHeight="1" x14ac:dyDescent="0.25">
      <c r="A148" s="49" t="s">
        <v>69</v>
      </c>
      <c r="B148" s="300"/>
      <c r="C148" s="50">
        <v>277.7</v>
      </c>
      <c r="D148" s="11">
        <v>270</v>
      </c>
      <c r="E148" s="50">
        <v>294</v>
      </c>
      <c r="F148" s="28"/>
      <c r="G148" s="28"/>
      <c r="H148" s="3"/>
      <c r="I148" s="28"/>
      <c r="J148" s="28"/>
      <c r="K148" s="28"/>
      <c r="L148" s="28"/>
      <c r="M148" s="28"/>
      <c r="N148" s="28"/>
      <c r="O148" s="28"/>
      <c r="P148" s="28"/>
      <c r="Q148" s="28"/>
      <c r="R148" s="28"/>
      <c r="S148" s="28"/>
      <c r="T148" s="28"/>
      <c r="U148" s="28"/>
      <c r="V148" s="28"/>
      <c r="W148" s="28"/>
      <c r="X148" s="28"/>
      <c r="Y148" s="28"/>
      <c r="Z148" s="28"/>
    </row>
    <row r="149" spans="1:26" ht="15.75" customHeight="1" x14ac:dyDescent="0.25">
      <c r="A149" s="44"/>
      <c r="B149" s="46"/>
      <c r="C149" s="83"/>
      <c r="D149" s="46"/>
      <c r="E149" s="85"/>
      <c r="F149" s="28"/>
      <c r="G149" s="28"/>
      <c r="H149" s="3"/>
      <c r="I149" s="28"/>
      <c r="J149" s="28"/>
      <c r="K149" s="28"/>
      <c r="L149" s="28"/>
      <c r="M149" s="28"/>
      <c r="N149" s="28"/>
      <c r="O149" s="28"/>
      <c r="P149" s="28"/>
      <c r="Q149" s="28"/>
      <c r="R149" s="28"/>
      <c r="S149" s="28"/>
      <c r="T149" s="28"/>
      <c r="U149" s="28"/>
      <c r="V149" s="28"/>
      <c r="W149" s="28"/>
      <c r="X149" s="28"/>
      <c r="Y149" s="28"/>
      <c r="Z149" s="28"/>
    </row>
    <row r="150" spans="1:26" ht="15.75" customHeight="1" x14ac:dyDescent="0.25">
      <c r="A150" s="56" t="s">
        <v>69</v>
      </c>
      <c r="B150" s="303" t="s">
        <v>71</v>
      </c>
      <c r="C150" s="47">
        <v>12</v>
      </c>
      <c r="D150" s="11">
        <v>10</v>
      </c>
      <c r="E150" s="47">
        <v>16</v>
      </c>
      <c r="F150" s="28"/>
      <c r="G150" s="28"/>
      <c r="H150" s="3"/>
      <c r="I150" s="28"/>
      <c r="J150" s="28"/>
      <c r="K150" s="28"/>
      <c r="L150" s="28"/>
      <c r="M150" s="28"/>
      <c r="N150" s="28"/>
      <c r="O150" s="28"/>
      <c r="P150" s="28"/>
      <c r="Q150" s="28"/>
      <c r="R150" s="28"/>
      <c r="S150" s="28"/>
      <c r="T150" s="28"/>
      <c r="U150" s="28"/>
      <c r="V150" s="28"/>
      <c r="W150" s="28"/>
      <c r="X150" s="28"/>
      <c r="Y150" s="28"/>
      <c r="Z150" s="28"/>
    </row>
    <row r="151" spans="1:26" ht="15.75" customHeight="1" x14ac:dyDescent="0.25">
      <c r="A151" s="56" t="s">
        <v>72</v>
      </c>
      <c r="B151" s="300"/>
      <c r="C151" s="47">
        <v>14</v>
      </c>
      <c r="D151" s="11">
        <v>11</v>
      </c>
      <c r="E151" s="47">
        <v>16</v>
      </c>
      <c r="F151" s="28"/>
      <c r="G151" s="28"/>
      <c r="H151" s="3"/>
      <c r="I151" s="28"/>
      <c r="J151" s="28"/>
      <c r="K151" s="28"/>
      <c r="L151" s="28"/>
      <c r="M151" s="28"/>
      <c r="N151" s="28"/>
      <c r="O151" s="28"/>
      <c r="P151" s="28"/>
      <c r="Q151" s="28"/>
      <c r="R151" s="28"/>
      <c r="S151" s="28"/>
      <c r="T151" s="28"/>
      <c r="U151" s="28"/>
      <c r="V151" s="28"/>
      <c r="W151" s="28"/>
      <c r="X151" s="28"/>
      <c r="Y151" s="28"/>
      <c r="Z151" s="28"/>
    </row>
    <row r="152" spans="1:26" ht="15.75" customHeight="1" x14ac:dyDescent="0.25">
      <c r="A152" s="57" t="s">
        <v>73</v>
      </c>
      <c r="B152" s="300"/>
      <c r="C152" s="50">
        <v>17.43333333333333</v>
      </c>
      <c r="D152" s="11">
        <v>16</v>
      </c>
      <c r="E152" s="50">
        <v>23</v>
      </c>
      <c r="F152" s="28"/>
      <c r="G152" s="28"/>
      <c r="H152" s="3"/>
      <c r="I152" s="28"/>
      <c r="J152" s="28"/>
      <c r="K152" s="28"/>
      <c r="L152" s="28"/>
      <c r="M152" s="28"/>
      <c r="N152" s="28"/>
      <c r="O152" s="28"/>
      <c r="P152" s="28"/>
      <c r="Q152" s="28"/>
      <c r="R152" s="28"/>
      <c r="S152" s="28"/>
      <c r="T152" s="28"/>
      <c r="U152" s="28"/>
      <c r="V152" s="28"/>
      <c r="W152" s="28"/>
      <c r="X152" s="28"/>
      <c r="Y152" s="28"/>
      <c r="Z152" s="28"/>
    </row>
    <row r="153" spans="1:26" ht="15.75" customHeight="1" x14ac:dyDescent="0.25">
      <c r="A153" s="92"/>
      <c r="B153" s="69"/>
      <c r="C153" s="69"/>
      <c r="D153" s="42"/>
      <c r="E153" s="71"/>
      <c r="F153" s="28"/>
      <c r="G153" s="28"/>
      <c r="H153" s="3"/>
      <c r="I153" s="28"/>
      <c r="J153" s="28"/>
      <c r="K153" s="28"/>
      <c r="L153" s="28"/>
      <c r="M153" s="28"/>
      <c r="N153" s="28"/>
      <c r="O153" s="28"/>
      <c r="P153" s="28"/>
      <c r="Q153" s="28"/>
      <c r="R153" s="28"/>
      <c r="S153" s="28"/>
      <c r="T153" s="28"/>
      <c r="U153" s="28"/>
      <c r="V153" s="28"/>
      <c r="W153" s="28"/>
      <c r="X153" s="28"/>
      <c r="Y153" s="28"/>
      <c r="Z153" s="28"/>
    </row>
    <row r="154" spans="1:26" ht="15.75" customHeight="1" x14ac:dyDescent="0.25">
      <c r="A154" s="56" t="s">
        <v>80</v>
      </c>
      <c r="B154" s="303" t="s">
        <v>77</v>
      </c>
      <c r="C154" s="47">
        <v>117</v>
      </c>
      <c r="D154" s="11">
        <v>162</v>
      </c>
      <c r="E154" s="47">
        <v>87</v>
      </c>
      <c r="F154" s="28"/>
      <c r="G154" s="28"/>
      <c r="H154" s="3"/>
      <c r="I154" s="28"/>
      <c r="J154" s="28"/>
      <c r="K154" s="28"/>
      <c r="L154" s="28"/>
      <c r="M154" s="28"/>
      <c r="N154" s="28"/>
      <c r="O154" s="28"/>
      <c r="P154" s="28"/>
      <c r="Q154" s="28"/>
      <c r="R154" s="28"/>
      <c r="S154" s="28"/>
      <c r="T154" s="28"/>
      <c r="U154" s="28"/>
      <c r="V154" s="28"/>
      <c r="W154" s="28"/>
      <c r="X154" s="28"/>
      <c r="Y154" s="28"/>
      <c r="Z154" s="28"/>
    </row>
    <row r="155" spans="1:26" ht="15.75" customHeight="1" x14ac:dyDescent="0.25">
      <c r="A155" s="56" t="s">
        <v>78</v>
      </c>
      <c r="B155" s="300"/>
      <c r="C155" s="47">
        <v>188</v>
      </c>
      <c r="D155" s="11">
        <v>114</v>
      </c>
      <c r="E155" s="47">
        <v>124</v>
      </c>
      <c r="F155" s="28"/>
      <c r="G155" s="28"/>
      <c r="H155" s="3"/>
      <c r="I155" s="28"/>
      <c r="J155" s="28"/>
      <c r="K155" s="28"/>
      <c r="L155" s="28"/>
      <c r="M155" s="28"/>
      <c r="N155" s="28"/>
      <c r="O155" s="28"/>
      <c r="P155" s="28"/>
      <c r="Q155" s="28"/>
      <c r="R155" s="28"/>
      <c r="S155" s="28"/>
      <c r="T155" s="28"/>
      <c r="U155" s="28"/>
      <c r="V155" s="28"/>
      <c r="W155" s="28"/>
      <c r="X155" s="28"/>
      <c r="Y155" s="28"/>
      <c r="Z155" s="28"/>
    </row>
    <row r="156" spans="1:26" ht="15.75" customHeight="1" x14ac:dyDescent="0.25">
      <c r="A156" s="56" t="s">
        <v>76</v>
      </c>
      <c r="B156" s="300"/>
      <c r="C156" s="47">
        <v>218</v>
      </c>
      <c r="D156" s="11">
        <v>210</v>
      </c>
      <c r="E156" s="47">
        <v>168</v>
      </c>
      <c r="F156" s="28"/>
      <c r="G156" s="28"/>
      <c r="H156" s="3"/>
      <c r="I156" s="28"/>
      <c r="J156" s="28"/>
      <c r="K156" s="28"/>
      <c r="L156" s="28"/>
      <c r="M156" s="28"/>
      <c r="N156" s="28"/>
      <c r="O156" s="28"/>
      <c r="P156" s="28"/>
      <c r="Q156" s="28"/>
      <c r="R156" s="28"/>
      <c r="S156" s="28"/>
      <c r="T156" s="28"/>
      <c r="U156" s="28"/>
      <c r="V156" s="28"/>
      <c r="W156" s="28"/>
      <c r="X156" s="28"/>
      <c r="Y156" s="28"/>
      <c r="Z156" s="28"/>
    </row>
    <row r="157" spans="1:26" ht="15.75" customHeight="1" x14ac:dyDescent="0.25">
      <c r="A157" s="57" t="s">
        <v>79</v>
      </c>
      <c r="B157" s="300"/>
      <c r="C157" s="50">
        <v>239</v>
      </c>
      <c r="D157" s="11">
        <v>89</v>
      </c>
      <c r="E157" s="50">
        <v>228</v>
      </c>
      <c r="F157" s="28"/>
      <c r="G157" s="28"/>
      <c r="H157" s="3"/>
      <c r="I157" s="28"/>
      <c r="J157" s="28"/>
      <c r="K157" s="28"/>
      <c r="L157" s="28"/>
      <c r="M157" s="28"/>
      <c r="N157" s="28"/>
      <c r="O157" s="28"/>
      <c r="P157" s="28"/>
      <c r="Q157" s="28"/>
      <c r="R157" s="28"/>
      <c r="S157" s="28"/>
      <c r="T157" s="28"/>
      <c r="U157" s="28"/>
      <c r="V157" s="28"/>
      <c r="W157" s="28"/>
      <c r="X157" s="28"/>
      <c r="Y157" s="28"/>
      <c r="Z157" s="28"/>
    </row>
    <row r="158" spans="1:26" ht="15.75" customHeight="1" x14ac:dyDescent="0.25">
      <c r="A158" s="44"/>
      <c r="B158" s="46"/>
      <c r="C158" s="83"/>
      <c r="D158" s="46"/>
      <c r="E158" s="85"/>
      <c r="F158" s="28"/>
      <c r="G158" s="28"/>
      <c r="H158" s="3"/>
      <c r="I158" s="28"/>
      <c r="J158" s="28"/>
      <c r="K158" s="28"/>
      <c r="L158" s="28"/>
      <c r="M158" s="28"/>
      <c r="N158" s="28"/>
      <c r="O158" s="28"/>
      <c r="P158" s="28"/>
      <c r="Q158" s="28"/>
      <c r="R158" s="28"/>
      <c r="S158" s="28"/>
      <c r="T158" s="28"/>
      <c r="U158" s="28"/>
      <c r="V158" s="28"/>
      <c r="W158" s="28"/>
      <c r="X158" s="28"/>
      <c r="Y158" s="28"/>
      <c r="Z158" s="28"/>
    </row>
    <row r="159" spans="1:26" ht="15.75" customHeight="1" x14ac:dyDescent="0.25">
      <c r="A159" s="9" t="s">
        <v>81</v>
      </c>
      <c r="B159" s="299" t="s">
        <v>82</v>
      </c>
      <c r="C159" s="47">
        <v>2</v>
      </c>
      <c r="D159" s="11">
        <v>10</v>
      </c>
      <c r="E159" s="47">
        <v>4</v>
      </c>
      <c r="F159" s="28"/>
      <c r="G159" s="28"/>
      <c r="H159" s="3"/>
      <c r="I159" s="28"/>
      <c r="J159" s="28"/>
      <c r="K159" s="28"/>
      <c r="L159" s="28"/>
      <c r="M159" s="28"/>
      <c r="N159" s="28"/>
      <c r="O159" s="28"/>
      <c r="P159" s="28"/>
      <c r="Q159" s="28"/>
      <c r="R159" s="28"/>
      <c r="S159" s="28"/>
      <c r="T159" s="28"/>
      <c r="U159" s="28"/>
      <c r="V159" s="28"/>
      <c r="W159" s="28"/>
      <c r="X159" s="28"/>
      <c r="Y159" s="28"/>
      <c r="Z159" s="28"/>
    </row>
    <row r="160" spans="1:26" ht="15.75" customHeight="1" x14ac:dyDescent="0.25">
      <c r="A160" s="9" t="s">
        <v>83</v>
      </c>
      <c r="B160" s="300"/>
      <c r="C160" s="47">
        <v>7.133</v>
      </c>
      <c r="D160" s="11">
        <v>11</v>
      </c>
      <c r="E160" s="47">
        <v>12</v>
      </c>
      <c r="F160" s="28"/>
      <c r="G160" s="28"/>
      <c r="H160" s="3"/>
      <c r="I160" s="28"/>
      <c r="J160" s="28"/>
      <c r="K160" s="28"/>
      <c r="L160" s="28"/>
      <c r="M160" s="28"/>
      <c r="N160" s="28"/>
      <c r="O160" s="28"/>
      <c r="P160" s="28"/>
      <c r="Q160" s="28"/>
      <c r="R160" s="28"/>
      <c r="S160" s="28"/>
      <c r="T160" s="28"/>
      <c r="U160" s="28"/>
      <c r="V160" s="28"/>
      <c r="W160" s="28"/>
      <c r="X160" s="28"/>
      <c r="Y160" s="28"/>
      <c r="Z160" s="28"/>
    </row>
    <row r="161" spans="1:26" ht="15.75" customHeight="1" x14ac:dyDescent="0.25">
      <c r="A161" s="9" t="s">
        <v>155</v>
      </c>
      <c r="B161" s="301"/>
      <c r="C161" s="47">
        <v>3</v>
      </c>
      <c r="D161" s="11">
        <v>7</v>
      </c>
      <c r="E161" s="47">
        <v>12</v>
      </c>
      <c r="F161" s="28"/>
      <c r="G161" s="28"/>
      <c r="H161" s="3"/>
      <c r="I161" s="28"/>
      <c r="J161" s="28"/>
      <c r="K161" s="28"/>
      <c r="L161" s="28"/>
      <c r="M161" s="28"/>
      <c r="N161" s="28"/>
      <c r="O161" s="28"/>
      <c r="P161" s="28"/>
      <c r="Q161" s="28"/>
      <c r="R161" s="28"/>
      <c r="S161" s="28"/>
      <c r="T161" s="28"/>
      <c r="U161" s="28"/>
      <c r="V161" s="28"/>
      <c r="W161" s="28"/>
      <c r="X161" s="28"/>
      <c r="Y161" s="28"/>
      <c r="Z161" s="28"/>
    </row>
    <row r="162" spans="1:26" ht="15.75" customHeight="1" x14ac:dyDescent="0.25">
      <c r="A162" s="41"/>
      <c r="B162" s="42"/>
      <c r="C162" s="69"/>
      <c r="D162" s="42"/>
      <c r="E162" s="98"/>
      <c r="F162" s="28"/>
      <c r="G162" s="28"/>
      <c r="H162" s="3"/>
      <c r="I162" s="28"/>
      <c r="J162" s="28"/>
      <c r="K162" s="28"/>
      <c r="L162" s="28"/>
      <c r="M162" s="28"/>
      <c r="N162" s="28"/>
      <c r="O162" s="28"/>
      <c r="P162" s="28"/>
      <c r="Q162" s="28"/>
      <c r="R162" s="28"/>
      <c r="S162" s="28"/>
      <c r="T162" s="28"/>
      <c r="U162" s="28"/>
      <c r="V162" s="28"/>
      <c r="W162" s="28"/>
      <c r="X162" s="28"/>
      <c r="Y162" s="28"/>
      <c r="Z162" s="28"/>
    </row>
    <row r="163" spans="1:26" ht="15.75" customHeight="1" x14ac:dyDescent="0.25">
      <c r="A163" s="9" t="s">
        <v>86</v>
      </c>
      <c r="B163" s="302" t="s">
        <v>87</v>
      </c>
      <c r="C163" s="47">
        <v>19</v>
      </c>
      <c r="D163" s="11">
        <v>14</v>
      </c>
      <c r="E163" s="47">
        <v>20</v>
      </c>
      <c r="F163" s="28"/>
      <c r="G163" s="28"/>
      <c r="H163" s="3"/>
      <c r="I163" s="28"/>
      <c r="J163" s="28"/>
      <c r="K163" s="28"/>
      <c r="L163" s="28"/>
      <c r="M163" s="28"/>
      <c r="N163" s="28"/>
      <c r="O163" s="28"/>
      <c r="P163" s="28"/>
      <c r="Q163" s="28"/>
      <c r="R163" s="28"/>
      <c r="S163" s="28"/>
      <c r="T163" s="28"/>
      <c r="U163" s="28"/>
      <c r="V163" s="28"/>
      <c r="W163" s="28"/>
      <c r="X163" s="28"/>
      <c r="Y163" s="28"/>
      <c r="Z163" s="28"/>
    </row>
    <row r="164" spans="1:26" ht="15.75" customHeight="1" x14ac:dyDescent="0.25">
      <c r="A164" s="49" t="s">
        <v>88</v>
      </c>
      <c r="B164" s="300"/>
      <c r="C164" s="50">
        <v>20</v>
      </c>
      <c r="D164" s="11">
        <v>14</v>
      </c>
      <c r="E164" s="50">
        <v>20</v>
      </c>
      <c r="F164" s="28"/>
      <c r="G164" s="28"/>
      <c r="H164" s="3"/>
      <c r="I164" s="28"/>
      <c r="J164" s="28"/>
      <c r="K164" s="28"/>
      <c r="L164" s="28"/>
      <c r="M164" s="28"/>
      <c r="N164" s="28"/>
      <c r="O164" s="28"/>
      <c r="P164" s="28"/>
      <c r="Q164" s="28"/>
      <c r="R164" s="28"/>
      <c r="S164" s="28"/>
      <c r="T164" s="28"/>
      <c r="U164" s="28"/>
      <c r="V164" s="28"/>
      <c r="W164" s="28"/>
      <c r="X164" s="28"/>
      <c r="Y164" s="28"/>
      <c r="Z164" s="28"/>
    </row>
    <row r="165" spans="1:26" ht="15.75" customHeight="1" x14ac:dyDescent="0.25">
      <c r="A165" s="44"/>
      <c r="B165" s="46"/>
      <c r="C165" s="83"/>
      <c r="D165" s="46"/>
      <c r="E165" s="85"/>
      <c r="F165" s="28"/>
      <c r="G165" s="28"/>
      <c r="H165" s="3"/>
      <c r="I165" s="28"/>
      <c r="J165" s="28"/>
      <c r="K165" s="28"/>
      <c r="L165" s="28"/>
      <c r="M165" s="28"/>
      <c r="N165" s="28"/>
      <c r="O165" s="28"/>
      <c r="P165" s="28"/>
      <c r="Q165" s="28"/>
      <c r="R165" s="28"/>
      <c r="S165" s="28"/>
      <c r="T165" s="28"/>
      <c r="U165" s="28"/>
      <c r="V165" s="28"/>
      <c r="W165" s="28"/>
      <c r="X165" s="28"/>
      <c r="Y165" s="28"/>
      <c r="Z165" s="28"/>
    </row>
    <row r="166" spans="1:26" ht="15.75" customHeight="1" x14ac:dyDescent="0.25">
      <c r="A166" s="12" t="s">
        <v>89</v>
      </c>
      <c r="B166" s="302" t="s">
        <v>90</v>
      </c>
      <c r="C166" s="71">
        <v>6</v>
      </c>
      <c r="D166" s="11">
        <v>21</v>
      </c>
      <c r="E166" s="71">
        <v>31</v>
      </c>
      <c r="F166" s="28"/>
      <c r="G166" s="28"/>
      <c r="H166" s="3"/>
      <c r="I166" s="28"/>
      <c r="J166" s="28"/>
      <c r="K166" s="28"/>
      <c r="L166" s="28"/>
      <c r="M166" s="28"/>
      <c r="N166" s="28"/>
      <c r="O166" s="28"/>
      <c r="P166" s="28"/>
      <c r="Q166" s="28"/>
      <c r="R166" s="28"/>
      <c r="S166" s="28"/>
      <c r="T166" s="28"/>
      <c r="U166" s="28"/>
      <c r="V166" s="28"/>
      <c r="W166" s="28"/>
      <c r="X166" s="28"/>
      <c r="Y166" s="28"/>
      <c r="Z166" s="28"/>
    </row>
    <row r="167" spans="1:26" ht="15.75" customHeight="1" x14ac:dyDescent="0.25">
      <c r="A167" s="9" t="s">
        <v>91</v>
      </c>
      <c r="B167" s="300"/>
      <c r="C167" s="47">
        <v>17</v>
      </c>
      <c r="D167" s="11">
        <v>17</v>
      </c>
      <c r="E167" s="47">
        <v>33</v>
      </c>
      <c r="F167" s="28"/>
      <c r="G167" s="28"/>
      <c r="H167" s="3"/>
      <c r="I167" s="28"/>
      <c r="J167" s="28"/>
      <c r="K167" s="28"/>
      <c r="L167" s="28"/>
      <c r="M167" s="28"/>
      <c r="N167" s="28"/>
      <c r="O167" s="28"/>
      <c r="P167" s="28"/>
      <c r="Q167" s="28"/>
      <c r="R167" s="28"/>
      <c r="S167" s="28"/>
      <c r="T167" s="28"/>
      <c r="U167" s="28"/>
      <c r="V167" s="28"/>
      <c r="W167" s="28"/>
      <c r="X167" s="28"/>
      <c r="Y167" s="28"/>
      <c r="Z167" s="28"/>
    </row>
    <row r="168" spans="1:26" ht="15.75" customHeight="1" x14ac:dyDescent="0.25">
      <c r="A168" s="41"/>
      <c r="B168" s="42"/>
      <c r="C168" s="69"/>
      <c r="D168" s="42"/>
      <c r="E168" s="98"/>
      <c r="F168" s="28"/>
      <c r="G168" s="28"/>
      <c r="H168" s="3"/>
      <c r="I168" s="28"/>
      <c r="J168" s="28"/>
      <c r="K168" s="28"/>
      <c r="L168" s="28"/>
      <c r="M168" s="28"/>
      <c r="N168" s="28"/>
      <c r="O168" s="28"/>
      <c r="P168" s="28"/>
      <c r="Q168" s="28"/>
      <c r="R168" s="28"/>
      <c r="S168" s="28"/>
      <c r="T168" s="28"/>
      <c r="U168" s="28"/>
      <c r="V168" s="28"/>
      <c r="W168" s="28"/>
      <c r="X168" s="28"/>
      <c r="Y168" s="28"/>
      <c r="Z168" s="28"/>
    </row>
    <row r="169" spans="1:26" ht="15.75" customHeight="1" x14ac:dyDescent="0.25">
      <c r="A169" s="9" t="s">
        <v>94</v>
      </c>
      <c r="B169" s="299" t="s">
        <v>95</v>
      </c>
      <c r="C169" s="47">
        <v>49.666666666666664</v>
      </c>
      <c r="D169" s="11">
        <v>46</v>
      </c>
      <c r="E169" s="47">
        <v>61</v>
      </c>
      <c r="F169" s="28"/>
      <c r="G169" s="28"/>
      <c r="H169" s="3"/>
      <c r="I169" s="28"/>
      <c r="J169" s="28"/>
      <c r="K169" s="28"/>
      <c r="L169" s="28"/>
      <c r="M169" s="28"/>
      <c r="N169" s="28"/>
      <c r="O169" s="28"/>
      <c r="P169" s="28"/>
      <c r="Q169" s="28"/>
      <c r="R169" s="28"/>
      <c r="S169" s="28"/>
      <c r="T169" s="28"/>
      <c r="U169" s="28"/>
      <c r="V169" s="28"/>
      <c r="W169" s="28"/>
      <c r="X169" s="28"/>
      <c r="Y169" s="28"/>
      <c r="Z169" s="28"/>
    </row>
    <row r="170" spans="1:26" ht="15.75" customHeight="1" x14ac:dyDescent="0.25">
      <c r="A170" s="9" t="s">
        <v>96</v>
      </c>
      <c r="B170" s="300"/>
      <c r="C170" s="47">
        <v>122</v>
      </c>
      <c r="D170" s="11">
        <v>112</v>
      </c>
      <c r="E170" s="47">
        <v>111</v>
      </c>
      <c r="F170" s="28"/>
      <c r="G170" s="28"/>
      <c r="H170" s="3"/>
      <c r="I170" s="28"/>
      <c r="J170" s="28"/>
      <c r="K170" s="28"/>
      <c r="L170" s="28"/>
      <c r="M170" s="28"/>
      <c r="N170" s="28"/>
      <c r="O170" s="28"/>
      <c r="P170" s="28"/>
      <c r="Q170" s="28"/>
      <c r="R170" s="28"/>
      <c r="S170" s="28"/>
      <c r="T170" s="28"/>
      <c r="U170" s="28"/>
      <c r="V170" s="28"/>
      <c r="W170" s="28"/>
      <c r="X170" s="28"/>
      <c r="Y170" s="28"/>
      <c r="Z170" s="28"/>
    </row>
    <row r="171" spans="1:26" ht="15.75" customHeight="1" x14ac:dyDescent="0.25">
      <c r="A171" s="9" t="s">
        <v>97</v>
      </c>
      <c r="B171" s="300"/>
      <c r="C171" s="47">
        <v>142.33333333333334</v>
      </c>
      <c r="D171" s="11">
        <v>50</v>
      </c>
      <c r="E171" s="47">
        <v>58</v>
      </c>
      <c r="F171" s="28"/>
      <c r="G171" s="28"/>
      <c r="H171" s="3"/>
      <c r="I171" s="28"/>
      <c r="J171" s="28"/>
      <c r="K171" s="28"/>
      <c r="L171" s="28"/>
      <c r="M171" s="28"/>
      <c r="N171" s="28"/>
      <c r="O171" s="28"/>
      <c r="P171" s="28"/>
      <c r="Q171" s="28"/>
      <c r="R171" s="28"/>
      <c r="S171" s="28"/>
      <c r="T171" s="28"/>
      <c r="U171" s="28"/>
      <c r="V171" s="28"/>
      <c r="W171" s="28"/>
      <c r="X171" s="28"/>
      <c r="Y171" s="28"/>
      <c r="Z171" s="28"/>
    </row>
    <row r="172" spans="1:26" ht="15.75" customHeight="1" x14ac:dyDescent="0.25">
      <c r="A172" s="9" t="s">
        <v>98</v>
      </c>
      <c r="B172" s="300"/>
      <c r="C172" s="47">
        <v>130.33333333333334</v>
      </c>
      <c r="D172" s="11">
        <v>112</v>
      </c>
      <c r="E172" s="47">
        <v>103</v>
      </c>
      <c r="F172" s="28"/>
      <c r="G172" s="28"/>
      <c r="H172" s="3"/>
      <c r="I172" s="28"/>
      <c r="J172" s="28"/>
      <c r="K172" s="28"/>
      <c r="L172" s="28"/>
      <c r="M172" s="28"/>
      <c r="N172" s="28"/>
      <c r="O172" s="28"/>
      <c r="P172" s="28"/>
      <c r="Q172" s="28"/>
      <c r="R172" s="28"/>
      <c r="S172" s="28"/>
      <c r="T172" s="28"/>
      <c r="U172" s="28"/>
      <c r="V172" s="28"/>
      <c r="W172" s="28"/>
      <c r="X172" s="28"/>
      <c r="Y172" s="28"/>
      <c r="Z172" s="28"/>
    </row>
    <row r="173" spans="1:26" ht="15.75" customHeight="1" x14ac:dyDescent="0.25">
      <c r="A173" s="9" t="s">
        <v>99</v>
      </c>
      <c r="B173" s="301"/>
      <c r="C173" s="47">
        <v>146</v>
      </c>
      <c r="D173" s="11">
        <v>88</v>
      </c>
      <c r="E173" s="47">
        <v>133</v>
      </c>
      <c r="F173" s="28"/>
      <c r="G173" s="28"/>
      <c r="H173" s="3"/>
      <c r="I173" s="28"/>
      <c r="J173" s="28"/>
      <c r="K173" s="28"/>
      <c r="L173" s="28"/>
      <c r="M173" s="28"/>
      <c r="N173" s="28"/>
      <c r="O173" s="28"/>
      <c r="P173" s="28"/>
      <c r="Q173" s="28"/>
      <c r="R173" s="28"/>
      <c r="S173" s="28"/>
      <c r="T173" s="28"/>
      <c r="U173" s="28"/>
      <c r="V173" s="28"/>
      <c r="W173" s="28"/>
      <c r="X173" s="28"/>
      <c r="Y173" s="28"/>
      <c r="Z173" s="28"/>
    </row>
    <row r="174" spans="1:26" ht="15.75" customHeight="1" x14ac:dyDescent="0.25">
      <c r="B174" s="1"/>
      <c r="C174" s="1"/>
      <c r="D174" s="2"/>
      <c r="E174" s="2"/>
      <c r="H174" s="3"/>
    </row>
    <row r="175" spans="1:26" ht="15.75" customHeight="1" x14ac:dyDescent="0.25">
      <c r="B175" s="1"/>
      <c r="C175" s="1"/>
      <c r="D175" s="2"/>
      <c r="E175" s="2"/>
      <c r="H175" s="3"/>
    </row>
    <row r="176" spans="1:26" ht="15.75" customHeight="1" x14ac:dyDescent="0.25">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5.75" customHeight="1" x14ac:dyDescent="0.25">
      <c r="A177" s="28"/>
      <c r="B177" s="1"/>
      <c r="C177" s="1"/>
      <c r="D177" s="2"/>
      <c r="E177" s="2"/>
      <c r="F177" s="28"/>
      <c r="G177" s="28"/>
      <c r="H177" s="3"/>
      <c r="I177" s="28"/>
      <c r="J177" s="28"/>
      <c r="K177" s="28"/>
      <c r="L177" s="28"/>
      <c r="M177" s="28"/>
      <c r="N177" s="28"/>
      <c r="O177" s="28"/>
      <c r="P177" s="28"/>
      <c r="Q177" s="28"/>
      <c r="R177" s="28"/>
      <c r="S177" s="28"/>
      <c r="T177" s="28"/>
      <c r="U177" s="28"/>
      <c r="V177" s="28"/>
      <c r="W177" s="28"/>
      <c r="X177" s="28"/>
      <c r="Y177" s="28"/>
      <c r="Z177" s="28"/>
    </row>
    <row r="178" spans="1:26" ht="15.75" customHeight="1" x14ac:dyDescent="0.25">
      <c r="A178" s="23" t="s">
        <v>115</v>
      </c>
      <c r="B178" s="43" t="s">
        <v>100</v>
      </c>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5.75" customHeight="1" x14ac:dyDescent="0.25">
      <c r="A179" s="304" t="s">
        <v>151</v>
      </c>
      <c r="B179" s="297"/>
      <c r="C179" s="297"/>
      <c r="D179" s="297"/>
      <c r="E179" s="298"/>
      <c r="F179" s="28"/>
      <c r="G179" s="28"/>
      <c r="H179" s="3"/>
      <c r="I179" s="28"/>
      <c r="J179" s="28"/>
      <c r="K179" s="28"/>
      <c r="L179" s="28"/>
      <c r="M179" s="28"/>
      <c r="N179" s="28"/>
      <c r="O179" s="28"/>
      <c r="P179" s="28"/>
      <c r="Q179" s="28"/>
      <c r="R179" s="28"/>
      <c r="S179" s="28"/>
      <c r="T179" s="28"/>
      <c r="U179" s="28"/>
      <c r="V179" s="28"/>
      <c r="W179" s="28"/>
      <c r="X179" s="28"/>
      <c r="Y179" s="28"/>
      <c r="Z179" s="28"/>
    </row>
    <row r="180" spans="1:26" ht="15.75" customHeight="1" x14ac:dyDescent="0.25">
      <c r="A180" s="4" t="s">
        <v>0</v>
      </c>
      <c r="B180" s="5" t="s">
        <v>1</v>
      </c>
      <c r="C180" s="5" t="s">
        <v>2</v>
      </c>
      <c r="D180" s="5" t="s">
        <v>43</v>
      </c>
      <c r="E180" s="45" t="s">
        <v>125</v>
      </c>
      <c r="F180" s="28"/>
      <c r="G180" s="296" t="s">
        <v>6</v>
      </c>
      <c r="H180" s="297"/>
      <c r="I180" s="297"/>
      <c r="J180" s="297"/>
      <c r="K180" s="297"/>
      <c r="L180" s="298"/>
      <c r="M180" s="28"/>
      <c r="N180" s="28"/>
      <c r="O180" s="28"/>
      <c r="P180" s="28"/>
      <c r="Q180" s="28"/>
      <c r="R180" s="28"/>
      <c r="S180" s="28"/>
      <c r="T180" s="28"/>
      <c r="U180" s="28"/>
      <c r="V180" s="28"/>
      <c r="W180" s="28"/>
      <c r="X180" s="28"/>
      <c r="Y180" s="28"/>
      <c r="Z180" s="28"/>
    </row>
    <row r="181" spans="1:26" ht="15.75" customHeight="1" x14ac:dyDescent="0.25">
      <c r="A181" s="9" t="s">
        <v>7</v>
      </c>
      <c r="B181" s="302" t="s">
        <v>9</v>
      </c>
      <c r="C181" s="47">
        <v>28.1</v>
      </c>
      <c r="D181" s="47">
        <v>39</v>
      </c>
      <c r="E181" s="47">
        <v>54</v>
      </c>
      <c r="F181" s="28"/>
      <c r="G181" s="296" t="s">
        <v>106</v>
      </c>
      <c r="H181" s="297"/>
      <c r="I181" s="298"/>
      <c r="J181" s="296" t="s">
        <v>107</v>
      </c>
      <c r="K181" s="297"/>
      <c r="L181" s="298"/>
      <c r="M181" s="28"/>
      <c r="N181" s="28"/>
      <c r="O181" s="28"/>
      <c r="P181" s="28"/>
      <c r="Q181" s="28"/>
      <c r="R181" s="28"/>
      <c r="S181" s="28"/>
      <c r="T181" s="28"/>
      <c r="U181" s="28"/>
      <c r="V181" s="28"/>
      <c r="W181" s="28"/>
      <c r="X181" s="28"/>
      <c r="Y181" s="28"/>
      <c r="Z181" s="28"/>
    </row>
    <row r="182" spans="1:26" ht="15.75" customHeight="1" x14ac:dyDescent="0.25">
      <c r="A182" s="9" t="s">
        <v>17</v>
      </c>
      <c r="B182" s="300"/>
      <c r="C182" s="47">
        <v>63.911000000000001</v>
      </c>
      <c r="D182" s="47">
        <v>65</v>
      </c>
      <c r="E182" s="47">
        <v>79</v>
      </c>
      <c r="F182" s="28"/>
      <c r="G182" s="13" t="s">
        <v>13</v>
      </c>
      <c r="H182" s="39">
        <f>+H184+H184*0.1</f>
        <v>845.9</v>
      </c>
      <c r="I182" s="17" t="s">
        <v>219</v>
      </c>
      <c r="J182" s="13" t="s">
        <v>13</v>
      </c>
      <c r="K182" s="39">
        <f>+K184+K184*0.1</f>
        <v>869</v>
      </c>
      <c r="L182" s="17" t="s">
        <v>220</v>
      </c>
      <c r="M182" s="28"/>
      <c r="N182" s="28"/>
      <c r="O182" s="28"/>
      <c r="P182" s="28"/>
      <c r="Q182" s="28"/>
      <c r="R182" s="28"/>
      <c r="S182" s="28"/>
      <c r="T182" s="28"/>
      <c r="U182" s="28"/>
      <c r="V182" s="28"/>
      <c r="W182" s="28"/>
      <c r="X182" s="28"/>
      <c r="Y182" s="28"/>
      <c r="Z182" s="28"/>
    </row>
    <row r="183" spans="1:26" ht="15.75" customHeight="1" x14ac:dyDescent="0.25">
      <c r="A183" s="9" t="s">
        <v>26</v>
      </c>
      <c r="B183" s="300"/>
      <c r="C183" s="47">
        <v>69.921999999999997</v>
      </c>
      <c r="D183" s="47">
        <v>70</v>
      </c>
      <c r="E183" s="47">
        <v>81</v>
      </c>
      <c r="F183" s="28"/>
      <c r="G183" s="13" t="s">
        <v>19</v>
      </c>
      <c r="H183" s="40">
        <f>+H184-H184*0.1</f>
        <v>692.1</v>
      </c>
      <c r="I183" s="17" t="s">
        <v>223</v>
      </c>
      <c r="J183" s="13" t="s">
        <v>19</v>
      </c>
      <c r="K183" s="40">
        <f>+K184-K184*0.1</f>
        <v>711</v>
      </c>
      <c r="L183" s="17" t="s">
        <v>224</v>
      </c>
      <c r="M183" s="28"/>
      <c r="N183" s="28"/>
      <c r="O183" s="28"/>
      <c r="P183" s="28"/>
      <c r="Q183" s="28"/>
      <c r="R183" s="28"/>
      <c r="S183" s="28"/>
      <c r="T183" s="28"/>
      <c r="U183" s="28"/>
      <c r="V183" s="28"/>
      <c r="W183" s="28"/>
      <c r="X183" s="28"/>
      <c r="Y183" s="28"/>
      <c r="Z183" s="28"/>
    </row>
    <row r="184" spans="1:26" ht="15.75" customHeight="1" x14ac:dyDescent="0.25">
      <c r="A184" s="9" t="s">
        <v>32</v>
      </c>
      <c r="B184" s="300"/>
      <c r="C184" s="47">
        <v>96.744</v>
      </c>
      <c r="D184" s="47">
        <v>100</v>
      </c>
      <c r="E184" s="47">
        <v>106</v>
      </c>
      <c r="F184" s="28"/>
      <c r="G184" s="13" t="s">
        <v>27</v>
      </c>
      <c r="H184" s="20">
        <v>769</v>
      </c>
      <c r="I184" s="17" t="s">
        <v>225</v>
      </c>
      <c r="J184" s="13" t="s">
        <v>27</v>
      </c>
      <c r="K184" s="20">
        <v>790</v>
      </c>
      <c r="L184" s="17" t="s">
        <v>226</v>
      </c>
      <c r="M184" s="28"/>
      <c r="N184" s="28"/>
      <c r="O184" s="28"/>
      <c r="P184" s="28"/>
      <c r="Q184" s="28"/>
      <c r="R184" s="28"/>
      <c r="S184" s="28"/>
      <c r="T184" s="28"/>
      <c r="U184" s="28"/>
      <c r="V184" s="28"/>
      <c r="W184" s="28"/>
      <c r="X184" s="28"/>
      <c r="Y184" s="28"/>
      <c r="Z184" s="28"/>
    </row>
    <row r="185" spans="1:26" ht="15.75" customHeight="1" x14ac:dyDescent="0.25">
      <c r="A185" s="49" t="s">
        <v>33</v>
      </c>
      <c r="B185" s="300"/>
      <c r="C185" s="50">
        <v>128.11000000000001</v>
      </c>
      <c r="D185" s="50">
        <v>132</v>
      </c>
      <c r="E185" s="50">
        <v>140</v>
      </c>
      <c r="F185" s="28"/>
      <c r="G185" s="13" t="s">
        <v>121</v>
      </c>
      <c r="H185" s="20">
        <v>826</v>
      </c>
      <c r="I185" s="17" t="s">
        <v>227</v>
      </c>
      <c r="J185" s="13" t="s">
        <v>121</v>
      </c>
      <c r="K185" s="20">
        <v>789</v>
      </c>
      <c r="L185" s="17" t="s">
        <v>228</v>
      </c>
      <c r="M185" s="28"/>
      <c r="N185" s="28"/>
      <c r="O185" s="28"/>
      <c r="P185" s="28"/>
      <c r="Q185" s="28"/>
      <c r="R185" s="28"/>
      <c r="S185" s="28"/>
      <c r="T185" s="28"/>
      <c r="U185" s="28"/>
      <c r="V185" s="28"/>
      <c r="W185" s="28"/>
      <c r="X185" s="28"/>
      <c r="Y185" s="28"/>
      <c r="Z185" s="28"/>
    </row>
    <row r="186" spans="1:26" ht="15.75" customHeight="1" x14ac:dyDescent="0.25">
      <c r="A186" s="41"/>
      <c r="B186" s="42"/>
      <c r="C186" s="69"/>
      <c r="D186" s="71"/>
      <c r="E186" s="71"/>
      <c r="F186" s="28"/>
      <c r="G186" s="28"/>
      <c r="H186" s="3"/>
      <c r="I186" s="28"/>
      <c r="J186" s="28"/>
      <c r="K186" s="28"/>
      <c r="L186" s="28"/>
      <c r="M186" s="28"/>
      <c r="N186" s="28"/>
      <c r="O186" s="28"/>
      <c r="P186" s="28"/>
      <c r="Q186" s="28"/>
      <c r="R186" s="28"/>
      <c r="S186" s="28"/>
      <c r="T186" s="28"/>
      <c r="U186" s="28"/>
      <c r="V186" s="28"/>
      <c r="W186" s="28"/>
      <c r="X186" s="28"/>
      <c r="Y186" s="28"/>
      <c r="Z186" s="28"/>
    </row>
    <row r="187" spans="1:26" ht="15.75" customHeight="1" x14ac:dyDescent="0.25">
      <c r="A187" s="9" t="s">
        <v>35</v>
      </c>
      <c r="B187" s="299" t="s">
        <v>36</v>
      </c>
      <c r="C187" s="47">
        <v>207.78</v>
      </c>
      <c r="D187" s="47">
        <v>75</v>
      </c>
      <c r="E187" s="47">
        <v>251</v>
      </c>
      <c r="F187" s="28"/>
      <c r="G187" s="28"/>
      <c r="H187" s="3">
        <v>695</v>
      </c>
      <c r="I187" s="28"/>
      <c r="J187" s="28"/>
      <c r="K187" s="28"/>
      <c r="L187" s="28"/>
      <c r="M187" s="28"/>
      <c r="N187" s="28"/>
      <c r="O187" s="28"/>
      <c r="P187" s="28"/>
      <c r="Q187" s="28"/>
      <c r="R187" s="28"/>
      <c r="S187" s="28"/>
      <c r="T187" s="28"/>
      <c r="U187" s="28"/>
      <c r="V187" s="28"/>
      <c r="W187" s="28"/>
      <c r="X187" s="28"/>
      <c r="Y187" s="28"/>
      <c r="Z187" s="28"/>
    </row>
    <row r="188" spans="1:26" ht="15.75" customHeight="1" x14ac:dyDescent="0.25">
      <c r="A188" s="9" t="s">
        <v>37</v>
      </c>
      <c r="B188" s="300"/>
      <c r="C188" s="47">
        <v>444.11</v>
      </c>
      <c r="D188" s="47">
        <v>464</v>
      </c>
      <c r="E188" s="47">
        <v>492</v>
      </c>
      <c r="F188" s="28"/>
      <c r="G188" s="28"/>
      <c r="H188" s="3"/>
      <c r="I188" s="28"/>
      <c r="J188" s="28"/>
      <c r="K188" s="28"/>
      <c r="L188" s="28"/>
      <c r="M188" s="28"/>
      <c r="N188" s="28"/>
      <c r="O188" s="28"/>
      <c r="P188" s="28"/>
      <c r="Q188" s="28"/>
      <c r="R188" s="28"/>
      <c r="S188" s="28"/>
      <c r="T188" s="28"/>
      <c r="U188" s="28"/>
      <c r="V188" s="28"/>
      <c r="W188" s="28"/>
      <c r="X188" s="28"/>
      <c r="Y188" s="28"/>
      <c r="Z188" s="28"/>
    </row>
    <row r="189" spans="1:26" ht="15.75" customHeight="1" x14ac:dyDescent="0.25">
      <c r="A189" s="9" t="s">
        <v>38</v>
      </c>
      <c r="B189" s="300"/>
      <c r="C189" s="47">
        <v>579.55999999999995</v>
      </c>
      <c r="D189" s="47">
        <v>564</v>
      </c>
      <c r="E189" s="47">
        <v>590</v>
      </c>
      <c r="F189" s="28"/>
      <c r="G189" s="28"/>
      <c r="H189" s="3"/>
      <c r="I189" s="28"/>
      <c r="J189" s="28"/>
      <c r="K189" s="28"/>
      <c r="L189" s="28"/>
      <c r="M189" s="28"/>
      <c r="N189" s="28"/>
      <c r="O189" s="28"/>
      <c r="P189" s="28"/>
      <c r="Q189" s="28"/>
      <c r="R189" s="28"/>
      <c r="S189" s="28"/>
      <c r="T189" s="28"/>
      <c r="U189" s="28"/>
      <c r="V189" s="28"/>
      <c r="W189" s="28"/>
      <c r="X189" s="28"/>
      <c r="Y189" s="28"/>
      <c r="Z189" s="28"/>
    </row>
    <row r="190" spans="1:26" ht="15.75" customHeight="1" x14ac:dyDescent="0.25">
      <c r="A190" s="9" t="s">
        <v>39</v>
      </c>
      <c r="B190" s="300"/>
      <c r="C190" s="47">
        <v>746.22</v>
      </c>
      <c r="D190" s="47">
        <v>778</v>
      </c>
      <c r="E190" s="47">
        <v>841</v>
      </c>
      <c r="F190" s="28"/>
      <c r="G190" s="28"/>
      <c r="H190" s="3"/>
      <c r="I190" s="28"/>
      <c r="J190" s="28"/>
      <c r="K190" s="28"/>
      <c r="L190" s="28"/>
      <c r="M190" s="28"/>
      <c r="N190" s="28"/>
      <c r="O190" s="28"/>
      <c r="P190" s="28"/>
      <c r="Q190" s="28"/>
      <c r="R190" s="28"/>
      <c r="S190" s="28"/>
      <c r="T190" s="28"/>
      <c r="U190" s="28"/>
      <c r="V190" s="28"/>
      <c r="W190" s="28"/>
      <c r="X190" s="28"/>
      <c r="Y190" s="28"/>
      <c r="Z190" s="28"/>
    </row>
    <row r="191" spans="1:26" ht="15.75" customHeight="1" x14ac:dyDescent="0.25">
      <c r="A191" s="49" t="s">
        <v>41</v>
      </c>
      <c r="B191" s="300"/>
      <c r="C191" s="50">
        <v>869.5</v>
      </c>
      <c r="D191" s="50">
        <v>857</v>
      </c>
      <c r="E191" s="50">
        <v>913</v>
      </c>
      <c r="F191" s="28"/>
      <c r="G191" s="28"/>
      <c r="H191" s="3"/>
      <c r="I191" s="28"/>
      <c r="J191" s="28"/>
      <c r="K191" s="28"/>
      <c r="L191" s="28"/>
      <c r="M191" s="28"/>
      <c r="N191" s="28"/>
      <c r="O191" s="28"/>
      <c r="P191" s="28"/>
      <c r="Q191" s="28"/>
      <c r="R191" s="28"/>
      <c r="S191" s="28"/>
      <c r="T191" s="28"/>
      <c r="U191" s="28"/>
      <c r="V191" s="28"/>
      <c r="W191" s="28"/>
      <c r="X191" s="28"/>
      <c r="Y191" s="28"/>
      <c r="Z191" s="28"/>
    </row>
    <row r="192" spans="1:26" ht="15.75" customHeight="1" x14ac:dyDescent="0.25">
      <c r="A192" s="79"/>
      <c r="B192" s="81"/>
      <c r="C192" s="83"/>
      <c r="D192" s="85"/>
      <c r="E192" s="85"/>
      <c r="F192" s="28"/>
      <c r="G192" s="28"/>
      <c r="H192" s="3"/>
      <c r="I192" s="28"/>
      <c r="J192" s="28"/>
      <c r="K192" s="28"/>
      <c r="L192" s="28"/>
      <c r="M192" s="28"/>
      <c r="N192" s="28"/>
      <c r="O192" s="28"/>
      <c r="P192" s="28"/>
      <c r="Q192" s="28"/>
      <c r="R192" s="28"/>
      <c r="S192" s="28"/>
      <c r="T192" s="28"/>
      <c r="U192" s="28"/>
      <c r="V192" s="28"/>
      <c r="W192" s="28"/>
      <c r="X192" s="28"/>
      <c r="Y192" s="28"/>
      <c r="Z192" s="28"/>
    </row>
    <row r="193" spans="1:26" ht="15.75" customHeight="1" x14ac:dyDescent="0.25">
      <c r="A193" s="9" t="s">
        <v>46</v>
      </c>
      <c r="B193" s="299" t="s">
        <v>47</v>
      </c>
      <c r="C193" s="47">
        <v>88.4</v>
      </c>
      <c r="D193" s="47">
        <v>101</v>
      </c>
      <c r="E193" s="47">
        <v>120</v>
      </c>
      <c r="F193" s="28"/>
      <c r="G193" s="28"/>
      <c r="H193" s="3"/>
      <c r="I193" s="28"/>
      <c r="J193" s="28"/>
      <c r="K193" s="28"/>
      <c r="L193" s="28"/>
      <c r="M193" s="28"/>
      <c r="N193" s="28"/>
      <c r="O193" s="28"/>
      <c r="P193" s="28"/>
      <c r="Q193" s="28"/>
      <c r="R193" s="28"/>
      <c r="S193" s="28"/>
      <c r="T193" s="28"/>
      <c r="U193" s="28"/>
      <c r="V193" s="28"/>
      <c r="W193" s="28"/>
      <c r="X193" s="28"/>
      <c r="Y193" s="28"/>
      <c r="Z193" s="28"/>
    </row>
    <row r="194" spans="1:26" ht="15.75" customHeight="1" x14ac:dyDescent="0.25">
      <c r="A194" s="49" t="s">
        <v>48</v>
      </c>
      <c r="B194" s="300"/>
      <c r="C194" s="50">
        <v>94.6</v>
      </c>
      <c r="D194" s="50">
        <v>107</v>
      </c>
      <c r="E194" s="50">
        <v>128</v>
      </c>
      <c r="F194" s="28"/>
      <c r="G194" s="28"/>
      <c r="H194" s="3"/>
      <c r="I194" s="28"/>
      <c r="J194" s="28"/>
      <c r="K194" s="28"/>
      <c r="L194" s="28"/>
      <c r="M194" s="28"/>
      <c r="N194" s="28"/>
      <c r="O194" s="28"/>
      <c r="P194" s="28"/>
      <c r="Q194" s="28"/>
      <c r="R194" s="28"/>
      <c r="S194" s="28"/>
      <c r="T194" s="28"/>
      <c r="U194" s="28"/>
      <c r="V194" s="28"/>
      <c r="W194" s="28"/>
      <c r="X194" s="28"/>
      <c r="Y194" s="28"/>
      <c r="Z194" s="28"/>
    </row>
    <row r="195" spans="1:26" ht="15.75" customHeight="1" x14ac:dyDescent="0.25">
      <c r="A195" s="41"/>
      <c r="B195" s="42"/>
      <c r="C195" s="69"/>
      <c r="D195" s="71"/>
      <c r="E195" s="71"/>
      <c r="F195" s="28"/>
      <c r="G195" s="28"/>
      <c r="H195" s="3"/>
      <c r="I195" s="28"/>
      <c r="J195" s="28"/>
      <c r="K195" s="28"/>
      <c r="L195" s="28"/>
      <c r="M195" s="28"/>
      <c r="N195" s="28"/>
      <c r="O195" s="28"/>
      <c r="P195" s="28"/>
      <c r="Q195" s="28"/>
      <c r="R195" s="28"/>
      <c r="S195" s="28"/>
      <c r="T195" s="28"/>
      <c r="U195" s="28"/>
      <c r="V195" s="28"/>
      <c r="W195" s="28"/>
      <c r="X195" s="28"/>
      <c r="Y195" s="28"/>
      <c r="Z195" s="28"/>
    </row>
    <row r="196" spans="1:26" ht="15.75" customHeight="1" x14ac:dyDescent="0.25">
      <c r="A196" s="9" t="s">
        <v>50</v>
      </c>
      <c r="B196" s="299" t="s">
        <v>51</v>
      </c>
      <c r="C196" s="47">
        <v>271.44</v>
      </c>
      <c r="D196" s="47">
        <v>265</v>
      </c>
      <c r="E196" s="47">
        <v>335</v>
      </c>
      <c r="F196" s="28"/>
      <c r="G196" s="28"/>
      <c r="H196" s="3"/>
      <c r="I196" s="28"/>
      <c r="J196" s="28"/>
      <c r="K196" s="28"/>
      <c r="L196" s="28"/>
      <c r="M196" s="28"/>
      <c r="N196" s="28"/>
      <c r="O196" s="28"/>
      <c r="P196" s="28"/>
      <c r="Q196" s="28"/>
      <c r="R196" s="28"/>
      <c r="S196" s="28"/>
      <c r="T196" s="28"/>
      <c r="U196" s="28"/>
      <c r="V196" s="28"/>
      <c r="W196" s="28"/>
      <c r="X196" s="28"/>
      <c r="Y196" s="28"/>
      <c r="Z196" s="28"/>
    </row>
    <row r="197" spans="1:26" ht="15.75" customHeight="1" x14ac:dyDescent="0.25">
      <c r="A197" s="9" t="s">
        <v>54</v>
      </c>
      <c r="B197" s="300"/>
      <c r="C197" s="47">
        <v>550.22199999999998</v>
      </c>
      <c r="D197" s="47">
        <v>305</v>
      </c>
      <c r="E197" s="47">
        <v>364</v>
      </c>
      <c r="F197" s="28"/>
      <c r="G197" s="28"/>
      <c r="H197" s="3"/>
      <c r="I197" s="28"/>
      <c r="J197" s="28"/>
      <c r="K197" s="28"/>
      <c r="L197" s="28"/>
      <c r="M197" s="28"/>
      <c r="N197" s="28"/>
      <c r="O197" s="28"/>
      <c r="P197" s="28"/>
      <c r="Q197" s="28"/>
      <c r="R197" s="28"/>
      <c r="S197" s="28"/>
      <c r="T197" s="28"/>
      <c r="U197" s="28"/>
      <c r="V197" s="28"/>
      <c r="W197" s="28"/>
      <c r="X197" s="28"/>
      <c r="Y197" s="28"/>
      <c r="Z197" s="28"/>
    </row>
    <row r="198" spans="1:26" ht="15.75" customHeight="1" x14ac:dyDescent="0.25">
      <c r="A198" s="9" t="s">
        <v>55</v>
      </c>
      <c r="B198" s="300"/>
      <c r="C198" s="47">
        <v>609</v>
      </c>
      <c r="D198" s="47">
        <v>515</v>
      </c>
      <c r="E198" s="47">
        <v>665</v>
      </c>
      <c r="F198" s="28"/>
      <c r="G198" s="28"/>
      <c r="H198" s="3"/>
      <c r="I198" s="28"/>
      <c r="J198" s="28"/>
      <c r="K198" s="28"/>
      <c r="L198" s="28"/>
      <c r="M198" s="28"/>
      <c r="N198" s="28"/>
      <c r="O198" s="28"/>
      <c r="P198" s="28"/>
      <c r="Q198" s="28"/>
      <c r="R198" s="28"/>
      <c r="S198" s="28"/>
      <c r="T198" s="28"/>
      <c r="U198" s="28"/>
      <c r="V198" s="28"/>
      <c r="W198" s="28"/>
      <c r="X198" s="28"/>
      <c r="Y198" s="28"/>
      <c r="Z198" s="28"/>
    </row>
    <row r="199" spans="1:26" ht="15.75" customHeight="1" x14ac:dyDescent="0.25">
      <c r="A199" s="9" t="s">
        <v>56</v>
      </c>
      <c r="B199" s="300"/>
      <c r="C199" s="47">
        <v>768.33333333333337</v>
      </c>
      <c r="D199" s="47">
        <v>779</v>
      </c>
      <c r="E199" s="47">
        <v>869</v>
      </c>
      <c r="F199" s="28"/>
      <c r="G199" s="28"/>
      <c r="H199" s="3"/>
      <c r="I199" s="28"/>
      <c r="J199" s="28"/>
      <c r="K199" s="28"/>
      <c r="L199" s="28"/>
      <c r="M199" s="28"/>
      <c r="N199" s="28"/>
      <c r="O199" s="28"/>
      <c r="P199" s="28"/>
      <c r="Q199" s="28"/>
      <c r="R199" s="28"/>
      <c r="S199" s="28"/>
      <c r="T199" s="28"/>
      <c r="U199" s="28"/>
      <c r="V199" s="28"/>
      <c r="W199" s="28"/>
      <c r="X199" s="28"/>
      <c r="Y199" s="28"/>
      <c r="Z199" s="28"/>
    </row>
    <row r="200" spans="1:26" ht="15.75" customHeight="1" x14ac:dyDescent="0.25">
      <c r="A200" s="49" t="s">
        <v>57</v>
      </c>
      <c r="B200" s="300"/>
      <c r="C200" s="50">
        <v>746</v>
      </c>
      <c r="D200" s="50">
        <v>486</v>
      </c>
      <c r="E200" s="50">
        <v>535</v>
      </c>
      <c r="F200" s="28"/>
      <c r="G200" s="28"/>
      <c r="H200" s="3"/>
      <c r="I200" s="28"/>
      <c r="J200" s="28"/>
      <c r="K200" s="28"/>
      <c r="L200" s="28"/>
      <c r="M200" s="28"/>
      <c r="N200" s="28"/>
      <c r="O200" s="28"/>
      <c r="P200" s="28"/>
      <c r="Q200" s="28"/>
      <c r="R200" s="28"/>
      <c r="S200" s="28"/>
      <c r="T200" s="28"/>
      <c r="U200" s="28"/>
      <c r="V200" s="28"/>
      <c r="W200" s="28"/>
      <c r="X200" s="28"/>
      <c r="Y200" s="28"/>
      <c r="Z200" s="28"/>
    </row>
    <row r="201" spans="1:26" ht="15.75" customHeight="1" x14ac:dyDescent="0.25">
      <c r="A201" s="79"/>
      <c r="B201" s="81"/>
      <c r="C201" s="83"/>
      <c r="D201" s="85"/>
      <c r="E201" s="85"/>
      <c r="F201" s="28"/>
      <c r="G201" s="28"/>
      <c r="H201" s="3"/>
      <c r="I201" s="28"/>
      <c r="J201" s="28"/>
      <c r="K201" s="28"/>
      <c r="L201" s="28"/>
      <c r="M201" s="28"/>
      <c r="N201" s="28"/>
      <c r="O201" s="28"/>
      <c r="P201" s="28"/>
      <c r="Q201" s="28"/>
      <c r="R201" s="28"/>
      <c r="S201" s="28"/>
      <c r="T201" s="28"/>
      <c r="U201" s="28"/>
      <c r="V201" s="28"/>
      <c r="W201" s="28"/>
      <c r="X201" s="28"/>
      <c r="Y201" s="28"/>
      <c r="Z201" s="28"/>
    </row>
    <row r="202" spans="1:26" ht="15.75" customHeight="1" x14ac:dyDescent="0.25">
      <c r="A202" s="9" t="s">
        <v>60</v>
      </c>
      <c r="B202" s="299" t="s">
        <v>62</v>
      </c>
      <c r="C202" s="47">
        <v>19.741666666666667</v>
      </c>
      <c r="D202" s="88">
        <v>21</v>
      </c>
      <c r="E202" s="88">
        <v>24</v>
      </c>
      <c r="F202" s="28"/>
      <c r="G202" s="28"/>
      <c r="H202" s="3"/>
      <c r="I202" s="28"/>
      <c r="J202" s="28"/>
      <c r="K202" s="28"/>
      <c r="L202" s="28"/>
      <c r="M202" s="28"/>
      <c r="N202" s="28"/>
      <c r="O202" s="28"/>
      <c r="P202" s="28"/>
      <c r="Q202" s="28"/>
      <c r="R202" s="28"/>
      <c r="S202" s="28"/>
      <c r="T202" s="28"/>
      <c r="U202" s="28"/>
      <c r="V202" s="28"/>
      <c r="W202" s="28"/>
      <c r="X202" s="28"/>
      <c r="Y202" s="28"/>
      <c r="Z202" s="28"/>
    </row>
    <row r="203" spans="1:26" ht="15.75" customHeight="1" x14ac:dyDescent="0.25">
      <c r="A203" s="9" t="s">
        <v>65</v>
      </c>
      <c r="B203" s="300"/>
      <c r="C203" s="47">
        <v>42</v>
      </c>
      <c r="D203" s="54">
        <v>26</v>
      </c>
      <c r="E203" s="54">
        <v>31</v>
      </c>
      <c r="F203" s="28"/>
      <c r="G203" s="28"/>
      <c r="H203" s="3"/>
      <c r="I203" s="28"/>
      <c r="J203" s="28"/>
      <c r="K203" s="28"/>
      <c r="L203" s="28"/>
      <c r="M203" s="28"/>
      <c r="N203" s="28"/>
      <c r="O203" s="28"/>
      <c r="P203" s="28"/>
      <c r="Q203" s="28"/>
      <c r="R203" s="28"/>
      <c r="S203" s="28"/>
      <c r="T203" s="28"/>
      <c r="U203" s="28"/>
      <c r="V203" s="28"/>
      <c r="W203" s="28"/>
      <c r="X203" s="28"/>
      <c r="Y203" s="28"/>
      <c r="Z203" s="28"/>
    </row>
    <row r="204" spans="1:26" ht="15.75" customHeight="1" x14ac:dyDescent="0.25">
      <c r="A204" s="9" t="s">
        <v>64</v>
      </c>
      <c r="B204" s="301"/>
      <c r="C204" s="47">
        <v>42</v>
      </c>
      <c r="D204" s="55">
        <v>35</v>
      </c>
      <c r="E204" s="55">
        <v>41</v>
      </c>
      <c r="F204" s="28"/>
      <c r="G204" s="28"/>
      <c r="H204" s="3"/>
      <c r="I204" s="28"/>
      <c r="J204" s="28"/>
      <c r="K204" s="28"/>
      <c r="L204" s="28"/>
      <c r="M204" s="28"/>
      <c r="N204" s="28"/>
      <c r="O204" s="28"/>
      <c r="P204" s="28"/>
      <c r="Q204" s="28"/>
      <c r="R204" s="28"/>
      <c r="S204" s="28"/>
      <c r="T204" s="28"/>
      <c r="U204" s="28"/>
      <c r="V204" s="28"/>
      <c r="W204" s="28"/>
      <c r="X204" s="28"/>
      <c r="Y204" s="28"/>
      <c r="Z204" s="28"/>
    </row>
    <row r="205" spans="1:26" ht="15.75" customHeight="1" x14ac:dyDescent="0.25">
      <c r="A205" s="41"/>
      <c r="B205" s="42"/>
      <c r="C205" s="69"/>
      <c r="D205" s="47"/>
      <c r="E205" s="47"/>
      <c r="F205" s="28"/>
      <c r="G205" s="28"/>
      <c r="H205" s="3"/>
      <c r="I205" s="28"/>
      <c r="J205" s="28"/>
      <c r="K205" s="28"/>
      <c r="L205" s="28"/>
      <c r="M205" s="28"/>
      <c r="N205" s="28"/>
      <c r="O205" s="28"/>
      <c r="P205" s="28"/>
      <c r="Q205" s="28"/>
      <c r="R205" s="28"/>
      <c r="S205" s="28"/>
      <c r="T205" s="28"/>
      <c r="U205" s="28"/>
      <c r="V205" s="28"/>
      <c r="W205" s="28"/>
      <c r="X205" s="28"/>
      <c r="Y205" s="28"/>
      <c r="Z205" s="28"/>
    </row>
    <row r="206" spans="1:26" ht="15.75" customHeight="1" x14ac:dyDescent="0.25">
      <c r="A206" s="9" t="s">
        <v>66</v>
      </c>
      <c r="B206" s="302" t="s">
        <v>68</v>
      </c>
      <c r="C206" s="47">
        <v>204.5</v>
      </c>
      <c r="D206" s="47">
        <v>210</v>
      </c>
      <c r="E206" s="47">
        <v>237</v>
      </c>
      <c r="F206" s="28"/>
      <c r="G206" s="28"/>
      <c r="H206" s="3"/>
      <c r="I206" s="28"/>
      <c r="J206" s="28"/>
      <c r="K206" s="28"/>
      <c r="L206" s="28"/>
      <c r="M206" s="28"/>
      <c r="N206" s="28"/>
      <c r="O206" s="28"/>
      <c r="P206" s="28"/>
      <c r="Q206" s="28"/>
      <c r="R206" s="28"/>
      <c r="S206" s="28"/>
      <c r="T206" s="28"/>
      <c r="U206" s="28"/>
      <c r="V206" s="28"/>
      <c r="W206" s="28"/>
      <c r="X206" s="28"/>
      <c r="Y206" s="28"/>
      <c r="Z206" s="28"/>
    </row>
    <row r="207" spans="1:26" ht="15.75" customHeight="1" x14ac:dyDescent="0.25">
      <c r="A207" s="49" t="s">
        <v>69</v>
      </c>
      <c r="B207" s="300"/>
      <c r="C207" s="50">
        <v>277.7</v>
      </c>
      <c r="D207" s="50">
        <v>294</v>
      </c>
      <c r="E207" s="50">
        <v>322</v>
      </c>
      <c r="F207" s="28"/>
      <c r="G207" s="28"/>
      <c r="H207" s="3"/>
      <c r="I207" s="28"/>
      <c r="J207" s="28"/>
      <c r="K207" s="28"/>
      <c r="L207" s="28"/>
      <c r="M207" s="28"/>
      <c r="N207" s="28"/>
      <c r="O207" s="28"/>
      <c r="P207" s="28"/>
      <c r="Q207" s="28"/>
      <c r="R207" s="28"/>
      <c r="S207" s="28"/>
      <c r="T207" s="28"/>
      <c r="U207" s="28"/>
      <c r="V207" s="28"/>
      <c r="W207" s="28"/>
      <c r="X207" s="28"/>
      <c r="Y207" s="28"/>
      <c r="Z207" s="28"/>
    </row>
    <row r="208" spans="1:26" ht="15.75" customHeight="1" x14ac:dyDescent="0.25">
      <c r="A208" s="44"/>
      <c r="B208" s="46"/>
      <c r="C208" s="83"/>
      <c r="D208" s="85"/>
      <c r="E208" s="85"/>
      <c r="F208" s="28"/>
      <c r="G208" s="28"/>
      <c r="H208" s="3"/>
      <c r="I208" s="28"/>
      <c r="J208" s="28"/>
      <c r="K208" s="28"/>
      <c r="L208" s="28"/>
      <c r="M208" s="28"/>
      <c r="N208" s="28"/>
      <c r="O208" s="28"/>
      <c r="P208" s="28"/>
      <c r="Q208" s="28"/>
      <c r="R208" s="28"/>
      <c r="S208" s="28"/>
      <c r="T208" s="28"/>
      <c r="U208" s="28"/>
      <c r="V208" s="28"/>
      <c r="W208" s="28"/>
      <c r="X208" s="28"/>
      <c r="Y208" s="28"/>
      <c r="Z208" s="28"/>
    </row>
    <row r="209" spans="1:26" ht="15.75" customHeight="1" x14ac:dyDescent="0.25">
      <c r="A209" s="56" t="s">
        <v>69</v>
      </c>
      <c r="B209" s="303" t="s">
        <v>71</v>
      </c>
      <c r="C209" s="47">
        <v>12</v>
      </c>
      <c r="D209" s="47">
        <v>16</v>
      </c>
      <c r="E209" s="47">
        <v>20</v>
      </c>
      <c r="F209" s="28"/>
      <c r="G209" s="28"/>
      <c r="H209" s="3"/>
      <c r="I209" s="28"/>
      <c r="J209" s="28"/>
      <c r="K209" s="28"/>
      <c r="L209" s="28"/>
      <c r="M209" s="28"/>
      <c r="N209" s="28"/>
      <c r="O209" s="28"/>
      <c r="P209" s="28"/>
      <c r="Q209" s="28"/>
      <c r="R209" s="28"/>
      <c r="S209" s="28"/>
      <c r="T209" s="28"/>
      <c r="U209" s="28"/>
      <c r="V209" s="28"/>
      <c r="W209" s="28"/>
      <c r="X209" s="28"/>
      <c r="Y209" s="28"/>
      <c r="Z209" s="28"/>
    </row>
    <row r="210" spans="1:26" ht="15.75" customHeight="1" x14ac:dyDescent="0.25">
      <c r="A210" s="56" t="s">
        <v>72</v>
      </c>
      <c r="B210" s="300"/>
      <c r="C210" s="47">
        <v>14</v>
      </c>
      <c r="D210" s="47">
        <v>16</v>
      </c>
      <c r="E210" s="47">
        <v>21</v>
      </c>
      <c r="F210" s="28"/>
      <c r="G210" s="28"/>
      <c r="H210" s="3"/>
      <c r="I210" s="28"/>
      <c r="J210" s="28"/>
      <c r="K210" s="28"/>
      <c r="L210" s="28"/>
      <c r="M210" s="28"/>
      <c r="N210" s="28"/>
      <c r="O210" s="28"/>
      <c r="P210" s="28"/>
      <c r="Q210" s="28"/>
      <c r="R210" s="28"/>
      <c r="S210" s="28"/>
      <c r="T210" s="28"/>
      <c r="U210" s="28"/>
      <c r="V210" s="28"/>
      <c r="W210" s="28"/>
      <c r="X210" s="28"/>
      <c r="Y210" s="28"/>
      <c r="Z210" s="28"/>
    </row>
    <row r="211" spans="1:26" ht="15.75" customHeight="1" x14ac:dyDescent="0.25">
      <c r="A211" s="57" t="s">
        <v>73</v>
      </c>
      <c r="B211" s="300"/>
      <c r="C211" s="50">
        <v>17.43333333333333</v>
      </c>
      <c r="D211" s="50">
        <v>23</v>
      </c>
      <c r="E211" s="50">
        <v>29</v>
      </c>
      <c r="F211" s="28"/>
      <c r="G211" s="28"/>
      <c r="H211" s="3"/>
      <c r="I211" s="28"/>
      <c r="J211" s="28"/>
      <c r="K211" s="28"/>
      <c r="L211" s="28"/>
      <c r="M211" s="28"/>
      <c r="N211" s="28"/>
      <c r="O211" s="28"/>
      <c r="P211" s="28"/>
      <c r="Q211" s="28"/>
      <c r="R211" s="28"/>
      <c r="S211" s="28"/>
      <c r="T211" s="28"/>
      <c r="U211" s="28"/>
      <c r="V211" s="28"/>
      <c r="W211" s="28"/>
      <c r="X211" s="28"/>
      <c r="Y211" s="28"/>
      <c r="Z211" s="28"/>
    </row>
    <row r="212" spans="1:26" ht="15.75" customHeight="1" x14ac:dyDescent="0.25">
      <c r="A212" s="92"/>
      <c r="B212" s="69"/>
      <c r="C212" s="69"/>
      <c r="D212" s="71"/>
      <c r="E212" s="71"/>
      <c r="F212" s="28"/>
      <c r="G212" s="28"/>
      <c r="H212" s="3"/>
      <c r="I212" s="28"/>
      <c r="J212" s="28"/>
      <c r="K212" s="28"/>
      <c r="L212" s="28"/>
      <c r="M212" s="28"/>
      <c r="N212" s="28"/>
      <c r="O212" s="28"/>
      <c r="P212" s="28"/>
      <c r="Q212" s="28"/>
      <c r="R212" s="28"/>
      <c r="S212" s="28"/>
      <c r="T212" s="28"/>
      <c r="U212" s="28"/>
      <c r="V212" s="28"/>
      <c r="W212" s="28"/>
      <c r="X212" s="28"/>
      <c r="Y212" s="28"/>
      <c r="Z212" s="28"/>
    </row>
    <row r="213" spans="1:26" ht="15.75" customHeight="1" x14ac:dyDescent="0.25">
      <c r="A213" s="56" t="s">
        <v>80</v>
      </c>
      <c r="B213" s="303" t="s">
        <v>77</v>
      </c>
      <c r="C213" s="47">
        <v>117</v>
      </c>
      <c r="D213" s="47">
        <v>87</v>
      </c>
      <c r="E213" s="47">
        <v>101</v>
      </c>
      <c r="F213" s="28"/>
      <c r="G213" s="28"/>
      <c r="H213" s="3"/>
      <c r="I213" s="28"/>
      <c r="J213" s="28"/>
      <c r="K213" s="28"/>
      <c r="L213" s="28"/>
      <c r="M213" s="28"/>
      <c r="N213" s="28"/>
      <c r="O213" s="28"/>
      <c r="P213" s="28"/>
      <c r="Q213" s="28"/>
      <c r="R213" s="28"/>
      <c r="S213" s="28"/>
      <c r="T213" s="28"/>
      <c r="U213" s="28"/>
      <c r="V213" s="28"/>
      <c r="W213" s="28"/>
      <c r="X213" s="28"/>
      <c r="Y213" s="28"/>
      <c r="Z213" s="28"/>
    </row>
    <row r="214" spans="1:26" ht="15.75" customHeight="1" x14ac:dyDescent="0.25">
      <c r="A214" s="56" t="s">
        <v>78</v>
      </c>
      <c r="B214" s="300"/>
      <c r="C214" s="47">
        <v>188</v>
      </c>
      <c r="D214" s="47">
        <v>124</v>
      </c>
      <c r="E214" s="47">
        <v>133</v>
      </c>
      <c r="F214" s="28"/>
      <c r="G214" s="28"/>
      <c r="H214" s="3"/>
      <c r="I214" s="28"/>
      <c r="J214" s="28"/>
      <c r="K214" s="28"/>
      <c r="L214" s="28"/>
      <c r="M214" s="28"/>
      <c r="N214" s="28"/>
      <c r="O214" s="28"/>
      <c r="P214" s="28"/>
      <c r="Q214" s="28"/>
      <c r="R214" s="28"/>
      <c r="S214" s="28"/>
      <c r="T214" s="28"/>
      <c r="U214" s="28"/>
      <c r="V214" s="28"/>
      <c r="W214" s="28"/>
      <c r="X214" s="28"/>
      <c r="Y214" s="28"/>
      <c r="Z214" s="28"/>
    </row>
    <row r="215" spans="1:26" ht="15.75" customHeight="1" x14ac:dyDescent="0.25">
      <c r="A215" s="56" t="s">
        <v>76</v>
      </c>
      <c r="B215" s="300"/>
      <c r="C215" s="47">
        <v>218</v>
      </c>
      <c r="D215" s="47">
        <v>168</v>
      </c>
      <c r="E215" s="47">
        <v>184</v>
      </c>
      <c r="F215" s="28"/>
      <c r="G215" s="28"/>
      <c r="H215" s="3"/>
      <c r="I215" s="28"/>
      <c r="J215" s="28"/>
      <c r="K215" s="28"/>
      <c r="L215" s="28"/>
      <c r="M215" s="28"/>
      <c r="N215" s="28"/>
      <c r="O215" s="28"/>
      <c r="P215" s="28"/>
      <c r="Q215" s="28"/>
      <c r="R215" s="28"/>
      <c r="S215" s="28"/>
      <c r="T215" s="28"/>
      <c r="U215" s="28"/>
      <c r="V215" s="28"/>
      <c r="W215" s="28"/>
      <c r="X215" s="28"/>
      <c r="Y215" s="28"/>
      <c r="Z215" s="28"/>
    </row>
    <row r="216" spans="1:26" ht="15.75" customHeight="1" x14ac:dyDescent="0.25">
      <c r="A216" s="57" t="s">
        <v>79</v>
      </c>
      <c r="B216" s="300"/>
      <c r="C216" s="50">
        <v>239</v>
      </c>
      <c r="D216" s="50">
        <v>228</v>
      </c>
      <c r="E216" s="50">
        <v>248</v>
      </c>
      <c r="F216" s="28"/>
      <c r="G216" s="28"/>
      <c r="H216" s="3"/>
      <c r="I216" s="28"/>
      <c r="J216" s="28"/>
      <c r="K216" s="28"/>
      <c r="L216" s="28"/>
      <c r="M216" s="28"/>
      <c r="N216" s="28"/>
      <c r="O216" s="28"/>
      <c r="P216" s="28"/>
      <c r="Q216" s="28"/>
      <c r="R216" s="28"/>
      <c r="S216" s="28"/>
      <c r="T216" s="28"/>
      <c r="U216" s="28"/>
      <c r="V216" s="28"/>
      <c r="W216" s="28"/>
      <c r="X216" s="28"/>
      <c r="Y216" s="28"/>
      <c r="Z216" s="28"/>
    </row>
    <row r="217" spans="1:26" ht="15.75" customHeight="1" x14ac:dyDescent="0.25">
      <c r="A217" s="44"/>
      <c r="B217" s="46"/>
      <c r="C217" s="83"/>
      <c r="D217" s="85"/>
      <c r="E217" s="85"/>
      <c r="F217" s="28"/>
      <c r="G217" s="28"/>
      <c r="H217" s="3"/>
      <c r="I217" s="28"/>
      <c r="J217" s="28"/>
      <c r="K217" s="28"/>
      <c r="L217" s="28"/>
      <c r="M217" s="28"/>
      <c r="N217" s="28"/>
      <c r="O217" s="28"/>
      <c r="P217" s="28"/>
      <c r="Q217" s="28"/>
      <c r="R217" s="28"/>
      <c r="S217" s="28"/>
      <c r="T217" s="28"/>
      <c r="U217" s="28"/>
      <c r="V217" s="28"/>
      <c r="W217" s="28"/>
      <c r="X217" s="28"/>
      <c r="Y217" s="28"/>
      <c r="Z217" s="28"/>
    </row>
    <row r="218" spans="1:26" ht="15.75" customHeight="1" x14ac:dyDescent="0.25">
      <c r="A218" s="9" t="s">
        <v>81</v>
      </c>
      <c r="B218" s="299" t="s">
        <v>82</v>
      </c>
      <c r="C218" s="47">
        <v>2</v>
      </c>
      <c r="D218" s="47">
        <v>4</v>
      </c>
      <c r="E218" s="47">
        <v>5</v>
      </c>
      <c r="F218" s="28"/>
      <c r="G218" s="28"/>
      <c r="H218" s="3"/>
      <c r="I218" s="28"/>
      <c r="J218" s="28"/>
      <c r="K218" s="28"/>
      <c r="L218" s="28"/>
      <c r="M218" s="28"/>
      <c r="N218" s="28"/>
      <c r="O218" s="28"/>
      <c r="P218" s="28"/>
      <c r="Q218" s="28"/>
      <c r="R218" s="28"/>
      <c r="S218" s="28"/>
      <c r="T218" s="28"/>
      <c r="U218" s="28"/>
      <c r="V218" s="28"/>
      <c r="W218" s="28"/>
      <c r="X218" s="28"/>
      <c r="Y218" s="28"/>
      <c r="Z218" s="28"/>
    </row>
    <row r="219" spans="1:26" ht="15.75" customHeight="1" x14ac:dyDescent="0.25">
      <c r="A219" s="9" t="s">
        <v>83</v>
      </c>
      <c r="B219" s="300"/>
      <c r="C219" s="47">
        <v>7.133</v>
      </c>
      <c r="D219" s="47">
        <v>12</v>
      </c>
      <c r="E219" s="47">
        <v>13</v>
      </c>
      <c r="F219" s="28"/>
      <c r="G219" s="28"/>
      <c r="H219" s="3"/>
      <c r="I219" s="28"/>
      <c r="J219" s="28"/>
      <c r="K219" s="28"/>
      <c r="L219" s="28"/>
      <c r="M219" s="28"/>
      <c r="N219" s="28"/>
      <c r="O219" s="28"/>
      <c r="P219" s="28"/>
      <c r="Q219" s="28"/>
      <c r="R219" s="28"/>
      <c r="S219" s="28"/>
      <c r="T219" s="28"/>
      <c r="U219" s="28"/>
      <c r="V219" s="28"/>
      <c r="W219" s="28"/>
      <c r="X219" s="28"/>
      <c r="Y219" s="28"/>
      <c r="Z219" s="28"/>
    </row>
    <row r="220" spans="1:26" ht="15.75" customHeight="1" x14ac:dyDescent="0.25">
      <c r="A220" s="9" t="s">
        <v>155</v>
      </c>
      <c r="B220" s="301"/>
      <c r="C220" s="47">
        <v>3</v>
      </c>
      <c r="D220" s="47">
        <v>12</v>
      </c>
      <c r="E220" s="47">
        <v>13</v>
      </c>
      <c r="F220" s="28"/>
      <c r="G220" s="28"/>
      <c r="H220" s="3"/>
      <c r="I220" s="28"/>
      <c r="J220" s="28"/>
      <c r="K220" s="28"/>
      <c r="L220" s="28"/>
      <c r="M220" s="28"/>
      <c r="N220" s="28"/>
      <c r="O220" s="28"/>
      <c r="P220" s="28"/>
      <c r="Q220" s="28"/>
      <c r="R220" s="28"/>
      <c r="S220" s="28"/>
      <c r="T220" s="28"/>
      <c r="U220" s="28"/>
      <c r="V220" s="28"/>
      <c r="W220" s="28"/>
      <c r="X220" s="28"/>
      <c r="Y220" s="28"/>
      <c r="Z220" s="28"/>
    </row>
    <row r="221" spans="1:26" ht="15.75" customHeight="1" x14ac:dyDescent="0.25">
      <c r="A221" s="41"/>
      <c r="B221" s="42"/>
      <c r="C221" s="69"/>
      <c r="D221" s="98"/>
      <c r="E221" s="98"/>
      <c r="F221" s="28"/>
      <c r="G221" s="28"/>
      <c r="H221" s="3"/>
      <c r="I221" s="28"/>
      <c r="J221" s="28"/>
      <c r="K221" s="28"/>
      <c r="L221" s="28"/>
      <c r="M221" s="28"/>
      <c r="N221" s="28"/>
      <c r="O221" s="28"/>
      <c r="P221" s="28"/>
      <c r="Q221" s="28"/>
      <c r="R221" s="28"/>
      <c r="S221" s="28"/>
      <c r="T221" s="28"/>
      <c r="U221" s="28"/>
      <c r="V221" s="28"/>
      <c r="W221" s="28"/>
      <c r="X221" s="28"/>
      <c r="Y221" s="28"/>
      <c r="Z221" s="28"/>
    </row>
    <row r="222" spans="1:26" ht="15.75" customHeight="1" x14ac:dyDescent="0.25">
      <c r="A222" s="9" t="s">
        <v>86</v>
      </c>
      <c r="B222" s="302" t="s">
        <v>87</v>
      </c>
      <c r="C222" s="47">
        <v>19</v>
      </c>
      <c r="D222" s="47">
        <v>20</v>
      </c>
      <c r="E222" s="47">
        <v>21</v>
      </c>
      <c r="F222" s="28"/>
      <c r="G222" s="28"/>
      <c r="H222" s="3"/>
      <c r="I222" s="28"/>
      <c r="J222" s="28"/>
      <c r="K222" s="28"/>
      <c r="L222" s="28"/>
      <c r="M222" s="28"/>
      <c r="N222" s="28"/>
      <c r="O222" s="28"/>
      <c r="P222" s="28"/>
      <c r="Q222" s="28"/>
      <c r="R222" s="28"/>
      <c r="S222" s="28"/>
      <c r="T222" s="28"/>
      <c r="U222" s="28"/>
      <c r="V222" s="28"/>
      <c r="W222" s="28"/>
      <c r="X222" s="28"/>
      <c r="Y222" s="28"/>
      <c r="Z222" s="28"/>
    </row>
    <row r="223" spans="1:26" ht="15.75" customHeight="1" x14ac:dyDescent="0.25">
      <c r="A223" s="49" t="s">
        <v>88</v>
      </c>
      <c r="B223" s="300"/>
      <c r="C223" s="50">
        <v>20</v>
      </c>
      <c r="D223" s="50">
        <v>20</v>
      </c>
      <c r="E223" s="50">
        <v>21</v>
      </c>
      <c r="F223" s="28"/>
      <c r="G223" s="28"/>
      <c r="H223" s="3"/>
      <c r="I223" s="28"/>
      <c r="J223" s="28"/>
      <c r="K223" s="28"/>
      <c r="L223" s="28"/>
      <c r="M223" s="28"/>
      <c r="N223" s="28"/>
      <c r="O223" s="28"/>
      <c r="P223" s="28"/>
      <c r="Q223" s="28"/>
      <c r="R223" s="28"/>
      <c r="S223" s="28"/>
      <c r="T223" s="28"/>
      <c r="U223" s="28"/>
      <c r="V223" s="28"/>
      <c r="W223" s="28"/>
      <c r="X223" s="28"/>
      <c r="Y223" s="28"/>
      <c r="Z223" s="28"/>
    </row>
    <row r="224" spans="1:26" ht="15.75" customHeight="1" x14ac:dyDescent="0.25">
      <c r="A224" s="44"/>
      <c r="B224" s="46"/>
      <c r="C224" s="83"/>
      <c r="D224" s="85"/>
      <c r="E224" s="85"/>
      <c r="F224" s="28"/>
      <c r="G224" s="28"/>
      <c r="H224" s="3"/>
      <c r="I224" s="28"/>
      <c r="J224" s="28"/>
      <c r="K224" s="28"/>
      <c r="L224" s="28"/>
      <c r="M224" s="28"/>
      <c r="N224" s="28"/>
      <c r="O224" s="28"/>
      <c r="P224" s="28"/>
      <c r="Q224" s="28"/>
      <c r="R224" s="28"/>
      <c r="S224" s="28"/>
      <c r="T224" s="28"/>
      <c r="U224" s="28"/>
      <c r="V224" s="28"/>
      <c r="W224" s="28"/>
      <c r="X224" s="28"/>
      <c r="Y224" s="28"/>
      <c r="Z224" s="28"/>
    </row>
    <row r="225" spans="1:26" ht="15.75" customHeight="1" x14ac:dyDescent="0.25">
      <c r="A225" s="12" t="s">
        <v>89</v>
      </c>
      <c r="B225" s="302" t="s">
        <v>90</v>
      </c>
      <c r="C225" s="71">
        <v>6</v>
      </c>
      <c r="D225" s="71">
        <v>31</v>
      </c>
      <c r="E225" s="71">
        <v>34</v>
      </c>
      <c r="F225" s="28"/>
      <c r="G225" s="28"/>
      <c r="H225" s="3"/>
      <c r="I225" s="28"/>
      <c r="J225" s="28"/>
      <c r="K225" s="28"/>
      <c r="L225" s="28"/>
      <c r="M225" s="28"/>
      <c r="N225" s="28"/>
      <c r="O225" s="28"/>
      <c r="P225" s="28"/>
      <c r="Q225" s="28"/>
      <c r="R225" s="28"/>
      <c r="S225" s="28"/>
      <c r="T225" s="28"/>
      <c r="U225" s="28"/>
      <c r="V225" s="28"/>
      <c r="W225" s="28"/>
      <c r="X225" s="28"/>
      <c r="Y225" s="28"/>
      <c r="Z225" s="28"/>
    </row>
    <row r="226" spans="1:26" ht="15.75" customHeight="1" x14ac:dyDescent="0.25">
      <c r="A226" s="9" t="s">
        <v>91</v>
      </c>
      <c r="B226" s="300"/>
      <c r="C226" s="47">
        <v>17</v>
      </c>
      <c r="D226" s="47">
        <v>33</v>
      </c>
      <c r="E226" s="47">
        <v>33</v>
      </c>
      <c r="F226" s="28"/>
      <c r="G226" s="28"/>
      <c r="H226" s="3"/>
      <c r="I226" s="28"/>
      <c r="J226" s="28"/>
      <c r="K226" s="28"/>
      <c r="L226" s="28"/>
      <c r="M226" s="28"/>
      <c r="N226" s="28"/>
      <c r="O226" s="28"/>
      <c r="P226" s="28"/>
      <c r="Q226" s="28"/>
      <c r="R226" s="28"/>
      <c r="S226" s="28"/>
      <c r="T226" s="28"/>
      <c r="U226" s="28"/>
      <c r="V226" s="28"/>
      <c r="W226" s="28"/>
      <c r="X226" s="28"/>
      <c r="Y226" s="28"/>
      <c r="Z226" s="28"/>
    </row>
    <row r="227" spans="1:26" ht="15.75" customHeight="1" x14ac:dyDescent="0.25">
      <c r="A227" s="41"/>
      <c r="B227" s="42"/>
      <c r="C227" s="69"/>
      <c r="D227" s="98"/>
      <c r="E227" s="98"/>
      <c r="F227" s="28"/>
      <c r="G227" s="28"/>
      <c r="H227" s="3"/>
      <c r="I227" s="28"/>
      <c r="J227" s="28"/>
      <c r="K227" s="28"/>
      <c r="L227" s="28"/>
      <c r="M227" s="28"/>
      <c r="N227" s="28"/>
      <c r="O227" s="28"/>
      <c r="P227" s="28"/>
      <c r="Q227" s="28"/>
      <c r="R227" s="28"/>
      <c r="S227" s="28"/>
      <c r="T227" s="28"/>
      <c r="U227" s="28"/>
      <c r="V227" s="28"/>
      <c r="W227" s="28"/>
      <c r="X227" s="28"/>
      <c r="Y227" s="28"/>
      <c r="Z227" s="28"/>
    </row>
    <row r="228" spans="1:26" ht="15.75" customHeight="1" x14ac:dyDescent="0.25">
      <c r="A228" s="9" t="s">
        <v>94</v>
      </c>
      <c r="B228" s="299" t="s">
        <v>95</v>
      </c>
      <c r="C228" s="47">
        <v>49.666666666666664</v>
      </c>
      <c r="D228" s="47">
        <v>61</v>
      </c>
      <c r="E228" s="47">
        <v>69</v>
      </c>
      <c r="F228" s="28"/>
      <c r="G228" s="28"/>
      <c r="H228" s="3"/>
      <c r="I228" s="28"/>
      <c r="J228" s="28"/>
      <c r="K228" s="28"/>
      <c r="L228" s="28"/>
      <c r="M228" s="28"/>
      <c r="N228" s="28"/>
      <c r="O228" s="28"/>
      <c r="P228" s="28"/>
      <c r="Q228" s="28"/>
      <c r="R228" s="28"/>
      <c r="S228" s="28"/>
      <c r="T228" s="28"/>
      <c r="U228" s="28"/>
      <c r="V228" s="28"/>
      <c r="W228" s="28"/>
      <c r="X228" s="28"/>
      <c r="Y228" s="28"/>
      <c r="Z228" s="28"/>
    </row>
    <row r="229" spans="1:26" ht="15.75" customHeight="1" x14ac:dyDescent="0.25">
      <c r="A229" s="9" t="s">
        <v>96</v>
      </c>
      <c r="B229" s="300"/>
      <c r="C229" s="47">
        <v>122</v>
      </c>
      <c r="D229" s="47">
        <v>111</v>
      </c>
      <c r="E229" s="47">
        <v>127</v>
      </c>
      <c r="F229" s="28"/>
      <c r="G229" s="28"/>
      <c r="H229" s="3"/>
      <c r="I229" s="28"/>
      <c r="J229" s="28"/>
      <c r="K229" s="28"/>
      <c r="L229" s="28"/>
      <c r="M229" s="28"/>
      <c r="N229" s="28"/>
      <c r="O229" s="28"/>
      <c r="P229" s="28"/>
      <c r="Q229" s="28"/>
      <c r="R229" s="28"/>
      <c r="S229" s="28"/>
      <c r="T229" s="28"/>
      <c r="U229" s="28"/>
      <c r="V229" s="28"/>
      <c r="W229" s="28"/>
      <c r="X229" s="28"/>
      <c r="Y229" s="28"/>
      <c r="Z229" s="28"/>
    </row>
    <row r="230" spans="1:26" ht="15.75" customHeight="1" x14ac:dyDescent="0.25">
      <c r="A230" s="9" t="s">
        <v>97</v>
      </c>
      <c r="B230" s="300"/>
      <c r="C230" s="47">
        <v>142.33333333333334</v>
      </c>
      <c r="D230" s="47">
        <v>58</v>
      </c>
      <c r="E230" s="47">
        <v>72</v>
      </c>
      <c r="F230" s="28"/>
      <c r="G230" s="28"/>
      <c r="H230" s="3"/>
      <c r="I230" s="28"/>
      <c r="J230" s="28"/>
      <c r="K230" s="28"/>
      <c r="L230" s="28"/>
      <c r="M230" s="28"/>
      <c r="N230" s="28"/>
      <c r="O230" s="28"/>
      <c r="P230" s="28"/>
      <c r="Q230" s="28"/>
      <c r="R230" s="28"/>
      <c r="S230" s="28"/>
      <c r="T230" s="28"/>
      <c r="U230" s="28"/>
      <c r="V230" s="28"/>
      <c r="W230" s="28"/>
      <c r="X230" s="28"/>
      <c r="Y230" s="28"/>
      <c r="Z230" s="28"/>
    </row>
    <row r="231" spans="1:26" ht="15.75" customHeight="1" x14ac:dyDescent="0.25">
      <c r="A231" s="9" t="s">
        <v>98</v>
      </c>
      <c r="B231" s="300"/>
      <c r="C231" s="47">
        <v>130.33333333333334</v>
      </c>
      <c r="D231" s="47">
        <v>103</v>
      </c>
      <c r="E231" s="47">
        <v>154</v>
      </c>
      <c r="F231" s="28"/>
      <c r="G231" s="28"/>
      <c r="H231" s="3"/>
      <c r="I231" s="28"/>
      <c r="J231" s="28"/>
      <c r="K231" s="28"/>
      <c r="L231" s="28"/>
      <c r="M231" s="28"/>
      <c r="N231" s="28"/>
      <c r="O231" s="28"/>
      <c r="P231" s="28"/>
      <c r="Q231" s="28"/>
      <c r="R231" s="28"/>
      <c r="S231" s="28"/>
      <c r="T231" s="28"/>
      <c r="U231" s="28"/>
      <c r="V231" s="28"/>
      <c r="W231" s="28"/>
      <c r="X231" s="28"/>
      <c r="Y231" s="28"/>
      <c r="Z231" s="28"/>
    </row>
    <row r="232" spans="1:26" ht="15.75" customHeight="1" x14ac:dyDescent="0.25">
      <c r="A232" s="9" t="s">
        <v>99</v>
      </c>
      <c r="B232" s="301"/>
      <c r="C232" s="47">
        <v>146</v>
      </c>
      <c r="D232" s="47">
        <v>133</v>
      </c>
      <c r="E232" s="47">
        <v>164</v>
      </c>
      <c r="F232" s="28"/>
      <c r="G232" s="28"/>
      <c r="H232" s="3"/>
      <c r="I232" s="28"/>
      <c r="J232" s="28"/>
      <c r="K232" s="28"/>
      <c r="L232" s="28"/>
      <c r="M232" s="28"/>
      <c r="N232" s="28"/>
      <c r="O232" s="28"/>
      <c r="P232" s="28"/>
      <c r="Q232" s="28"/>
      <c r="R232" s="28"/>
      <c r="S232" s="28"/>
      <c r="T232" s="28"/>
      <c r="U232" s="28"/>
      <c r="V232" s="28"/>
      <c r="W232" s="28"/>
      <c r="X232" s="28"/>
      <c r="Y232" s="28"/>
      <c r="Z232" s="28"/>
    </row>
    <row r="233" spans="1:26" ht="15.75" customHeight="1" x14ac:dyDescent="0.25">
      <c r="B233" s="1"/>
      <c r="C233" s="1"/>
      <c r="D233" s="2"/>
      <c r="E233" s="2"/>
      <c r="H233" s="3"/>
    </row>
    <row r="234" spans="1:26" ht="15.75" customHeight="1" x14ac:dyDescent="0.25">
      <c r="B234" s="1"/>
      <c r="C234" s="1"/>
      <c r="D234" s="2"/>
      <c r="E234" s="2"/>
      <c r="H234" s="3"/>
    </row>
    <row r="235" spans="1:26" ht="15.75" customHeight="1" x14ac:dyDescent="0.25">
      <c r="B235" s="1"/>
      <c r="C235" s="1"/>
      <c r="D235" s="2"/>
      <c r="E235" s="2"/>
      <c r="H235" s="3"/>
    </row>
    <row r="236" spans="1:26" ht="15.75" customHeight="1" x14ac:dyDescent="0.25">
      <c r="B236" s="1"/>
      <c r="C236" s="1"/>
      <c r="D236" s="2"/>
      <c r="E236" s="2"/>
      <c r="H236" s="3"/>
    </row>
    <row r="237" spans="1:26" ht="15.75" customHeight="1" x14ac:dyDescent="0.25">
      <c r="B237" s="1"/>
      <c r="C237" s="1"/>
      <c r="D237" s="2"/>
      <c r="E237" s="2"/>
      <c r="H237" s="3"/>
    </row>
    <row r="238" spans="1:26" ht="15.75" customHeight="1" x14ac:dyDescent="0.25">
      <c r="B238" s="1"/>
      <c r="C238" s="1"/>
      <c r="D238" s="2"/>
      <c r="E238" s="2"/>
      <c r="H238" s="3"/>
    </row>
    <row r="239" spans="1:26" ht="15.75" customHeight="1" x14ac:dyDescent="0.25">
      <c r="B239" s="1"/>
      <c r="C239" s="1"/>
      <c r="D239" s="2"/>
      <c r="E239" s="2"/>
      <c r="H239" s="3"/>
    </row>
    <row r="240" spans="1:26" ht="15.75" customHeight="1" x14ac:dyDescent="0.25">
      <c r="B240" s="1"/>
      <c r="C240" s="1"/>
      <c r="D240" s="2"/>
      <c r="E240" s="2"/>
      <c r="H240" s="3"/>
    </row>
    <row r="241" spans="2:8" ht="15.75" customHeight="1" x14ac:dyDescent="0.25">
      <c r="B241" s="1"/>
      <c r="C241" s="1"/>
      <c r="D241" s="2"/>
      <c r="E241" s="2"/>
      <c r="H241" s="3"/>
    </row>
    <row r="242" spans="2:8" ht="15.75" customHeight="1" x14ac:dyDescent="0.25">
      <c r="B242" s="1"/>
      <c r="C242" s="1"/>
      <c r="D242" s="2"/>
      <c r="E242" s="2"/>
      <c r="H242" s="3"/>
    </row>
    <row r="243" spans="2:8" ht="15.75" customHeight="1" x14ac:dyDescent="0.25">
      <c r="B243" s="1"/>
      <c r="C243" s="1"/>
      <c r="D243" s="2"/>
      <c r="E243" s="2"/>
      <c r="H243" s="3"/>
    </row>
    <row r="244" spans="2:8" ht="15.75" customHeight="1" x14ac:dyDescent="0.25">
      <c r="B244" s="1"/>
      <c r="C244" s="1"/>
      <c r="D244" s="2"/>
      <c r="E244" s="2"/>
      <c r="H244" s="3"/>
    </row>
    <row r="245" spans="2:8" ht="15.75" customHeight="1" x14ac:dyDescent="0.25">
      <c r="B245" s="1"/>
      <c r="C245" s="1"/>
      <c r="D245" s="2"/>
      <c r="E245" s="2"/>
      <c r="H245" s="3"/>
    </row>
    <row r="246" spans="2:8" ht="15.75" customHeight="1" x14ac:dyDescent="0.25">
      <c r="B246" s="1"/>
      <c r="C246" s="1"/>
      <c r="D246" s="2"/>
      <c r="E246" s="2"/>
      <c r="H246" s="3"/>
    </row>
    <row r="247" spans="2:8" ht="15.75" customHeight="1" x14ac:dyDescent="0.25">
      <c r="B247" s="1"/>
      <c r="C247" s="1"/>
      <c r="D247" s="2"/>
      <c r="E247" s="2"/>
      <c r="H247" s="3"/>
    </row>
    <row r="248" spans="2:8" ht="15.75" customHeight="1" x14ac:dyDescent="0.25">
      <c r="B248" s="1"/>
      <c r="C248" s="1"/>
      <c r="D248" s="2"/>
      <c r="E248" s="2"/>
      <c r="H248" s="3"/>
    </row>
    <row r="249" spans="2:8" ht="15.75" customHeight="1" x14ac:dyDescent="0.25">
      <c r="B249" s="1"/>
      <c r="C249" s="1"/>
      <c r="D249" s="2"/>
      <c r="E249" s="2"/>
      <c r="H249" s="3"/>
    </row>
    <row r="250" spans="2:8" ht="15.75" customHeight="1" x14ac:dyDescent="0.25">
      <c r="B250" s="1"/>
      <c r="C250" s="1"/>
      <c r="D250" s="2"/>
      <c r="E250" s="2"/>
      <c r="H250" s="3"/>
    </row>
    <row r="251" spans="2:8" ht="15.75" customHeight="1" x14ac:dyDescent="0.25">
      <c r="B251" s="1"/>
      <c r="C251" s="1"/>
      <c r="D251" s="2"/>
      <c r="E251" s="2"/>
      <c r="H251" s="3"/>
    </row>
    <row r="252" spans="2:8" ht="15.75" customHeight="1" x14ac:dyDescent="0.25">
      <c r="B252" s="1"/>
      <c r="C252" s="1"/>
      <c r="D252" s="2"/>
      <c r="E252" s="2"/>
      <c r="H252" s="3"/>
    </row>
    <row r="253" spans="2:8" ht="15.75" customHeight="1" x14ac:dyDescent="0.25">
      <c r="B253" s="1"/>
      <c r="C253" s="1"/>
      <c r="D253" s="2"/>
      <c r="E253" s="2"/>
      <c r="H253" s="3"/>
    </row>
    <row r="254" spans="2:8" ht="15.75" customHeight="1" x14ac:dyDescent="0.25">
      <c r="B254" s="1"/>
      <c r="C254" s="1"/>
      <c r="D254" s="2"/>
      <c r="E254" s="2"/>
      <c r="H254" s="3"/>
    </row>
    <row r="255" spans="2:8" ht="15.75" customHeight="1" x14ac:dyDescent="0.25">
      <c r="B255" s="1"/>
      <c r="C255" s="1"/>
      <c r="D255" s="2"/>
      <c r="E255" s="2"/>
      <c r="H255" s="3"/>
    </row>
    <row r="256" spans="2:8" ht="15.75" customHeight="1" x14ac:dyDescent="0.25">
      <c r="B256" s="1"/>
      <c r="C256" s="1"/>
      <c r="D256" s="2"/>
      <c r="E256" s="2"/>
      <c r="H256" s="3"/>
    </row>
    <row r="257" spans="2:8" ht="15.75" customHeight="1" x14ac:dyDescent="0.25">
      <c r="B257" s="1"/>
      <c r="C257" s="1"/>
      <c r="D257" s="2"/>
      <c r="E257" s="2"/>
      <c r="H257" s="3"/>
    </row>
    <row r="258" spans="2:8" ht="15.75" customHeight="1" x14ac:dyDescent="0.25">
      <c r="B258" s="1"/>
      <c r="C258" s="1"/>
      <c r="D258" s="2"/>
      <c r="E258" s="2"/>
      <c r="H258" s="3"/>
    </row>
    <row r="259" spans="2:8" ht="15.75" customHeight="1" x14ac:dyDescent="0.25">
      <c r="B259" s="1"/>
      <c r="C259" s="1"/>
      <c r="D259" s="2"/>
      <c r="E259" s="2"/>
      <c r="H259" s="3"/>
    </row>
    <row r="260" spans="2:8" ht="15.75" customHeight="1" x14ac:dyDescent="0.25">
      <c r="B260" s="1"/>
      <c r="C260" s="1"/>
      <c r="D260" s="2"/>
      <c r="E260" s="2"/>
      <c r="H260" s="3"/>
    </row>
    <row r="261" spans="2:8" ht="15.75" customHeight="1" x14ac:dyDescent="0.25">
      <c r="B261" s="1"/>
      <c r="C261" s="1"/>
      <c r="D261" s="2"/>
      <c r="E261" s="2"/>
      <c r="H261" s="3"/>
    </row>
    <row r="262" spans="2:8" ht="15.75" customHeight="1" x14ac:dyDescent="0.25">
      <c r="B262" s="1"/>
      <c r="C262" s="1"/>
      <c r="D262" s="2"/>
      <c r="E262" s="2"/>
      <c r="H262" s="3"/>
    </row>
    <row r="263" spans="2:8" ht="15.75" customHeight="1" x14ac:dyDescent="0.25">
      <c r="B263" s="1"/>
      <c r="C263" s="1"/>
      <c r="D263" s="2"/>
      <c r="E263" s="2"/>
      <c r="H263" s="3"/>
    </row>
    <row r="264" spans="2:8" ht="15.75" customHeight="1" x14ac:dyDescent="0.25">
      <c r="B264" s="1"/>
      <c r="C264" s="1"/>
      <c r="D264" s="2"/>
      <c r="E264" s="2"/>
      <c r="H264" s="3"/>
    </row>
    <row r="265" spans="2:8" ht="15.75" customHeight="1" x14ac:dyDescent="0.25">
      <c r="B265" s="1"/>
      <c r="C265" s="1"/>
      <c r="D265" s="2"/>
      <c r="E265" s="2"/>
      <c r="H265" s="3"/>
    </row>
    <row r="266" spans="2:8" ht="15.75" customHeight="1" x14ac:dyDescent="0.25">
      <c r="B266" s="1"/>
      <c r="C266" s="1"/>
      <c r="D266" s="2"/>
      <c r="E266" s="2"/>
      <c r="H266" s="3"/>
    </row>
    <row r="267" spans="2:8" ht="15.75" customHeight="1" x14ac:dyDescent="0.25">
      <c r="B267" s="1"/>
      <c r="C267" s="1"/>
      <c r="D267" s="2"/>
      <c r="E267" s="2"/>
      <c r="H267" s="3"/>
    </row>
    <row r="268" spans="2:8" ht="15.75" customHeight="1" x14ac:dyDescent="0.25">
      <c r="B268" s="1"/>
      <c r="C268" s="1"/>
      <c r="D268" s="2"/>
      <c r="E268" s="2"/>
      <c r="H268" s="3"/>
    </row>
    <row r="269" spans="2:8" ht="15.75" customHeight="1" x14ac:dyDescent="0.25">
      <c r="B269" s="1"/>
      <c r="C269" s="1"/>
      <c r="D269" s="2"/>
      <c r="E269" s="2"/>
      <c r="H269" s="3"/>
    </row>
    <row r="270" spans="2:8" ht="15.75" customHeight="1" x14ac:dyDescent="0.25">
      <c r="B270" s="1"/>
      <c r="C270" s="1"/>
      <c r="D270" s="2"/>
      <c r="E270" s="2"/>
      <c r="H270" s="3"/>
    </row>
    <row r="271" spans="2:8" ht="15.75" customHeight="1" x14ac:dyDescent="0.25">
      <c r="B271" s="1"/>
      <c r="C271" s="1"/>
      <c r="D271" s="2"/>
      <c r="E271" s="2"/>
      <c r="H271" s="3"/>
    </row>
    <row r="272" spans="2:8" ht="15.75" customHeight="1" x14ac:dyDescent="0.25">
      <c r="B272" s="1"/>
      <c r="C272" s="1"/>
      <c r="D272" s="2"/>
      <c r="E272" s="2"/>
      <c r="H272" s="3"/>
    </row>
    <row r="273" spans="2:8" ht="15.75" customHeight="1" x14ac:dyDescent="0.25">
      <c r="B273" s="1"/>
      <c r="C273" s="1"/>
      <c r="D273" s="2"/>
      <c r="E273" s="2"/>
      <c r="H273" s="3"/>
    </row>
    <row r="274" spans="2:8" ht="15.75" customHeight="1" x14ac:dyDescent="0.25">
      <c r="B274" s="1"/>
      <c r="C274" s="1"/>
      <c r="D274" s="2"/>
      <c r="E274" s="2"/>
      <c r="H274" s="3"/>
    </row>
    <row r="275" spans="2:8" ht="15.75" customHeight="1" x14ac:dyDescent="0.25">
      <c r="B275" s="1"/>
      <c r="C275" s="1"/>
      <c r="D275" s="2"/>
      <c r="E275" s="2"/>
      <c r="H275" s="3"/>
    </row>
    <row r="276" spans="2:8" ht="15.75" customHeight="1" x14ac:dyDescent="0.25">
      <c r="B276" s="1"/>
      <c r="C276" s="1"/>
      <c r="D276" s="2"/>
      <c r="E276" s="2"/>
      <c r="H276" s="3"/>
    </row>
    <row r="277" spans="2:8" ht="15.75" customHeight="1" x14ac:dyDescent="0.25">
      <c r="B277" s="1"/>
      <c r="C277" s="1"/>
      <c r="D277" s="2"/>
      <c r="E277" s="2"/>
      <c r="H277" s="3"/>
    </row>
    <row r="278" spans="2:8" ht="15.75" customHeight="1" x14ac:dyDescent="0.25">
      <c r="B278" s="1"/>
      <c r="C278" s="1"/>
      <c r="D278" s="2"/>
      <c r="E278" s="2"/>
      <c r="H278" s="3"/>
    </row>
    <row r="279" spans="2:8" ht="15.75" customHeight="1" x14ac:dyDescent="0.25">
      <c r="B279" s="1"/>
      <c r="C279" s="1"/>
      <c r="D279" s="2"/>
      <c r="E279" s="2"/>
      <c r="H279" s="3"/>
    </row>
    <row r="280" spans="2:8" ht="15.75" customHeight="1" x14ac:dyDescent="0.25">
      <c r="B280" s="1"/>
      <c r="C280" s="1"/>
      <c r="D280" s="2"/>
      <c r="E280" s="2"/>
      <c r="H280" s="3"/>
    </row>
    <row r="281" spans="2:8" ht="15.75" customHeight="1" x14ac:dyDescent="0.25">
      <c r="B281" s="1"/>
      <c r="C281" s="1"/>
      <c r="D281" s="2"/>
      <c r="E281" s="2"/>
      <c r="H281" s="3"/>
    </row>
    <row r="282" spans="2:8" ht="15.75" customHeight="1" x14ac:dyDescent="0.25">
      <c r="B282" s="1"/>
      <c r="C282" s="1"/>
      <c r="D282" s="2"/>
      <c r="E282" s="2"/>
      <c r="H282" s="3"/>
    </row>
    <row r="283" spans="2:8" ht="15.75" customHeight="1" x14ac:dyDescent="0.25">
      <c r="B283" s="1"/>
      <c r="C283" s="1"/>
      <c r="D283" s="2"/>
      <c r="E283" s="2"/>
      <c r="H283" s="3"/>
    </row>
    <row r="284" spans="2:8" ht="15.75" customHeight="1" x14ac:dyDescent="0.25">
      <c r="B284" s="1"/>
      <c r="C284" s="1"/>
      <c r="D284" s="2"/>
      <c r="E284" s="2"/>
      <c r="H284" s="3"/>
    </row>
    <row r="285" spans="2:8" ht="15.75" customHeight="1" x14ac:dyDescent="0.25">
      <c r="B285" s="1"/>
      <c r="C285" s="1"/>
      <c r="D285" s="2"/>
      <c r="E285" s="2"/>
      <c r="H285" s="3"/>
    </row>
    <row r="286" spans="2:8" ht="15.75" customHeight="1" x14ac:dyDescent="0.25">
      <c r="B286" s="1"/>
      <c r="C286" s="1"/>
      <c r="D286" s="2"/>
      <c r="E286" s="2"/>
      <c r="H286" s="3"/>
    </row>
    <row r="287" spans="2:8" ht="15.75" customHeight="1" x14ac:dyDescent="0.25">
      <c r="B287" s="1"/>
      <c r="C287" s="1"/>
      <c r="D287" s="2"/>
      <c r="E287" s="2"/>
      <c r="H287" s="3"/>
    </row>
    <row r="288" spans="2:8" ht="15.75" customHeight="1" x14ac:dyDescent="0.25">
      <c r="B288" s="1"/>
      <c r="C288" s="1"/>
      <c r="D288" s="2"/>
      <c r="E288" s="2"/>
      <c r="H288" s="3"/>
    </row>
    <row r="289" spans="2:8" ht="15.75" customHeight="1" x14ac:dyDescent="0.25">
      <c r="B289" s="1"/>
      <c r="C289" s="1"/>
      <c r="D289" s="2"/>
      <c r="E289" s="2"/>
      <c r="H289" s="3"/>
    </row>
    <row r="290" spans="2:8" ht="15.75" customHeight="1" x14ac:dyDescent="0.25">
      <c r="B290" s="1"/>
      <c r="C290" s="1"/>
      <c r="D290" s="2"/>
      <c r="E290" s="2"/>
      <c r="H290" s="3"/>
    </row>
    <row r="291" spans="2:8" ht="15.75" customHeight="1" x14ac:dyDescent="0.25">
      <c r="B291" s="1"/>
      <c r="C291" s="1"/>
      <c r="D291" s="2"/>
      <c r="E291" s="2"/>
      <c r="H291" s="3"/>
    </row>
    <row r="292" spans="2:8" ht="15.75" customHeight="1" x14ac:dyDescent="0.25">
      <c r="B292" s="1"/>
      <c r="C292" s="1"/>
      <c r="D292" s="2"/>
      <c r="E292" s="2"/>
      <c r="H292" s="3"/>
    </row>
    <row r="293" spans="2:8" ht="15.75" customHeight="1" x14ac:dyDescent="0.25">
      <c r="B293" s="1"/>
      <c r="C293" s="1"/>
      <c r="D293" s="2"/>
      <c r="E293" s="2"/>
      <c r="H293" s="3"/>
    </row>
    <row r="294" spans="2:8" ht="15.75" customHeight="1" x14ac:dyDescent="0.25">
      <c r="B294" s="1"/>
      <c r="C294" s="1"/>
      <c r="D294" s="2"/>
      <c r="E294" s="2"/>
      <c r="H294" s="3"/>
    </row>
    <row r="295" spans="2:8" ht="15.75" customHeight="1" x14ac:dyDescent="0.25">
      <c r="B295" s="1"/>
      <c r="C295" s="1"/>
      <c r="D295" s="2"/>
      <c r="E295" s="2"/>
      <c r="H295" s="3"/>
    </row>
    <row r="296" spans="2:8" ht="15.75" customHeight="1" x14ac:dyDescent="0.25">
      <c r="B296" s="1"/>
      <c r="C296" s="1"/>
      <c r="D296" s="2"/>
      <c r="E296" s="2"/>
      <c r="H296" s="3"/>
    </row>
    <row r="297" spans="2:8" ht="15.75" customHeight="1" x14ac:dyDescent="0.25">
      <c r="B297" s="1"/>
      <c r="C297" s="1"/>
      <c r="D297" s="2"/>
      <c r="E297" s="2"/>
      <c r="H297" s="3"/>
    </row>
    <row r="298" spans="2:8" ht="15.75" customHeight="1" x14ac:dyDescent="0.25">
      <c r="B298" s="1"/>
      <c r="C298" s="1"/>
      <c r="D298" s="2"/>
      <c r="E298" s="2"/>
      <c r="H298" s="3"/>
    </row>
    <row r="299" spans="2:8" ht="15.75" customHeight="1" x14ac:dyDescent="0.25">
      <c r="B299" s="1"/>
      <c r="C299" s="1"/>
      <c r="D299" s="2"/>
      <c r="E299" s="2"/>
      <c r="H299" s="3"/>
    </row>
    <row r="300" spans="2:8" ht="15.75" customHeight="1" x14ac:dyDescent="0.25">
      <c r="B300" s="1"/>
      <c r="C300" s="1"/>
      <c r="D300" s="2"/>
      <c r="E300" s="2"/>
      <c r="H300" s="3"/>
    </row>
    <row r="301" spans="2:8" ht="15.75" customHeight="1" x14ac:dyDescent="0.25">
      <c r="B301" s="1"/>
      <c r="C301" s="1"/>
      <c r="D301" s="2"/>
      <c r="E301" s="2"/>
      <c r="H301" s="3"/>
    </row>
    <row r="302" spans="2:8" ht="15.75" customHeight="1" x14ac:dyDescent="0.25">
      <c r="B302" s="1"/>
      <c r="C302" s="1"/>
      <c r="D302" s="2"/>
      <c r="E302" s="2"/>
      <c r="H302" s="3"/>
    </row>
    <row r="303" spans="2:8" ht="15.75" customHeight="1" x14ac:dyDescent="0.25">
      <c r="B303" s="1"/>
      <c r="C303" s="1"/>
      <c r="D303" s="2"/>
      <c r="E303" s="2"/>
      <c r="H303" s="3"/>
    </row>
    <row r="304" spans="2:8" ht="15.75" customHeight="1" x14ac:dyDescent="0.25">
      <c r="B304" s="1"/>
      <c r="C304" s="1"/>
      <c r="D304" s="2"/>
      <c r="E304" s="2"/>
      <c r="H304" s="3"/>
    </row>
    <row r="305" spans="2:8" ht="15.75" customHeight="1" x14ac:dyDescent="0.25">
      <c r="B305" s="1"/>
      <c r="C305" s="1"/>
      <c r="D305" s="2"/>
      <c r="E305" s="2"/>
      <c r="H305" s="3"/>
    </row>
    <row r="306" spans="2:8" ht="15.75" customHeight="1" x14ac:dyDescent="0.25">
      <c r="B306" s="1"/>
      <c r="C306" s="1"/>
      <c r="D306" s="2"/>
      <c r="E306" s="2"/>
      <c r="H306" s="3"/>
    </row>
    <row r="307" spans="2:8" ht="15.75" customHeight="1" x14ac:dyDescent="0.25">
      <c r="B307" s="1"/>
      <c r="C307" s="1"/>
      <c r="D307" s="2"/>
      <c r="E307" s="2"/>
      <c r="H307" s="3"/>
    </row>
    <row r="308" spans="2:8" ht="15.75" customHeight="1" x14ac:dyDescent="0.25">
      <c r="B308" s="1"/>
      <c r="C308" s="1"/>
      <c r="D308" s="2"/>
      <c r="E308" s="2"/>
      <c r="H308" s="3"/>
    </row>
    <row r="309" spans="2:8" ht="15.75" customHeight="1" x14ac:dyDescent="0.25">
      <c r="B309" s="1"/>
      <c r="C309" s="1"/>
      <c r="D309" s="2"/>
      <c r="E309" s="2"/>
      <c r="H309" s="3"/>
    </row>
    <row r="310" spans="2:8" ht="15.75" customHeight="1" x14ac:dyDescent="0.25">
      <c r="B310" s="1"/>
      <c r="C310" s="1"/>
      <c r="D310" s="2"/>
      <c r="E310" s="2"/>
      <c r="H310" s="3"/>
    </row>
    <row r="311" spans="2:8" ht="15.75" customHeight="1" x14ac:dyDescent="0.25">
      <c r="B311" s="1"/>
      <c r="C311" s="1"/>
      <c r="D311" s="2"/>
      <c r="E311" s="2"/>
      <c r="H311" s="3"/>
    </row>
    <row r="312" spans="2:8" ht="15.75" customHeight="1" x14ac:dyDescent="0.25">
      <c r="B312" s="1"/>
      <c r="C312" s="1"/>
      <c r="D312" s="2"/>
      <c r="E312" s="2"/>
      <c r="H312" s="3"/>
    </row>
    <row r="313" spans="2:8" ht="15.75" customHeight="1" x14ac:dyDescent="0.25">
      <c r="B313" s="1"/>
      <c r="C313" s="1"/>
      <c r="D313" s="2"/>
      <c r="E313" s="2"/>
      <c r="H313" s="3"/>
    </row>
    <row r="314" spans="2:8" ht="15.75" customHeight="1" x14ac:dyDescent="0.25">
      <c r="B314" s="1"/>
      <c r="C314" s="1"/>
      <c r="D314" s="2"/>
      <c r="E314" s="2"/>
      <c r="H314" s="3"/>
    </row>
    <row r="315" spans="2:8" ht="15.75" customHeight="1" x14ac:dyDescent="0.25">
      <c r="B315" s="1"/>
      <c r="C315" s="1"/>
      <c r="D315" s="2"/>
      <c r="E315" s="2"/>
      <c r="H315" s="3"/>
    </row>
    <row r="316" spans="2:8" ht="15.75" customHeight="1" x14ac:dyDescent="0.25">
      <c r="B316" s="1"/>
      <c r="C316" s="1"/>
      <c r="D316" s="2"/>
      <c r="E316" s="2"/>
      <c r="H316" s="3"/>
    </row>
    <row r="317" spans="2:8" ht="15.75" customHeight="1" x14ac:dyDescent="0.25">
      <c r="B317" s="1"/>
      <c r="C317" s="1"/>
      <c r="D317" s="2"/>
      <c r="E317" s="2"/>
      <c r="H317" s="3"/>
    </row>
    <row r="318" spans="2:8" ht="15.75" customHeight="1" x14ac:dyDescent="0.25">
      <c r="B318" s="1"/>
      <c r="C318" s="1"/>
      <c r="D318" s="2"/>
      <c r="E318" s="2"/>
      <c r="H318" s="3"/>
    </row>
    <row r="319" spans="2:8" ht="15.75" customHeight="1" x14ac:dyDescent="0.25">
      <c r="B319" s="1"/>
      <c r="C319" s="1"/>
      <c r="D319" s="2"/>
      <c r="E319" s="2"/>
      <c r="H319" s="3"/>
    </row>
    <row r="320" spans="2:8" ht="15.75" customHeight="1" x14ac:dyDescent="0.25">
      <c r="B320" s="1"/>
      <c r="C320" s="1"/>
      <c r="D320" s="2"/>
      <c r="E320" s="2"/>
      <c r="H320" s="3"/>
    </row>
    <row r="321" spans="2:8" ht="15.75" customHeight="1" x14ac:dyDescent="0.25">
      <c r="B321" s="1"/>
      <c r="C321" s="1"/>
      <c r="D321" s="2"/>
      <c r="E321" s="2"/>
      <c r="H321" s="3"/>
    </row>
    <row r="322" spans="2:8" ht="15.75" customHeight="1" x14ac:dyDescent="0.25">
      <c r="B322" s="1"/>
      <c r="C322" s="1"/>
      <c r="D322" s="2"/>
      <c r="E322" s="2"/>
      <c r="H322" s="3"/>
    </row>
    <row r="323" spans="2:8" ht="15.75" customHeight="1" x14ac:dyDescent="0.25">
      <c r="B323" s="1"/>
      <c r="C323" s="1"/>
      <c r="D323" s="2"/>
      <c r="E323" s="2"/>
      <c r="H323" s="3"/>
    </row>
    <row r="324" spans="2:8" ht="15.75" customHeight="1" x14ac:dyDescent="0.25">
      <c r="B324" s="1"/>
      <c r="C324" s="1"/>
      <c r="D324" s="2"/>
      <c r="E324" s="2"/>
      <c r="H324" s="3"/>
    </row>
    <row r="325" spans="2:8" ht="15.75" customHeight="1" x14ac:dyDescent="0.25">
      <c r="B325" s="1"/>
      <c r="C325" s="1"/>
      <c r="D325" s="2"/>
      <c r="E325" s="2"/>
      <c r="H325" s="3"/>
    </row>
    <row r="326" spans="2:8" ht="15.75" customHeight="1" x14ac:dyDescent="0.25">
      <c r="B326" s="1"/>
      <c r="C326" s="1"/>
      <c r="D326" s="2"/>
      <c r="E326" s="2"/>
      <c r="H326" s="3"/>
    </row>
    <row r="327" spans="2:8" ht="15.75" customHeight="1" x14ac:dyDescent="0.25">
      <c r="B327" s="1"/>
      <c r="C327" s="1"/>
      <c r="D327" s="2"/>
      <c r="E327" s="2"/>
      <c r="H327" s="3"/>
    </row>
    <row r="328" spans="2:8" ht="15.75" customHeight="1" x14ac:dyDescent="0.25">
      <c r="B328" s="1"/>
      <c r="C328" s="1"/>
      <c r="D328" s="2"/>
      <c r="E328" s="2"/>
      <c r="H328" s="3"/>
    </row>
    <row r="329" spans="2:8" ht="15.75" customHeight="1" x14ac:dyDescent="0.25">
      <c r="B329" s="1"/>
      <c r="C329" s="1"/>
      <c r="D329" s="2"/>
      <c r="E329" s="2"/>
      <c r="H329" s="3"/>
    </row>
    <row r="330" spans="2:8" ht="15.75" customHeight="1" x14ac:dyDescent="0.25">
      <c r="B330" s="1"/>
      <c r="C330" s="1"/>
      <c r="D330" s="2"/>
      <c r="E330" s="2"/>
      <c r="H330" s="3"/>
    </row>
    <row r="331" spans="2:8" ht="15.75" customHeight="1" x14ac:dyDescent="0.25">
      <c r="B331" s="1"/>
      <c r="C331" s="1"/>
      <c r="D331" s="2"/>
      <c r="E331" s="2"/>
      <c r="H331" s="3"/>
    </row>
    <row r="332" spans="2:8" ht="15.75" customHeight="1" x14ac:dyDescent="0.25">
      <c r="B332" s="1"/>
      <c r="C332" s="1"/>
      <c r="D332" s="2"/>
      <c r="E332" s="2"/>
      <c r="H332" s="3"/>
    </row>
    <row r="333" spans="2:8" ht="15.75" customHeight="1" x14ac:dyDescent="0.25">
      <c r="B333" s="1"/>
      <c r="C333" s="1"/>
      <c r="D333" s="2"/>
      <c r="E333" s="2"/>
      <c r="H333" s="3"/>
    </row>
    <row r="334" spans="2:8" ht="15.75" customHeight="1" x14ac:dyDescent="0.25">
      <c r="B334" s="1"/>
      <c r="C334" s="1"/>
      <c r="D334" s="2"/>
      <c r="E334" s="2"/>
      <c r="H334" s="3"/>
    </row>
    <row r="335" spans="2:8" ht="15.75" customHeight="1" x14ac:dyDescent="0.25">
      <c r="B335" s="1"/>
      <c r="C335" s="1"/>
      <c r="D335" s="2"/>
      <c r="E335" s="2"/>
      <c r="H335" s="3"/>
    </row>
    <row r="336" spans="2:8" ht="15.75" customHeight="1" x14ac:dyDescent="0.25">
      <c r="B336" s="1"/>
      <c r="C336" s="1"/>
      <c r="D336" s="2"/>
      <c r="E336" s="2"/>
      <c r="H336" s="3"/>
    </row>
    <row r="337" spans="2:8" ht="15.75" customHeight="1" x14ac:dyDescent="0.25">
      <c r="B337" s="1"/>
      <c r="C337" s="1"/>
      <c r="D337" s="2"/>
      <c r="E337" s="2"/>
      <c r="H337" s="3"/>
    </row>
    <row r="338" spans="2:8" ht="15.75" customHeight="1" x14ac:dyDescent="0.25">
      <c r="B338" s="1"/>
      <c r="C338" s="1"/>
      <c r="D338" s="2"/>
      <c r="E338" s="2"/>
      <c r="H338" s="3"/>
    </row>
    <row r="339" spans="2:8" ht="15.75" customHeight="1" x14ac:dyDescent="0.25">
      <c r="B339" s="1"/>
      <c r="C339" s="1"/>
      <c r="D339" s="2"/>
      <c r="E339" s="2"/>
      <c r="H339" s="3"/>
    </row>
    <row r="340" spans="2:8" ht="15.75" customHeight="1" x14ac:dyDescent="0.25">
      <c r="B340" s="1"/>
      <c r="C340" s="1"/>
      <c r="D340" s="2"/>
      <c r="E340" s="2"/>
      <c r="H340" s="3"/>
    </row>
    <row r="341" spans="2:8" ht="15.75" customHeight="1" x14ac:dyDescent="0.25">
      <c r="B341" s="1"/>
      <c r="C341" s="1"/>
      <c r="D341" s="2"/>
      <c r="E341" s="2"/>
      <c r="H341" s="3"/>
    </row>
    <row r="342" spans="2:8" ht="15.75" customHeight="1" x14ac:dyDescent="0.25">
      <c r="B342" s="1"/>
      <c r="C342" s="1"/>
      <c r="D342" s="2"/>
      <c r="E342" s="2"/>
      <c r="H342" s="3"/>
    </row>
    <row r="343" spans="2:8" ht="15.75" customHeight="1" x14ac:dyDescent="0.25">
      <c r="B343" s="1"/>
      <c r="C343" s="1"/>
      <c r="D343" s="2"/>
      <c r="E343" s="2"/>
      <c r="H343" s="3"/>
    </row>
    <row r="344" spans="2:8" ht="15.75" customHeight="1" x14ac:dyDescent="0.25">
      <c r="B344" s="1"/>
      <c r="C344" s="1"/>
      <c r="D344" s="2"/>
      <c r="E344" s="2"/>
      <c r="H344" s="3"/>
    </row>
    <row r="345" spans="2:8" ht="15.75" customHeight="1" x14ac:dyDescent="0.25">
      <c r="B345" s="1"/>
      <c r="C345" s="1"/>
      <c r="D345" s="2"/>
      <c r="E345" s="2"/>
      <c r="H345" s="3"/>
    </row>
    <row r="346" spans="2:8" ht="15.75" customHeight="1" x14ac:dyDescent="0.25">
      <c r="B346" s="1"/>
      <c r="C346" s="1"/>
      <c r="D346" s="2"/>
      <c r="E346" s="2"/>
      <c r="H346" s="3"/>
    </row>
    <row r="347" spans="2:8" ht="15.75" customHeight="1" x14ac:dyDescent="0.25">
      <c r="B347" s="1"/>
      <c r="C347" s="1"/>
      <c r="D347" s="2"/>
      <c r="E347" s="2"/>
      <c r="H347" s="3"/>
    </row>
    <row r="348" spans="2:8" ht="15.75" customHeight="1" x14ac:dyDescent="0.25">
      <c r="B348" s="1"/>
      <c r="C348" s="1"/>
      <c r="D348" s="2"/>
      <c r="E348" s="2"/>
      <c r="H348" s="3"/>
    </row>
    <row r="349" spans="2:8" ht="15.75" customHeight="1" x14ac:dyDescent="0.25">
      <c r="B349" s="1"/>
      <c r="C349" s="1"/>
      <c r="D349" s="2"/>
      <c r="E349" s="2"/>
      <c r="H349" s="3"/>
    </row>
    <row r="350" spans="2:8" ht="15.75" customHeight="1" x14ac:dyDescent="0.25">
      <c r="B350" s="1"/>
      <c r="C350" s="1"/>
      <c r="D350" s="2"/>
      <c r="E350" s="2"/>
      <c r="H350" s="3"/>
    </row>
    <row r="351" spans="2:8" ht="15.75" customHeight="1" x14ac:dyDescent="0.25">
      <c r="B351" s="1"/>
      <c r="C351" s="1"/>
      <c r="D351" s="2"/>
      <c r="E351" s="2"/>
      <c r="H351" s="3"/>
    </row>
    <row r="352" spans="2:8" ht="15.75" customHeight="1" x14ac:dyDescent="0.25">
      <c r="B352" s="1"/>
      <c r="C352" s="1"/>
      <c r="D352" s="2"/>
      <c r="E352" s="2"/>
      <c r="H352" s="3"/>
    </row>
    <row r="353" spans="2:8" ht="15.75" customHeight="1" x14ac:dyDescent="0.25">
      <c r="B353" s="1"/>
      <c r="C353" s="1"/>
      <c r="D353" s="2"/>
      <c r="E353" s="2"/>
      <c r="H353" s="3"/>
    </row>
    <row r="354" spans="2:8" ht="15.75" customHeight="1" x14ac:dyDescent="0.25">
      <c r="B354" s="1"/>
      <c r="C354" s="1"/>
      <c r="D354" s="2"/>
      <c r="E354" s="2"/>
      <c r="H354" s="3"/>
    </row>
    <row r="355" spans="2:8" ht="15.75" customHeight="1" x14ac:dyDescent="0.25">
      <c r="B355" s="1"/>
      <c r="C355" s="1"/>
      <c r="D355" s="2"/>
      <c r="E355" s="2"/>
      <c r="H355" s="3"/>
    </row>
    <row r="356" spans="2:8" ht="15.75" customHeight="1" x14ac:dyDescent="0.25">
      <c r="B356" s="1"/>
      <c r="C356" s="1"/>
      <c r="D356" s="2"/>
      <c r="E356" s="2"/>
      <c r="H356" s="3"/>
    </row>
    <row r="357" spans="2:8" ht="15.75" customHeight="1" x14ac:dyDescent="0.25">
      <c r="B357" s="1"/>
      <c r="C357" s="1"/>
      <c r="D357" s="2"/>
      <c r="E357" s="2"/>
      <c r="H357" s="3"/>
    </row>
    <row r="358" spans="2:8" ht="15.75" customHeight="1" x14ac:dyDescent="0.25">
      <c r="B358" s="1"/>
      <c r="C358" s="1"/>
      <c r="D358" s="2"/>
      <c r="E358" s="2"/>
      <c r="H358" s="3"/>
    </row>
    <row r="359" spans="2:8" ht="15.75" customHeight="1" x14ac:dyDescent="0.25">
      <c r="B359" s="1"/>
      <c r="C359" s="1"/>
      <c r="D359" s="2"/>
      <c r="E359" s="2"/>
      <c r="H359" s="3"/>
    </row>
    <row r="360" spans="2:8" ht="15.75" customHeight="1" x14ac:dyDescent="0.25">
      <c r="B360" s="1"/>
      <c r="C360" s="1"/>
      <c r="D360" s="2"/>
      <c r="E360" s="2"/>
      <c r="H360" s="3"/>
    </row>
    <row r="361" spans="2:8" ht="15.75" customHeight="1" x14ac:dyDescent="0.25">
      <c r="B361" s="1"/>
      <c r="C361" s="1"/>
      <c r="D361" s="2"/>
      <c r="E361" s="2"/>
      <c r="H361" s="3"/>
    </row>
    <row r="362" spans="2:8" ht="15.75" customHeight="1" x14ac:dyDescent="0.25">
      <c r="B362" s="1"/>
      <c r="C362" s="1"/>
      <c r="D362" s="2"/>
      <c r="E362" s="2"/>
      <c r="H362" s="3"/>
    </row>
    <row r="363" spans="2:8" ht="15.75" customHeight="1" x14ac:dyDescent="0.25">
      <c r="B363" s="1"/>
      <c r="C363" s="1"/>
      <c r="D363" s="2"/>
      <c r="E363" s="2"/>
      <c r="H363" s="3"/>
    </row>
    <row r="364" spans="2:8" ht="15.75" customHeight="1" x14ac:dyDescent="0.25">
      <c r="B364" s="1"/>
      <c r="C364" s="1"/>
      <c r="D364" s="2"/>
      <c r="E364" s="2"/>
      <c r="H364" s="3"/>
    </row>
    <row r="365" spans="2:8" ht="15.75" customHeight="1" x14ac:dyDescent="0.25">
      <c r="B365" s="1"/>
      <c r="C365" s="1"/>
      <c r="D365" s="2"/>
      <c r="E365" s="2"/>
      <c r="H365" s="3"/>
    </row>
    <row r="366" spans="2:8" ht="15.75" customHeight="1" x14ac:dyDescent="0.25">
      <c r="B366" s="1"/>
      <c r="C366" s="1"/>
      <c r="D366" s="2"/>
      <c r="E366" s="2"/>
      <c r="H366" s="3"/>
    </row>
    <row r="367" spans="2:8" ht="15.75" customHeight="1" x14ac:dyDescent="0.25">
      <c r="B367" s="1"/>
      <c r="C367" s="1"/>
      <c r="D367" s="2"/>
      <c r="E367" s="2"/>
      <c r="H367" s="3"/>
    </row>
    <row r="368" spans="2:8" ht="15.75" customHeight="1" x14ac:dyDescent="0.25">
      <c r="B368" s="1"/>
      <c r="C368" s="1"/>
      <c r="D368" s="2"/>
      <c r="E368" s="2"/>
      <c r="H368" s="3"/>
    </row>
    <row r="369" spans="2:8" ht="15.75" customHeight="1" x14ac:dyDescent="0.25">
      <c r="B369" s="1"/>
      <c r="C369" s="1"/>
      <c r="D369" s="2"/>
      <c r="E369" s="2"/>
      <c r="H369" s="3"/>
    </row>
    <row r="370" spans="2:8" ht="15.75" customHeight="1" x14ac:dyDescent="0.25">
      <c r="B370" s="1"/>
      <c r="C370" s="1"/>
      <c r="D370" s="2"/>
      <c r="E370" s="2"/>
      <c r="H370" s="3"/>
    </row>
    <row r="371" spans="2:8" ht="15.75" customHeight="1" x14ac:dyDescent="0.25">
      <c r="B371" s="1"/>
      <c r="C371" s="1"/>
      <c r="D371" s="2"/>
      <c r="E371" s="2"/>
      <c r="H371" s="3"/>
    </row>
    <row r="372" spans="2:8" ht="15.75" customHeight="1" x14ac:dyDescent="0.25">
      <c r="B372" s="1"/>
      <c r="C372" s="1"/>
      <c r="D372" s="2"/>
      <c r="E372" s="2"/>
      <c r="H372" s="3"/>
    </row>
    <row r="373" spans="2:8" ht="15.75" customHeight="1" x14ac:dyDescent="0.25">
      <c r="B373" s="1"/>
      <c r="C373" s="1"/>
      <c r="D373" s="2"/>
      <c r="E373" s="2"/>
      <c r="H373" s="3"/>
    </row>
    <row r="374" spans="2:8" ht="15.75" customHeight="1" x14ac:dyDescent="0.25">
      <c r="B374" s="1"/>
      <c r="C374" s="1"/>
      <c r="D374" s="2"/>
      <c r="E374" s="2"/>
      <c r="H374" s="3"/>
    </row>
    <row r="375" spans="2:8" ht="15.75" customHeight="1" x14ac:dyDescent="0.25">
      <c r="B375" s="1"/>
      <c r="C375" s="1"/>
      <c r="D375" s="2"/>
      <c r="E375" s="2"/>
      <c r="H375" s="3"/>
    </row>
    <row r="376" spans="2:8" ht="15.75" customHeight="1" x14ac:dyDescent="0.25">
      <c r="B376" s="1"/>
      <c r="C376" s="1"/>
      <c r="D376" s="2"/>
      <c r="E376" s="2"/>
      <c r="H376" s="3"/>
    </row>
    <row r="377" spans="2:8" ht="15.75" customHeight="1" x14ac:dyDescent="0.25">
      <c r="B377" s="1"/>
      <c r="C377" s="1"/>
      <c r="D377" s="2"/>
      <c r="E377" s="2"/>
      <c r="H377" s="3"/>
    </row>
    <row r="378" spans="2:8" ht="15.75" customHeight="1" x14ac:dyDescent="0.25">
      <c r="B378" s="1"/>
      <c r="C378" s="1"/>
      <c r="D378" s="2"/>
      <c r="E378" s="2"/>
      <c r="H378" s="3"/>
    </row>
    <row r="379" spans="2:8" ht="15.75" customHeight="1" x14ac:dyDescent="0.25">
      <c r="B379" s="1"/>
      <c r="C379" s="1"/>
      <c r="D379" s="2"/>
      <c r="E379" s="2"/>
      <c r="H379" s="3"/>
    </row>
    <row r="380" spans="2:8" ht="15.75" customHeight="1" x14ac:dyDescent="0.25">
      <c r="B380" s="1"/>
      <c r="C380" s="1"/>
      <c r="D380" s="2"/>
      <c r="E380" s="2"/>
      <c r="H380" s="3"/>
    </row>
    <row r="381" spans="2:8" ht="15.75" customHeight="1" x14ac:dyDescent="0.25">
      <c r="B381" s="1"/>
      <c r="C381" s="1"/>
      <c r="D381" s="2"/>
      <c r="E381" s="2"/>
      <c r="H381" s="3"/>
    </row>
    <row r="382" spans="2:8" ht="15.75" customHeight="1" x14ac:dyDescent="0.25">
      <c r="B382" s="1"/>
      <c r="C382" s="1"/>
      <c r="D382" s="2"/>
      <c r="E382" s="2"/>
      <c r="H382" s="3"/>
    </row>
    <row r="383" spans="2:8" ht="15.75" customHeight="1" x14ac:dyDescent="0.25">
      <c r="B383" s="1"/>
      <c r="C383" s="1"/>
      <c r="D383" s="2"/>
      <c r="E383" s="2"/>
      <c r="H383" s="3"/>
    </row>
    <row r="384" spans="2:8" ht="15.75" customHeight="1" x14ac:dyDescent="0.25">
      <c r="B384" s="1"/>
      <c r="C384" s="1"/>
      <c r="D384" s="2"/>
      <c r="E384" s="2"/>
      <c r="H384" s="3"/>
    </row>
    <row r="385" spans="2:8" ht="15.75" customHeight="1" x14ac:dyDescent="0.25">
      <c r="B385" s="1"/>
      <c r="C385" s="1"/>
      <c r="D385" s="2"/>
      <c r="E385" s="2"/>
      <c r="H385" s="3"/>
    </row>
    <row r="386" spans="2:8" ht="15.75" customHeight="1" x14ac:dyDescent="0.25">
      <c r="B386" s="1"/>
      <c r="C386" s="1"/>
      <c r="D386" s="2"/>
      <c r="E386" s="2"/>
      <c r="H386" s="3"/>
    </row>
    <row r="387" spans="2:8" ht="15.75" customHeight="1" x14ac:dyDescent="0.25">
      <c r="B387" s="1"/>
      <c r="C387" s="1"/>
      <c r="D387" s="2"/>
      <c r="E387" s="2"/>
      <c r="H387" s="3"/>
    </row>
    <row r="388" spans="2:8" ht="15.75" customHeight="1" x14ac:dyDescent="0.25">
      <c r="B388" s="1"/>
      <c r="C388" s="1"/>
      <c r="D388" s="2"/>
      <c r="E388" s="2"/>
      <c r="H388" s="3"/>
    </row>
    <row r="389" spans="2:8" ht="15.75" customHeight="1" x14ac:dyDescent="0.25">
      <c r="B389" s="1"/>
      <c r="C389" s="1"/>
      <c r="D389" s="2"/>
      <c r="E389" s="2"/>
      <c r="H389" s="3"/>
    </row>
    <row r="390" spans="2:8" ht="15.75" customHeight="1" x14ac:dyDescent="0.25">
      <c r="B390" s="1"/>
      <c r="C390" s="1"/>
      <c r="D390" s="2"/>
      <c r="E390" s="2"/>
      <c r="H390" s="3"/>
    </row>
    <row r="391" spans="2:8" ht="15.75" customHeight="1" x14ac:dyDescent="0.25">
      <c r="B391" s="1"/>
      <c r="C391" s="1"/>
      <c r="D391" s="2"/>
      <c r="E391" s="2"/>
      <c r="H391" s="3"/>
    </row>
    <row r="392" spans="2:8" ht="15.75" customHeight="1" x14ac:dyDescent="0.25">
      <c r="B392" s="1"/>
      <c r="C392" s="1"/>
      <c r="D392" s="2"/>
      <c r="E392" s="2"/>
      <c r="H392" s="3"/>
    </row>
    <row r="393" spans="2:8" ht="15.75" customHeight="1" x14ac:dyDescent="0.25">
      <c r="B393" s="1"/>
      <c r="C393" s="1"/>
      <c r="D393" s="2"/>
      <c r="E393" s="2"/>
      <c r="H393" s="3"/>
    </row>
    <row r="394" spans="2:8" ht="15.75" customHeight="1" x14ac:dyDescent="0.25">
      <c r="B394" s="1"/>
      <c r="C394" s="1"/>
      <c r="D394" s="2"/>
      <c r="E394" s="2"/>
      <c r="H394" s="3"/>
    </row>
    <row r="395" spans="2:8" ht="15.75" customHeight="1" x14ac:dyDescent="0.25">
      <c r="B395" s="1"/>
      <c r="C395" s="1"/>
      <c r="D395" s="2"/>
      <c r="E395" s="2"/>
      <c r="H395" s="3"/>
    </row>
    <row r="396" spans="2:8" ht="15.75" customHeight="1" x14ac:dyDescent="0.25">
      <c r="B396" s="1"/>
      <c r="C396" s="1"/>
      <c r="D396" s="2"/>
      <c r="E396" s="2"/>
      <c r="H396" s="3"/>
    </row>
    <row r="397" spans="2:8" ht="15.75" customHeight="1" x14ac:dyDescent="0.25">
      <c r="B397" s="1"/>
      <c r="C397" s="1"/>
      <c r="D397" s="2"/>
      <c r="E397" s="2"/>
      <c r="H397" s="3"/>
    </row>
    <row r="398" spans="2:8" ht="15.75" customHeight="1" x14ac:dyDescent="0.25">
      <c r="B398" s="1"/>
      <c r="C398" s="1"/>
      <c r="D398" s="2"/>
      <c r="E398" s="2"/>
      <c r="H398" s="3"/>
    </row>
    <row r="399" spans="2:8" ht="15.75" customHeight="1" x14ac:dyDescent="0.25">
      <c r="B399" s="1"/>
      <c r="C399" s="1"/>
      <c r="D399" s="2"/>
      <c r="E399" s="2"/>
      <c r="H399" s="3"/>
    </row>
    <row r="400" spans="2:8" ht="15.75" customHeight="1" x14ac:dyDescent="0.25">
      <c r="B400" s="1"/>
      <c r="C400" s="1"/>
      <c r="D400" s="2"/>
      <c r="E400" s="2"/>
      <c r="H400" s="3"/>
    </row>
    <row r="401" spans="2:8" ht="15.75" customHeight="1" x14ac:dyDescent="0.25">
      <c r="B401" s="1"/>
      <c r="C401" s="1"/>
      <c r="D401" s="2"/>
      <c r="E401" s="2"/>
      <c r="H401" s="3"/>
    </row>
    <row r="402" spans="2:8" ht="15.75" customHeight="1" x14ac:dyDescent="0.25">
      <c r="B402" s="1"/>
      <c r="C402" s="1"/>
      <c r="D402" s="2"/>
      <c r="E402" s="2"/>
      <c r="H402" s="3"/>
    </row>
    <row r="403" spans="2:8" ht="15.75" customHeight="1" x14ac:dyDescent="0.25">
      <c r="B403" s="1"/>
      <c r="C403" s="1"/>
      <c r="D403" s="2"/>
      <c r="E403" s="2"/>
      <c r="H403" s="3"/>
    </row>
    <row r="404" spans="2:8" ht="15.75" customHeight="1" x14ac:dyDescent="0.25">
      <c r="B404" s="1"/>
      <c r="C404" s="1"/>
      <c r="D404" s="2"/>
      <c r="E404" s="2"/>
      <c r="H404" s="3"/>
    </row>
    <row r="405" spans="2:8" ht="15.75" customHeight="1" x14ac:dyDescent="0.25">
      <c r="B405" s="1"/>
      <c r="C405" s="1"/>
      <c r="D405" s="2"/>
      <c r="E405" s="2"/>
      <c r="H405" s="3"/>
    </row>
    <row r="406" spans="2:8" ht="15.75" customHeight="1" x14ac:dyDescent="0.25">
      <c r="B406" s="1"/>
      <c r="C406" s="1"/>
      <c r="D406" s="2"/>
      <c r="E406" s="2"/>
      <c r="H406" s="3"/>
    </row>
    <row r="407" spans="2:8" ht="15.75" customHeight="1" x14ac:dyDescent="0.25">
      <c r="B407" s="1"/>
      <c r="C407" s="1"/>
      <c r="D407" s="2"/>
      <c r="E407" s="2"/>
      <c r="H407" s="3"/>
    </row>
    <row r="408" spans="2:8" ht="15.75" customHeight="1" x14ac:dyDescent="0.25">
      <c r="B408" s="1"/>
      <c r="C408" s="1"/>
      <c r="D408" s="2"/>
      <c r="E408" s="2"/>
      <c r="H408" s="3"/>
    </row>
    <row r="409" spans="2:8" ht="15.75" customHeight="1" x14ac:dyDescent="0.25">
      <c r="B409" s="1"/>
      <c r="C409" s="1"/>
      <c r="D409" s="2"/>
      <c r="E409" s="2"/>
      <c r="H409" s="3"/>
    </row>
    <row r="410" spans="2:8" ht="15.75" customHeight="1" x14ac:dyDescent="0.25">
      <c r="B410" s="1"/>
      <c r="C410" s="1"/>
      <c r="D410" s="2"/>
      <c r="E410" s="2"/>
      <c r="H410" s="3"/>
    </row>
    <row r="411" spans="2:8" ht="15.75" customHeight="1" x14ac:dyDescent="0.25">
      <c r="B411" s="1"/>
      <c r="C411" s="1"/>
      <c r="D411" s="2"/>
      <c r="E411" s="2"/>
      <c r="H411" s="3"/>
    </row>
    <row r="412" spans="2:8" ht="15.75" customHeight="1" x14ac:dyDescent="0.25">
      <c r="B412" s="1"/>
      <c r="C412" s="1"/>
      <c r="D412" s="2"/>
      <c r="E412" s="2"/>
      <c r="H412" s="3"/>
    </row>
    <row r="413" spans="2:8" ht="15.75" customHeight="1" x14ac:dyDescent="0.25">
      <c r="B413" s="1"/>
      <c r="C413" s="1"/>
      <c r="D413" s="2"/>
      <c r="E413" s="2"/>
      <c r="H413" s="3"/>
    </row>
    <row r="414" spans="2:8" ht="15.75" customHeight="1" x14ac:dyDescent="0.25">
      <c r="B414" s="1"/>
      <c r="C414" s="1"/>
      <c r="D414" s="2"/>
      <c r="E414" s="2"/>
      <c r="H414" s="3"/>
    </row>
    <row r="415" spans="2:8" ht="15.75" customHeight="1" x14ac:dyDescent="0.25">
      <c r="B415" s="1"/>
      <c r="C415" s="1"/>
      <c r="D415" s="2"/>
      <c r="E415" s="2"/>
      <c r="H415" s="3"/>
    </row>
    <row r="416" spans="2:8" ht="15.75" customHeight="1" x14ac:dyDescent="0.25">
      <c r="B416" s="1"/>
      <c r="C416" s="1"/>
      <c r="D416" s="2"/>
      <c r="E416" s="2"/>
      <c r="H416" s="3"/>
    </row>
    <row r="417" spans="2:8" ht="15.75" customHeight="1" x14ac:dyDescent="0.25">
      <c r="B417" s="1"/>
      <c r="C417" s="1"/>
      <c r="D417" s="2"/>
      <c r="E417" s="2"/>
      <c r="H417" s="3"/>
    </row>
    <row r="418" spans="2:8" ht="15.75" customHeight="1" x14ac:dyDescent="0.25">
      <c r="B418" s="1"/>
      <c r="C418" s="1"/>
      <c r="D418" s="2"/>
      <c r="E418" s="2"/>
      <c r="H418" s="3"/>
    </row>
    <row r="419" spans="2:8" ht="15.75" customHeight="1" x14ac:dyDescent="0.25">
      <c r="B419" s="1"/>
      <c r="C419" s="1"/>
      <c r="D419" s="2"/>
      <c r="E419" s="2"/>
      <c r="H419" s="3"/>
    </row>
    <row r="420" spans="2:8" ht="15.75" customHeight="1" x14ac:dyDescent="0.25">
      <c r="B420" s="1"/>
      <c r="C420" s="1"/>
      <c r="D420" s="2"/>
      <c r="E420" s="2"/>
      <c r="H420" s="3"/>
    </row>
    <row r="421" spans="2:8" ht="15.75" customHeight="1" x14ac:dyDescent="0.25">
      <c r="B421" s="1"/>
      <c r="C421" s="1"/>
      <c r="D421" s="2"/>
      <c r="E421" s="2"/>
      <c r="H421" s="3"/>
    </row>
    <row r="422" spans="2:8" ht="15.75" customHeight="1" x14ac:dyDescent="0.25">
      <c r="B422" s="1"/>
      <c r="C422" s="1"/>
      <c r="D422" s="2"/>
      <c r="E422" s="2"/>
      <c r="H422" s="3"/>
    </row>
    <row r="423" spans="2:8" ht="15.75" customHeight="1" x14ac:dyDescent="0.25">
      <c r="B423" s="1"/>
      <c r="C423" s="1"/>
      <c r="D423" s="2"/>
      <c r="E423" s="2"/>
      <c r="H423" s="3"/>
    </row>
    <row r="424" spans="2:8" ht="15.75" customHeight="1" x14ac:dyDescent="0.25">
      <c r="B424" s="1"/>
      <c r="C424" s="1"/>
      <c r="D424" s="2"/>
      <c r="E424" s="2"/>
      <c r="H424" s="3"/>
    </row>
    <row r="425" spans="2:8" ht="15.75" customHeight="1" x14ac:dyDescent="0.25">
      <c r="B425" s="1"/>
      <c r="C425" s="1"/>
      <c r="D425" s="2"/>
      <c r="E425" s="2"/>
      <c r="H425" s="3"/>
    </row>
    <row r="426" spans="2:8" ht="15.75" customHeight="1" x14ac:dyDescent="0.25">
      <c r="B426" s="1"/>
      <c r="C426" s="1"/>
      <c r="D426" s="2"/>
      <c r="E426" s="2"/>
      <c r="H426" s="3"/>
    </row>
    <row r="427" spans="2:8" ht="15.75" customHeight="1" x14ac:dyDescent="0.25">
      <c r="B427" s="1"/>
      <c r="C427" s="1"/>
      <c r="D427" s="2"/>
      <c r="E427" s="2"/>
      <c r="H427" s="3"/>
    </row>
    <row r="428" spans="2:8" ht="15.75" customHeight="1" x14ac:dyDescent="0.25">
      <c r="B428" s="1"/>
      <c r="C428" s="1"/>
      <c r="D428" s="2"/>
      <c r="E428" s="2"/>
      <c r="H428" s="3"/>
    </row>
    <row r="429" spans="2:8" ht="15.75" customHeight="1" x14ac:dyDescent="0.25">
      <c r="B429" s="1"/>
      <c r="C429" s="1"/>
      <c r="D429" s="2"/>
      <c r="E429" s="2"/>
      <c r="H429" s="3"/>
    </row>
    <row r="430" spans="2:8" ht="15.75" customHeight="1" x14ac:dyDescent="0.25">
      <c r="B430" s="1"/>
      <c r="C430" s="1"/>
      <c r="D430" s="2"/>
      <c r="E430" s="2"/>
      <c r="H430" s="3"/>
    </row>
    <row r="431" spans="2:8" ht="15.75" customHeight="1" x14ac:dyDescent="0.25">
      <c r="B431" s="1"/>
      <c r="C431" s="1"/>
      <c r="D431" s="2"/>
      <c r="E431" s="2"/>
      <c r="H431" s="3"/>
    </row>
    <row r="432" spans="2:8" ht="15.75" customHeight="1" x14ac:dyDescent="0.25">
      <c r="B432" s="1"/>
      <c r="C432" s="1"/>
      <c r="D432" s="2"/>
      <c r="E432" s="2"/>
      <c r="H432" s="3"/>
    </row>
    <row r="433" spans="2:8" ht="15.75" customHeight="1" x14ac:dyDescent="0.25">
      <c r="B433" s="1"/>
      <c r="C433" s="1"/>
      <c r="D433" s="2"/>
      <c r="E433" s="2"/>
      <c r="H433" s="3"/>
    </row>
    <row r="434" spans="2:8" ht="15.75" customHeight="1" x14ac:dyDescent="0.25">
      <c r="B434" s="1"/>
      <c r="C434" s="1"/>
      <c r="D434" s="2"/>
      <c r="E434" s="2"/>
      <c r="H434" s="3"/>
    </row>
    <row r="435" spans="2:8" ht="15.75" customHeight="1" x14ac:dyDescent="0.25">
      <c r="B435" s="1"/>
      <c r="C435" s="1"/>
      <c r="D435" s="2"/>
      <c r="E435" s="2"/>
      <c r="H435" s="3"/>
    </row>
    <row r="436" spans="2:8" ht="15.75" customHeight="1" x14ac:dyDescent="0.25">
      <c r="B436" s="1"/>
      <c r="C436" s="1"/>
      <c r="D436" s="2"/>
      <c r="E436" s="2"/>
      <c r="H436" s="3"/>
    </row>
    <row r="437" spans="2:8" ht="15.75" customHeight="1" x14ac:dyDescent="0.25">
      <c r="B437" s="1"/>
      <c r="C437" s="1"/>
      <c r="D437" s="2"/>
      <c r="E437" s="2"/>
      <c r="H437" s="3"/>
    </row>
    <row r="438" spans="2:8" ht="15.75" customHeight="1" x14ac:dyDescent="0.25">
      <c r="B438" s="1"/>
      <c r="C438" s="1"/>
      <c r="D438" s="2"/>
      <c r="E438" s="2"/>
      <c r="H438" s="3"/>
    </row>
    <row r="439" spans="2:8" ht="15.75" customHeight="1" x14ac:dyDescent="0.25">
      <c r="B439" s="1"/>
      <c r="C439" s="1"/>
      <c r="D439" s="2"/>
      <c r="E439" s="2"/>
      <c r="H439" s="3"/>
    </row>
    <row r="440" spans="2:8" ht="15.75" customHeight="1" x14ac:dyDescent="0.25">
      <c r="B440" s="1"/>
      <c r="C440" s="1"/>
      <c r="D440" s="2"/>
      <c r="E440" s="2"/>
      <c r="H440" s="3"/>
    </row>
    <row r="441" spans="2:8" ht="15.75" customHeight="1" x14ac:dyDescent="0.25">
      <c r="B441" s="1"/>
      <c r="C441" s="1"/>
      <c r="D441" s="2"/>
      <c r="E441" s="2"/>
      <c r="H441" s="3"/>
    </row>
    <row r="442" spans="2:8" ht="15.75" customHeight="1" x14ac:dyDescent="0.25">
      <c r="B442" s="1"/>
      <c r="C442" s="1"/>
      <c r="D442" s="2"/>
      <c r="E442" s="2"/>
      <c r="H442" s="3"/>
    </row>
    <row r="443" spans="2:8" ht="15.75" customHeight="1" x14ac:dyDescent="0.25">
      <c r="B443" s="1"/>
      <c r="C443" s="1"/>
      <c r="D443" s="2"/>
      <c r="E443" s="2"/>
      <c r="H443" s="3"/>
    </row>
    <row r="444" spans="2:8" ht="15.75" customHeight="1" x14ac:dyDescent="0.25">
      <c r="B444" s="1"/>
      <c r="C444" s="1"/>
      <c r="D444" s="2"/>
      <c r="E444" s="2"/>
      <c r="H444" s="3"/>
    </row>
    <row r="445" spans="2:8" ht="15.75" customHeight="1" x14ac:dyDescent="0.25">
      <c r="B445" s="1"/>
      <c r="C445" s="1"/>
      <c r="D445" s="2"/>
      <c r="E445" s="2"/>
      <c r="H445" s="3"/>
    </row>
    <row r="446" spans="2:8" ht="15.75" customHeight="1" x14ac:dyDescent="0.25">
      <c r="B446" s="1"/>
      <c r="C446" s="1"/>
      <c r="D446" s="2"/>
      <c r="E446" s="2"/>
      <c r="H446" s="3"/>
    </row>
    <row r="447" spans="2:8" ht="15.75" customHeight="1" x14ac:dyDescent="0.25">
      <c r="B447" s="1"/>
      <c r="C447" s="1"/>
      <c r="D447" s="2"/>
      <c r="E447" s="2"/>
      <c r="H447" s="3"/>
    </row>
    <row r="448" spans="2:8" ht="15.75" customHeight="1" x14ac:dyDescent="0.25">
      <c r="B448" s="1"/>
      <c r="C448" s="1"/>
      <c r="D448" s="2"/>
      <c r="E448" s="2"/>
      <c r="H448" s="3"/>
    </row>
    <row r="449" spans="2:8" ht="15.75" customHeight="1" x14ac:dyDescent="0.25">
      <c r="B449" s="1"/>
      <c r="C449" s="1"/>
      <c r="D449" s="2"/>
      <c r="E449" s="2"/>
      <c r="H449" s="3"/>
    </row>
    <row r="450" spans="2:8" ht="15.75" customHeight="1" x14ac:dyDescent="0.25">
      <c r="B450" s="1"/>
      <c r="C450" s="1"/>
      <c r="D450" s="2"/>
      <c r="E450" s="2"/>
      <c r="H450" s="3"/>
    </row>
    <row r="451" spans="2:8" ht="15.75" customHeight="1" x14ac:dyDescent="0.25">
      <c r="B451" s="1"/>
      <c r="C451" s="1"/>
      <c r="D451" s="2"/>
      <c r="E451" s="2"/>
      <c r="H451" s="3"/>
    </row>
    <row r="452" spans="2:8" ht="15.75" customHeight="1" x14ac:dyDescent="0.25">
      <c r="B452" s="1"/>
      <c r="C452" s="1"/>
      <c r="D452" s="2"/>
      <c r="E452" s="2"/>
      <c r="H452" s="3"/>
    </row>
    <row r="453" spans="2:8" ht="15.75" customHeight="1" x14ac:dyDescent="0.25">
      <c r="B453" s="1"/>
      <c r="C453" s="1"/>
      <c r="D453" s="2"/>
      <c r="E453" s="2"/>
      <c r="H453" s="3"/>
    </row>
    <row r="454" spans="2:8" ht="15.75" customHeight="1" x14ac:dyDescent="0.25">
      <c r="B454" s="1"/>
      <c r="C454" s="1"/>
      <c r="D454" s="2"/>
      <c r="E454" s="2"/>
      <c r="H454" s="3"/>
    </row>
    <row r="455" spans="2:8" ht="15.75" customHeight="1" x14ac:dyDescent="0.25">
      <c r="B455" s="1"/>
      <c r="C455" s="1"/>
      <c r="D455" s="2"/>
      <c r="E455" s="2"/>
      <c r="H455" s="3"/>
    </row>
    <row r="456" spans="2:8" ht="15.75" customHeight="1" x14ac:dyDescent="0.25">
      <c r="B456" s="1"/>
      <c r="C456" s="1"/>
      <c r="D456" s="2"/>
      <c r="E456" s="2"/>
      <c r="H456" s="3"/>
    </row>
    <row r="457" spans="2:8" ht="15.75" customHeight="1" x14ac:dyDescent="0.25">
      <c r="B457" s="1"/>
      <c r="C457" s="1"/>
      <c r="D457" s="2"/>
      <c r="E457" s="2"/>
      <c r="H457" s="3"/>
    </row>
    <row r="458" spans="2:8" ht="15.75" customHeight="1" x14ac:dyDescent="0.25">
      <c r="B458" s="1"/>
      <c r="C458" s="1"/>
      <c r="D458" s="2"/>
      <c r="E458" s="2"/>
      <c r="H458" s="3"/>
    </row>
    <row r="459" spans="2:8" ht="15.75" customHeight="1" x14ac:dyDescent="0.25">
      <c r="B459" s="1"/>
      <c r="C459" s="1"/>
      <c r="D459" s="2"/>
      <c r="E459" s="2"/>
      <c r="H459" s="3"/>
    </row>
    <row r="460" spans="2:8" ht="15.75" customHeight="1" x14ac:dyDescent="0.25">
      <c r="B460" s="1"/>
      <c r="C460" s="1"/>
      <c r="D460" s="2"/>
      <c r="E460" s="2"/>
      <c r="H460" s="3"/>
    </row>
    <row r="461" spans="2:8" ht="15.75" customHeight="1" x14ac:dyDescent="0.25">
      <c r="B461" s="1"/>
      <c r="C461" s="1"/>
      <c r="D461" s="2"/>
      <c r="E461" s="2"/>
      <c r="H461" s="3"/>
    </row>
    <row r="462" spans="2:8" ht="15.75" customHeight="1" x14ac:dyDescent="0.25">
      <c r="B462" s="1"/>
      <c r="C462" s="1"/>
      <c r="D462" s="2"/>
      <c r="E462" s="2"/>
      <c r="H462" s="3"/>
    </row>
    <row r="463" spans="2:8" ht="15.75" customHeight="1" x14ac:dyDescent="0.25">
      <c r="B463" s="1"/>
      <c r="C463" s="1"/>
      <c r="D463" s="2"/>
      <c r="E463" s="2"/>
      <c r="H463" s="3"/>
    </row>
    <row r="464" spans="2:8" ht="15.75" customHeight="1" x14ac:dyDescent="0.25">
      <c r="B464" s="1"/>
      <c r="C464" s="1"/>
      <c r="D464" s="2"/>
      <c r="E464" s="2"/>
      <c r="H464" s="3"/>
    </row>
    <row r="465" spans="2:8" ht="15.75" customHeight="1" x14ac:dyDescent="0.25">
      <c r="B465" s="1"/>
      <c r="C465" s="1"/>
      <c r="D465" s="2"/>
      <c r="E465" s="2"/>
      <c r="H465" s="3"/>
    </row>
    <row r="466" spans="2:8" ht="15.75" customHeight="1" x14ac:dyDescent="0.25">
      <c r="B466" s="1"/>
      <c r="C466" s="1"/>
      <c r="D466" s="2"/>
      <c r="E466" s="2"/>
      <c r="H466" s="3"/>
    </row>
    <row r="467" spans="2:8" ht="15.75" customHeight="1" x14ac:dyDescent="0.25">
      <c r="B467" s="1"/>
      <c r="C467" s="1"/>
      <c r="D467" s="2"/>
      <c r="E467" s="2"/>
      <c r="H467" s="3"/>
    </row>
    <row r="468" spans="2:8" ht="15.75" customHeight="1" x14ac:dyDescent="0.25">
      <c r="B468" s="1"/>
      <c r="C468" s="1"/>
      <c r="D468" s="2"/>
      <c r="E468" s="2"/>
      <c r="H468" s="3"/>
    </row>
    <row r="469" spans="2:8" ht="15.75" customHeight="1" x14ac:dyDescent="0.25">
      <c r="B469" s="1"/>
      <c r="C469" s="1"/>
      <c r="D469" s="2"/>
      <c r="E469" s="2"/>
      <c r="H469" s="3"/>
    </row>
    <row r="470" spans="2:8" ht="15.75" customHeight="1" x14ac:dyDescent="0.25">
      <c r="B470" s="1"/>
      <c r="C470" s="1"/>
      <c r="D470" s="2"/>
      <c r="E470" s="2"/>
      <c r="H470" s="3"/>
    </row>
    <row r="471" spans="2:8" ht="15.75" customHeight="1" x14ac:dyDescent="0.25">
      <c r="B471" s="1"/>
      <c r="C471" s="1"/>
      <c r="D471" s="2"/>
      <c r="E471" s="2"/>
      <c r="H471" s="3"/>
    </row>
    <row r="472" spans="2:8" ht="15.75" customHeight="1" x14ac:dyDescent="0.25">
      <c r="B472" s="1"/>
      <c r="C472" s="1"/>
      <c r="D472" s="2"/>
      <c r="E472" s="2"/>
      <c r="H472" s="3"/>
    </row>
    <row r="473" spans="2:8" ht="15.75" customHeight="1" x14ac:dyDescent="0.25">
      <c r="B473" s="1"/>
      <c r="C473" s="1"/>
      <c r="D473" s="2"/>
      <c r="E473" s="2"/>
      <c r="H473" s="3"/>
    </row>
    <row r="474" spans="2:8" ht="15.75" customHeight="1" x14ac:dyDescent="0.25">
      <c r="B474" s="1"/>
      <c r="C474" s="1"/>
      <c r="D474" s="2"/>
      <c r="E474" s="2"/>
      <c r="H474" s="3"/>
    </row>
    <row r="475" spans="2:8" ht="15.75" customHeight="1" x14ac:dyDescent="0.25">
      <c r="B475" s="1"/>
      <c r="C475" s="1"/>
      <c r="D475" s="2"/>
      <c r="E475" s="2"/>
      <c r="H475" s="3"/>
    </row>
    <row r="476" spans="2:8" ht="15.75" customHeight="1" x14ac:dyDescent="0.25">
      <c r="B476" s="1"/>
      <c r="C476" s="1"/>
      <c r="D476" s="2"/>
      <c r="E476" s="2"/>
      <c r="H476" s="3"/>
    </row>
    <row r="477" spans="2:8" ht="15.75" customHeight="1" x14ac:dyDescent="0.25">
      <c r="B477" s="1"/>
      <c r="C477" s="1"/>
      <c r="D477" s="2"/>
      <c r="E477" s="2"/>
      <c r="H477" s="3"/>
    </row>
    <row r="478" spans="2:8" ht="15.75" customHeight="1" x14ac:dyDescent="0.25">
      <c r="B478" s="1"/>
      <c r="C478" s="1"/>
      <c r="D478" s="2"/>
      <c r="E478" s="2"/>
      <c r="H478" s="3"/>
    </row>
    <row r="479" spans="2:8" ht="15.75" customHeight="1" x14ac:dyDescent="0.25">
      <c r="B479" s="1"/>
      <c r="C479" s="1"/>
      <c r="D479" s="2"/>
      <c r="E479" s="2"/>
      <c r="H479" s="3"/>
    </row>
    <row r="480" spans="2:8" ht="15.75" customHeight="1" x14ac:dyDescent="0.25">
      <c r="B480" s="1"/>
      <c r="C480" s="1"/>
      <c r="D480" s="2"/>
      <c r="E480" s="2"/>
      <c r="H480" s="3"/>
    </row>
    <row r="481" spans="2:8" ht="15.75" customHeight="1" x14ac:dyDescent="0.25">
      <c r="B481" s="1"/>
      <c r="C481" s="1"/>
      <c r="D481" s="2"/>
      <c r="E481" s="2"/>
      <c r="H481" s="3"/>
    </row>
    <row r="482" spans="2:8" ht="15.75" customHeight="1" x14ac:dyDescent="0.25">
      <c r="B482" s="1"/>
      <c r="C482" s="1"/>
      <c r="D482" s="2"/>
      <c r="E482" s="2"/>
      <c r="H482" s="3"/>
    </row>
    <row r="483" spans="2:8" ht="15.75" customHeight="1" x14ac:dyDescent="0.25">
      <c r="B483" s="1"/>
      <c r="C483" s="1"/>
      <c r="D483" s="2"/>
      <c r="E483" s="2"/>
      <c r="H483" s="3"/>
    </row>
    <row r="484" spans="2:8" ht="15.75" customHeight="1" x14ac:dyDescent="0.25">
      <c r="B484" s="1"/>
      <c r="C484" s="1"/>
      <c r="D484" s="2"/>
      <c r="E484" s="2"/>
      <c r="H484" s="3"/>
    </row>
    <row r="485" spans="2:8" ht="15.75" customHeight="1" x14ac:dyDescent="0.25">
      <c r="B485" s="1"/>
      <c r="C485" s="1"/>
      <c r="D485" s="2"/>
      <c r="E485" s="2"/>
      <c r="H485" s="3"/>
    </row>
    <row r="486" spans="2:8" ht="15.75" customHeight="1" x14ac:dyDescent="0.25">
      <c r="B486" s="1"/>
      <c r="C486" s="1"/>
      <c r="D486" s="2"/>
      <c r="E486" s="2"/>
      <c r="H486" s="3"/>
    </row>
    <row r="487" spans="2:8" ht="15.75" customHeight="1" x14ac:dyDescent="0.25">
      <c r="B487" s="1"/>
      <c r="C487" s="1"/>
      <c r="D487" s="2"/>
      <c r="E487" s="2"/>
      <c r="H487" s="3"/>
    </row>
    <row r="488" spans="2:8" ht="15.75" customHeight="1" x14ac:dyDescent="0.25">
      <c r="B488" s="1"/>
      <c r="C488" s="1"/>
      <c r="D488" s="2"/>
      <c r="E488" s="2"/>
      <c r="H488" s="3"/>
    </row>
    <row r="489" spans="2:8" ht="15.75" customHeight="1" x14ac:dyDescent="0.25">
      <c r="B489" s="1"/>
      <c r="C489" s="1"/>
      <c r="D489" s="2"/>
      <c r="E489" s="2"/>
      <c r="H489" s="3"/>
    </row>
    <row r="490" spans="2:8" ht="15.75" customHeight="1" x14ac:dyDescent="0.25">
      <c r="B490" s="1"/>
      <c r="C490" s="1"/>
      <c r="D490" s="2"/>
      <c r="E490" s="2"/>
      <c r="H490" s="3"/>
    </row>
    <row r="491" spans="2:8" ht="15.75" customHeight="1" x14ac:dyDescent="0.25">
      <c r="B491" s="1"/>
      <c r="C491" s="1"/>
      <c r="D491" s="2"/>
      <c r="E491" s="2"/>
      <c r="H491" s="3"/>
    </row>
    <row r="492" spans="2:8" ht="15.75" customHeight="1" x14ac:dyDescent="0.25">
      <c r="B492" s="1"/>
      <c r="C492" s="1"/>
      <c r="D492" s="2"/>
      <c r="E492" s="2"/>
      <c r="H492" s="3"/>
    </row>
    <row r="493" spans="2:8" ht="15.75" customHeight="1" x14ac:dyDescent="0.25">
      <c r="B493" s="1"/>
      <c r="C493" s="1"/>
      <c r="D493" s="2"/>
      <c r="E493" s="2"/>
      <c r="H493" s="3"/>
    </row>
    <row r="494" spans="2:8" ht="15.75" customHeight="1" x14ac:dyDescent="0.25">
      <c r="B494" s="1"/>
      <c r="C494" s="1"/>
      <c r="D494" s="2"/>
      <c r="E494" s="2"/>
      <c r="H494" s="3"/>
    </row>
    <row r="495" spans="2:8" ht="15.75" customHeight="1" x14ac:dyDescent="0.25">
      <c r="B495" s="1"/>
      <c r="C495" s="1"/>
      <c r="D495" s="2"/>
      <c r="E495" s="2"/>
      <c r="H495" s="3"/>
    </row>
    <row r="496" spans="2:8" ht="15.75" customHeight="1" x14ac:dyDescent="0.25">
      <c r="B496" s="1"/>
      <c r="C496" s="1"/>
      <c r="D496" s="2"/>
      <c r="E496" s="2"/>
      <c r="H496" s="3"/>
    </row>
    <row r="497" spans="2:8" ht="15.75" customHeight="1" x14ac:dyDescent="0.25">
      <c r="B497" s="1"/>
      <c r="C497" s="1"/>
      <c r="D497" s="2"/>
      <c r="E497" s="2"/>
      <c r="H497" s="3"/>
    </row>
    <row r="498" spans="2:8" ht="15.75" customHeight="1" x14ac:dyDescent="0.25">
      <c r="B498" s="1"/>
      <c r="C498" s="1"/>
      <c r="D498" s="2"/>
      <c r="E498" s="2"/>
      <c r="H498" s="3"/>
    </row>
    <row r="499" spans="2:8" ht="15.75" customHeight="1" x14ac:dyDescent="0.25">
      <c r="B499" s="1"/>
      <c r="C499" s="1"/>
      <c r="D499" s="2"/>
      <c r="E499" s="2"/>
      <c r="H499" s="3"/>
    </row>
    <row r="500" spans="2:8" ht="15.75" customHeight="1" x14ac:dyDescent="0.25">
      <c r="B500" s="1"/>
      <c r="C500" s="1"/>
      <c r="D500" s="2"/>
      <c r="E500" s="2"/>
      <c r="H500" s="3"/>
    </row>
    <row r="501" spans="2:8" ht="15.75" customHeight="1" x14ac:dyDescent="0.25">
      <c r="B501" s="1"/>
      <c r="C501" s="1"/>
      <c r="D501" s="2"/>
      <c r="E501" s="2"/>
      <c r="H501" s="3"/>
    </row>
    <row r="502" spans="2:8" ht="15.75" customHeight="1" x14ac:dyDescent="0.25">
      <c r="B502" s="1"/>
      <c r="C502" s="1"/>
      <c r="D502" s="2"/>
      <c r="E502" s="2"/>
      <c r="H502" s="3"/>
    </row>
    <row r="503" spans="2:8" ht="15.75" customHeight="1" x14ac:dyDescent="0.25">
      <c r="B503" s="1"/>
      <c r="C503" s="1"/>
      <c r="D503" s="2"/>
      <c r="E503" s="2"/>
      <c r="H503" s="3"/>
    </row>
    <row r="504" spans="2:8" ht="15.75" customHeight="1" x14ac:dyDescent="0.25">
      <c r="B504" s="1"/>
      <c r="C504" s="1"/>
      <c r="D504" s="2"/>
      <c r="E504" s="2"/>
      <c r="H504" s="3"/>
    </row>
    <row r="505" spans="2:8" ht="15.75" customHeight="1" x14ac:dyDescent="0.25">
      <c r="B505" s="1"/>
      <c r="C505" s="1"/>
      <c r="D505" s="2"/>
      <c r="E505" s="2"/>
      <c r="H505" s="3"/>
    </row>
    <row r="506" spans="2:8" ht="15.75" customHeight="1" x14ac:dyDescent="0.25">
      <c r="B506" s="1"/>
      <c r="C506" s="1"/>
      <c r="D506" s="2"/>
      <c r="E506" s="2"/>
      <c r="H506" s="3"/>
    </row>
    <row r="507" spans="2:8" ht="15.75" customHeight="1" x14ac:dyDescent="0.25">
      <c r="B507" s="1"/>
      <c r="C507" s="1"/>
      <c r="D507" s="2"/>
      <c r="E507" s="2"/>
      <c r="H507" s="3"/>
    </row>
    <row r="508" spans="2:8" ht="15.75" customHeight="1" x14ac:dyDescent="0.25">
      <c r="B508" s="1"/>
      <c r="C508" s="1"/>
      <c r="D508" s="2"/>
      <c r="E508" s="2"/>
      <c r="H508" s="3"/>
    </row>
    <row r="509" spans="2:8" ht="15.75" customHeight="1" x14ac:dyDescent="0.25">
      <c r="B509" s="1"/>
      <c r="C509" s="1"/>
      <c r="D509" s="2"/>
      <c r="E509" s="2"/>
      <c r="H509" s="3"/>
    </row>
    <row r="510" spans="2:8" ht="15.75" customHeight="1" x14ac:dyDescent="0.25">
      <c r="B510" s="1"/>
      <c r="C510" s="1"/>
      <c r="D510" s="2"/>
      <c r="E510" s="2"/>
      <c r="H510" s="3"/>
    </row>
    <row r="511" spans="2:8" ht="15.75" customHeight="1" x14ac:dyDescent="0.25">
      <c r="B511" s="1"/>
      <c r="C511" s="1"/>
      <c r="D511" s="2"/>
      <c r="E511" s="2"/>
      <c r="H511" s="3"/>
    </row>
    <row r="512" spans="2:8" ht="15.75" customHeight="1" x14ac:dyDescent="0.25">
      <c r="B512" s="1"/>
      <c r="C512" s="1"/>
      <c r="D512" s="2"/>
      <c r="E512" s="2"/>
      <c r="H512" s="3"/>
    </row>
    <row r="513" spans="2:8" ht="15.75" customHeight="1" x14ac:dyDescent="0.25">
      <c r="B513" s="1"/>
      <c r="C513" s="1"/>
      <c r="D513" s="2"/>
      <c r="E513" s="2"/>
      <c r="H513" s="3"/>
    </row>
    <row r="514" spans="2:8" ht="15.75" customHeight="1" x14ac:dyDescent="0.25">
      <c r="B514" s="1"/>
      <c r="C514" s="1"/>
      <c r="D514" s="2"/>
      <c r="E514" s="2"/>
      <c r="H514" s="3"/>
    </row>
    <row r="515" spans="2:8" ht="15.75" customHeight="1" x14ac:dyDescent="0.25">
      <c r="B515" s="1"/>
      <c r="C515" s="1"/>
      <c r="D515" s="2"/>
      <c r="E515" s="2"/>
      <c r="H515" s="3"/>
    </row>
    <row r="516" spans="2:8" ht="15.75" customHeight="1" x14ac:dyDescent="0.25">
      <c r="B516" s="1"/>
      <c r="C516" s="1"/>
      <c r="D516" s="2"/>
      <c r="E516" s="2"/>
      <c r="H516" s="3"/>
    </row>
    <row r="517" spans="2:8" ht="15.75" customHeight="1" x14ac:dyDescent="0.25">
      <c r="B517" s="1"/>
      <c r="C517" s="1"/>
      <c r="D517" s="2"/>
      <c r="E517" s="2"/>
      <c r="H517" s="3"/>
    </row>
    <row r="518" spans="2:8" ht="15.75" customHeight="1" x14ac:dyDescent="0.25">
      <c r="B518" s="1"/>
      <c r="C518" s="1"/>
      <c r="D518" s="2"/>
      <c r="E518" s="2"/>
      <c r="H518" s="3"/>
    </row>
    <row r="519" spans="2:8" ht="15.75" customHeight="1" x14ac:dyDescent="0.25">
      <c r="B519" s="1"/>
      <c r="C519" s="1"/>
      <c r="D519" s="2"/>
      <c r="E519" s="2"/>
      <c r="H519" s="3"/>
    </row>
    <row r="520" spans="2:8" ht="15.75" customHeight="1" x14ac:dyDescent="0.25">
      <c r="B520" s="1"/>
      <c r="C520" s="1"/>
      <c r="D520" s="2"/>
      <c r="E520" s="2"/>
      <c r="H520" s="3"/>
    </row>
    <row r="521" spans="2:8" ht="15.75" customHeight="1" x14ac:dyDescent="0.25">
      <c r="B521" s="1"/>
      <c r="C521" s="1"/>
      <c r="D521" s="2"/>
      <c r="E521" s="2"/>
      <c r="H521" s="3"/>
    </row>
    <row r="522" spans="2:8" ht="15.75" customHeight="1" x14ac:dyDescent="0.25">
      <c r="B522" s="1"/>
      <c r="C522" s="1"/>
      <c r="D522" s="2"/>
      <c r="E522" s="2"/>
      <c r="H522" s="3"/>
    </row>
    <row r="523" spans="2:8" ht="15.75" customHeight="1" x14ac:dyDescent="0.25">
      <c r="B523" s="1"/>
      <c r="C523" s="1"/>
      <c r="D523" s="2"/>
      <c r="E523" s="2"/>
      <c r="H523" s="3"/>
    </row>
    <row r="524" spans="2:8" ht="15.75" customHeight="1" x14ac:dyDescent="0.25">
      <c r="B524" s="1"/>
      <c r="C524" s="1"/>
      <c r="D524" s="2"/>
      <c r="E524" s="2"/>
      <c r="H524" s="3"/>
    </row>
    <row r="525" spans="2:8" ht="15.75" customHeight="1" x14ac:dyDescent="0.25">
      <c r="B525" s="1"/>
      <c r="C525" s="1"/>
      <c r="D525" s="2"/>
      <c r="E525" s="2"/>
      <c r="H525" s="3"/>
    </row>
    <row r="526" spans="2:8" ht="15.75" customHeight="1" x14ac:dyDescent="0.25">
      <c r="B526" s="1"/>
      <c r="C526" s="1"/>
      <c r="D526" s="2"/>
      <c r="E526" s="2"/>
      <c r="H526" s="3"/>
    </row>
    <row r="527" spans="2:8" ht="15.75" customHeight="1" x14ac:dyDescent="0.25">
      <c r="B527" s="1"/>
      <c r="C527" s="1"/>
      <c r="D527" s="2"/>
      <c r="E527" s="2"/>
      <c r="H527" s="3"/>
    </row>
    <row r="528" spans="2:8" ht="15.75" customHeight="1" x14ac:dyDescent="0.25">
      <c r="B528" s="1"/>
      <c r="C528" s="1"/>
      <c r="D528" s="2"/>
      <c r="E528" s="2"/>
      <c r="H528" s="3"/>
    </row>
    <row r="529" spans="2:8" ht="15.75" customHeight="1" x14ac:dyDescent="0.25">
      <c r="B529" s="1"/>
      <c r="C529" s="1"/>
      <c r="D529" s="2"/>
      <c r="E529" s="2"/>
      <c r="H529" s="3"/>
    </row>
    <row r="530" spans="2:8" ht="15.75" customHeight="1" x14ac:dyDescent="0.25">
      <c r="B530" s="1"/>
      <c r="C530" s="1"/>
      <c r="D530" s="2"/>
      <c r="E530" s="2"/>
      <c r="H530" s="3"/>
    </row>
    <row r="531" spans="2:8" ht="15.75" customHeight="1" x14ac:dyDescent="0.25">
      <c r="B531" s="1"/>
      <c r="C531" s="1"/>
      <c r="D531" s="2"/>
      <c r="E531" s="2"/>
      <c r="H531" s="3"/>
    </row>
    <row r="532" spans="2:8" ht="15.75" customHeight="1" x14ac:dyDescent="0.25">
      <c r="B532" s="1"/>
      <c r="C532" s="1"/>
      <c r="D532" s="2"/>
      <c r="E532" s="2"/>
      <c r="H532" s="3"/>
    </row>
    <row r="533" spans="2:8" ht="15.75" customHeight="1" x14ac:dyDescent="0.25">
      <c r="B533" s="1"/>
      <c r="C533" s="1"/>
      <c r="D533" s="2"/>
      <c r="E533" s="2"/>
      <c r="H533" s="3"/>
    </row>
    <row r="534" spans="2:8" ht="15.75" customHeight="1" x14ac:dyDescent="0.25">
      <c r="B534" s="1"/>
      <c r="C534" s="1"/>
      <c r="D534" s="2"/>
      <c r="E534" s="2"/>
      <c r="H534" s="3"/>
    </row>
    <row r="535" spans="2:8" ht="15.75" customHeight="1" x14ac:dyDescent="0.25">
      <c r="B535" s="1"/>
      <c r="C535" s="1"/>
      <c r="D535" s="2"/>
      <c r="E535" s="2"/>
      <c r="H535" s="3"/>
    </row>
    <row r="536" spans="2:8" ht="15.75" customHeight="1" x14ac:dyDescent="0.25">
      <c r="B536" s="1"/>
      <c r="C536" s="1"/>
      <c r="D536" s="2"/>
      <c r="E536" s="2"/>
      <c r="H536" s="3"/>
    </row>
    <row r="537" spans="2:8" ht="15.75" customHeight="1" x14ac:dyDescent="0.25">
      <c r="B537" s="1"/>
      <c r="C537" s="1"/>
      <c r="D537" s="2"/>
      <c r="E537" s="2"/>
      <c r="H537" s="3"/>
    </row>
    <row r="538" spans="2:8" ht="15.75" customHeight="1" x14ac:dyDescent="0.25">
      <c r="B538" s="1"/>
      <c r="C538" s="1"/>
      <c r="D538" s="2"/>
      <c r="E538" s="2"/>
      <c r="H538" s="3"/>
    </row>
    <row r="539" spans="2:8" ht="15.75" customHeight="1" x14ac:dyDescent="0.25">
      <c r="B539" s="1"/>
      <c r="C539" s="1"/>
      <c r="D539" s="2"/>
      <c r="E539" s="2"/>
      <c r="H539" s="3"/>
    </row>
    <row r="540" spans="2:8" ht="15.75" customHeight="1" x14ac:dyDescent="0.25">
      <c r="B540" s="1"/>
      <c r="C540" s="1"/>
      <c r="D540" s="2"/>
      <c r="E540" s="2"/>
      <c r="H540" s="3"/>
    </row>
    <row r="541" spans="2:8" ht="15.75" customHeight="1" x14ac:dyDescent="0.25">
      <c r="B541" s="1"/>
      <c r="C541" s="1"/>
      <c r="D541" s="2"/>
      <c r="E541" s="2"/>
      <c r="H541" s="3"/>
    </row>
    <row r="542" spans="2:8" ht="15.75" customHeight="1" x14ac:dyDescent="0.25">
      <c r="B542" s="1"/>
      <c r="C542" s="1"/>
      <c r="D542" s="2"/>
      <c r="E542" s="2"/>
      <c r="H542" s="3"/>
    </row>
    <row r="543" spans="2:8" ht="15.75" customHeight="1" x14ac:dyDescent="0.25">
      <c r="B543" s="1"/>
      <c r="C543" s="1"/>
      <c r="D543" s="2"/>
      <c r="E543" s="2"/>
      <c r="H543" s="3"/>
    </row>
    <row r="544" spans="2:8" ht="15.75" customHeight="1" x14ac:dyDescent="0.25">
      <c r="B544" s="1"/>
      <c r="C544" s="1"/>
      <c r="D544" s="2"/>
      <c r="E544" s="2"/>
      <c r="H544" s="3"/>
    </row>
    <row r="545" spans="2:8" ht="15.75" customHeight="1" x14ac:dyDescent="0.25">
      <c r="B545" s="1"/>
      <c r="C545" s="1"/>
      <c r="D545" s="2"/>
      <c r="E545" s="2"/>
      <c r="H545" s="3"/>
    </row>
    <row r="546" spans="2:8" ht="15.75" customHeight="1" x14ac:dyDescent="0.25">
      <c r="B546" s="1"/>
      <c r="C546" s="1"/>
      <c r="D546" s="2"/>
      <c r="E546" s="2"/>
      <c r="H546" s="3"/>
    </row>
    <row r="547" spans="2:8" ht="15.75" customHeight="1" x14ac:dyDescent="0.25">
      <c r="B547" s="1"/>
      <c r="C547" s="1"/>
      <c r="D547" s="2"/>
      <c r="E547" s="2"/>
      <c r="H547" s="3"/>
    </row>
    <row r="548" spans="2:8" ht="15.75" customHeight="1" x14ac:dyDescent="0.25">
      <c r="B548" s="1"/>
      <c r="C548" s="1"/>
      <c r="D548" s="2"/>
      <c r="E548" s="2"/>
      <c r="H548" s="3"/>
    </row>
    <row r="549" spans="2:8" ht="15.75" customHeight="1" x14ac:dyDescent="0.25">
      <c r="B549" s="1"/>
      <c r="C549" s="1"/>
      <c r="D549" s="2"/>
      <c r="E549" s="2"/>
      <c r="H549" s="3"/>
    </row>
    <row r="550" spans="2:8" ht="15.75" customHeight="1" x14ac:dyDescent="0.25">
      <c r="B550" s="1"/>
      <c r="C550" s="1"/>
      <c r="D550" s="2"/>
      <c r="E550" s="2"/>
      <c r="H550" s="3"/>
    </row>
    <row r="551" spans="2:8" ht="15.75" customHeight="1" x14ac:dyDescent="0.25">
      <c r="B551" s="1"/>
      <c r="C551" s="1"/>
      <c r="D551" s="2"/>
      <c r="E551" s="2"/>
      <c r="H551" s="3"/>
    </row>
    <row r="552" spans="2:8" ht="15.75" customHeight="1" x14ac:dyDescent="0.25">
      <c r="B552" s="1"/>
      <c r="C552" s="1"/>
      <c r="D552" s="2"/>
      <c r="E552" s="2"/>
      <c r="H552" s="3"/>
    </row>
    <row r="553" spans="2:8" ht="15.75" customHeight="1" x14ac:dyDescent="0.25">
      <c r="B553" s="1"/>
      <c r="C553" s="1"/>
      <c r="D553" s="2"/>
      <c r="E553" s="2"/>
      <c r="H553" s="3"/>
    </row>
    <row r="554" spans="2:8" ht="15.75" customHeight="1" x14ac:dyDescent="0.25">
      <c r="B554" s="1"/>
      <c r="C554" s="1"/>
      <c r="D554" s="2"/>
      <c r="E554" s="2"/>
      <c r="H554" s="3"/>
    </row>
    <row r="555" spans="2:8" ht="15.75" customHeight="1" x14ac:dyDescent="0.25">
      <c r="B555" s="1"/>
      <c r="C555" s="1"/>
      <c r="D555" s="2"/>
      <c r="E555" s="2"/>
      <c r="H555" s="3"/>
    </row>
    <row r="556" spans="2:8" ht="15.75" customHeight="1" x14ac:dyDescent="0.25">
      <c r="B556" s="1"/>
      <c r="C556" s="1"/>
      <c r="D556" s="2"/>
      <c r="E556" s="2"/>
      <c r="H556" s="3"/>
    </row>
    <row r="557" spans="2:8" ht="15.75" customHeight="1" x14ac:dyDescent="0.25">
      <c r="B557" s="1"/>
      <c r="C557" s="1"/>
      <c r="D557" s="2"/>
      <c r="E557" s="2"/>
      <c r="H557" s="3"/>
    </row>
    <row r="558" spans="2:8" ht="15.75" customHeight="1" x14ac:dyDescent="0.25">
      <c r="B558" s="1"/>
      <c r="C558" s="1"/>
      <c r="D558" s="2"/>
      <c r="E558" s="2"/>
      <c r="H558" s="3"/>
    </row>
    <row r="559" spans="2:8" ht="15.75" customHeight="1" x14ac:dyDescent="0.25">
      <c r="B559" s="1"/>
      <c r="C559" s="1"/>
      <c r="D559" s="2"/>
      <c r="E559" s="2"/>
      <c r="H559" s="3"/>
    </row>
    <row r="560" spans="2:8" ht="15.75" customHeight="1" x14ac:dyDescent="0.25">
      <c r="B560" s="1"/>
      <c r="C560" s="1"/>
      <c r="D560" s="2"/>
      <c r="E560" s="2"/>
      <c r="H560" s="3"/>
    </row>
    <row r="561" spans="2:8" ht="15.75" customHeight="1" x14ac:dyDescent="0.25">
      <c r="B561" s="1"/>
      <c r="C561" s="1"/>
      <c r="D561" s="2"/>
      <c r="E561" s="2"/>
      <c r="H561" s="3"/>
    </row>
    <row r="562" spans="2:8" ht="15.75" customHeight="1" x14ac:dyDescent="0.25">
      <c r="B562" s="1"/>
      <c r="C562" s="1"/>
      <c r="D562" s="2"/>
      <c r="E562" s="2"/>
      <c r="H562" s="3"/>
    </row>
    <row r="563" spans="2:8" ht="15.75" customHeight="1" x14ac:dyDescent="0.25">
      <c r="B563" s="1"/>
      <c r="C563" s="1"/>
      <c r="D563" s="2"/>
      <c r="E563" s="2"/>
      <c r="H563" s="3"/>
    </row>
    <row r="564" spans="2:8" ht="15.75" customHeight="1" x14ac:dyDescent="0.25">
      <c r="B564" s="1"/>
      <c r="C564" s="1"/>
      <c r="D564" s="2"/>
      <c r="E564" s="2"/>
      <c r="H564" s="3"/>
    </row>
    <row r="565" spans="2:8" ht="15.75" customHeight="1" x14ac:dyDescent="0.25">
      <c r="B565" s="1"/>
      <c r="C565" s="1"/>
      <c r="D565" s="2"/>
      <c r="E565" s="2"/>
      <c r="H565" s="3"/>
    </row>
    <row r="566" spans="2:8" ht="15.75" customHeight="1" x14ac:dyDescent="0.25">
      <c r="B566" s="1"/>
      <c r="C566" s="1"/>
      <c r="D566" s="2"/>
      <c r="E566" s="2"/>
      <c r="H566" s="3"/>
    </row>
    <row r="567" spans="2:8" ht="15.75" customHeight="1" x14ac:dyDescent="0.25">
      <c r="B567" s="1"/>
      <c r="C567" s="1"/>
      <c r="D567" s="2"/>
      <c r="E567" s="2"/>
      <c r="H567" s="3"/>
    </row>
    <row r="568" spans="2:8" ht="15.75" customHeight="1" x14ac:dyDescent="0.25">
      <c r="B568" s="1"/>
      <c r="C568" s="1"/>
      <c r="D568" s="2"/>
      <c r="E568" s="2"/>
      <c r="H568" s="3"/>
    </row>
    <row r="569" spans="2:8" ht="15.75" customHeight="1" x14ac:dyDescent="0.25">
      <c r="B569" s="1"/>
      <c r="C569" s="1"/>
      <c r="D569" s="2"/>
      <c r="E569" s="2"/>
      <c r="H569" s="3"/>
    </row>
    <row r="570" spans="2:8" ht="15.75" customHeight="1" x14ac:dyDescent="0.25">
      <c r="B570" s="1"/>
      <c r="C570" s="1"/>
      <c r="D570" s="2"/>
      <c r="E570" s="2"/>
      <c r="H570" s="3"/>
    </row>
    <row r="571" spans="2:8" ht="15.75" customHeight="1" x14ac:dyDescent="0.25">
      <c r="B571" s="1"/>
      <c r="C571" s="1"/>
      <c r="D571" s="2"/>
      <c r="E571" s="2"/>
      <c r="H571" s="3"/>
    </row>
    <row r="572" spans="2:8" ht="15.75" customHeight="1" x14ac:dyDescent="0.25">
      <c r="B572" s="1"/>
      <c r="C572" s="1"/>
      <c r="D572" s="2"/>
      <c r="E572" s="2"/>
      <c r="H572" s="3"/>
    </row>
    <row r="573" spans="2:8" ht="15.75" customHeight="1" x14ac:dyDescent="0.25">
      <c r="B573" s="1"/>
      <c r="C573" s="1"/>
      <c r="D573" s="2"/>
      <c r="E573" s="2"/>
      <c r="H573" s="3"/>
    </row>
    <row r="574" spans="2:8" ht="15.75" customHeight="1" x14ac:dyDescent="0.25">
      <c r="B574" s="1"/>
      <c r="C574" s="1"/>
      <c r="D574" s="2"/>
      <c r="E574" s="2"/>
      <c r="H574" s="3"/>
    </row>
    <row r="575" spans="2:8" ht="15.75" customHeight="1" x14ac:dyDescent="0.25">
      <c r="B575" s="1"/>
      <c r="C575" s="1"/>
      <c r="D575" s="2"/>
      <c r="E575" s="2"/>
      <c r="H575" s="3"/>
    </row>
    <row r="576" spans="2:8" ht="15.75" customHeight="1" x14ac:dyDescent="0.25">
      <c r="B576" s="1"/>
      <c r="C576" s="1"/>
      <c r="D576" s="2"/>
      <c r="E576" s="2"/>
      <c r="H576" s="3"/>
    </row>
    <row r="577" spans="2:8" ht="15.75" customHeight="1" x14ac:dyDescent="0.25">
      <c r="B577" s="1"/>
      <c r="C577" s="1"/>
      <c r="D577" s="2"/>
      <c r="E577" s="2"/>
      <c r="H577" s="3"/>
    </row>
    <row r="578" spans="2:8" ht="15.75" customHeight="1" x14ac:dyDescent="0.25">
      <c r="B578" s="1"/>
      <c r="C578" s="1"/>
      <c r="D578" s="2"/>
      <c r="E578" s="2"/>
      <c r="H578" s="3"/>
    </row>
    <row r="579" spans="2:8" ht="15.75" customHeight="1" x14ac:dyDescent="0.25">
      <c r="B579" s="1"/>
      <c r="C579" s="1"/>
      <c r="D579" s="2"/>
      <c r="E579" s="2"/>
      <c r="H579" s="3"/>
    </row>
    <row r="580" spans="2:8" ht="15.75" customHeight="1" x14ac:dyDescent="0.25">
      <c r="B580" s="1"/>
      <c r="C580" s="1"/>
      <c r="D580" s="2"/>
      <c r="E580" s="2"/>
      <c r="H580" s="3"/>
    </row>
    <row r="581" spans="2:8" ht="15.75" customHeight="1" x14ac:dyDescent="0.25">
      <c r="B581" s="1"/>
      <c r="C581" s="1"/>
      <c r="D581" s="2"/>
      <c r="E581" s="2"/>
      <c r="H581" s="3"/>
    </row>
    <row r="582" spans="2:8" ht="15.75" customHeight="1" x14ac:dyDescent="0.25">
      <c r="B582" s="1"/>
      <c r="C582" s="1"/>
      <c r="D582" s="2"/>
      <c r="E582" s="2"/>
      <c r="H582" s="3"/>
    </row>
    <row r="583" spans="2:8" ht="15.75" customHeight="1" x14ac:dyDescent="0.25">
      <c r="B583" s="1"/>
      <c r="C583" s="1"/>
      <c r="D583" s="2"/>
      <c r="E583" s="2"/>
      <c r="H583" s="3"/>
    </row>
    <row r="584" spans="2:8" ht="15.75" customHeight="1" x14ac:dyDescent="0.25">
      <c r="B584" s="1"/>
      <c r="C584" s="1"/>
      <c r="D584" s="2"/>
      <c r="E584" s="2"/>
      <c r="H584" s="3"/>
    </row>
    <row r="585" spans="2:8" ht="15.75" customHeight="1" x14ac:dyDescent="0.25">
      <c r="B585" s="1"/>
      <c r="C585" s="1"/>
      <c r="D585" s="2"/>
      <c r="E585" s="2"/>
      <c r="H585" s="3"/>
    </row>
    <row r="586" spans="2:8" ht="15.75" customHeight="1" x14ac:dyDescent="0.25">
      <c r="B586" s="1"/>
      <c r="C586" s="1"/>
      <c r="D586" s="2"/>
      <c r="E586" s="2"/>
      <c r="H586" s="3"/>
    </row>
    <row r="587" spans="2:8" ht="15.75" customHeight="1" x14ac:dyDescent="0.25">
      <c r="B587" s="1"/>
      <c r="C587" s="1"/>
      <c r="D587" s="2"/>
      <c r="E587" s="2"/>
      <c r="H587" s="3"/>
    </row>
    <row r="588" spans="2:8" ht="15.75" customHeight="1" x14ac:dyDescent="0.25">
      <c r="B588" s="1"/>
      <c r="C588" s="1"/>
      <c r="D588" s="2"/>
      <c r="E588" s="2"/>
      <c r="H588" s="3"/>
    </row>
    <row r="589" spans="2:8" ht="15.75" customHeight="1" x14ac:dyDescent="0.25">
      <c r="B589" s="1"/>
      <c r="C589" s="1"/>
      <c r="D589" s="2"/>
      <c r="E589" s="2"/>
      <c r="H589" s="3"/>
    </row>
    <row r="590" spans="2:8" ht="15.75" customHeight="1" x14ac:dyDescent="0.25">
      <c r="B590" s="1"/>
      <c r="C590" s="1"/>
      <c r="D590" s="2"/>
      <c r="E590" s="2"/>
      <c r="H590" s="3"/>
    </row>
    <row r="591" spans="2:8" ht="15.75" customHeight="1" x14ac:dyDescent="0.25">
      <c r="B591" s="1"/>
      <c r="C591" s="1"/>
      <c r="D591" s="2"/>
      <c r="E591" s="2"/>
      <c r="H591" s="3"/>
    </row>
    <row r="592" spans="2:8" ht="15.75" customHeight="1" x14ac:dyDescent="0.25">
      <c r="B592" s="1"/>
      <c r="C592" s="1"/>
      <c r="D592" s="2"/>
      <c r="E592" s="2"/>
      <c r="H592" s="3"/>
    </row>
    <row r="593" spans="2:8" ht="15.75" customHeight="1" x14ac:dyDescent="0.25">
      <c r="B593" s="1"/>
      <c r="C593" s="1"/>
      <c r="D593" s="2"/>
      <c r="E593" s="2"/>
      <c r="H593" s="3"/>
    </row>
    <row r="594" spans="2:8" ht="15.75" customHeight="1" x14ac:dyDescent="0.25">
      <c r="B594" s="1"/>
      <c r="C594" s="1"/>
      <c r="D594" s="2"/>
      <c r="E594" s="2"/>
      <c r="H594" s="3"/>
    </row>
    <row r="595" spans="2:8" ht="15.75" customHeight="1" x14ac:dyDescent="0.25">
      <c r="B595" s="1"/>
      <c r="C595" s="1"/>
      <c r="D595" s="2"/>
      <c r="E595" s="2"/>
      <c r="H595" s="3"/>
    </row>
    <row r="596" spans="2:8" ht="15.75" customHeight="1" x14ac:dyDescent="0.25">
      <c r="B596" s="1"/>
      <c r="C596" s="1"/>
      <c r="D596" s="2"/>
      <c r="E596" s="2"/>
      <c r="H596" s="3"/>
    </row>
    <row r="597" spans="2:8" ht="15.75" customHeight="1" x14ac:dyDescent="0.25">
      <c r="B597" s="1"/>
      <c r="C597" s="1"/>
      <c r="D597" s="2"/>
      <c r="E597" s="2"/>
      <c r="H597" s="3"/>
    </row>
    <row r="598" spans="2:8" ht="15.75" customHeight="1" x14ac:dyDescent="0.25">
      <c r="B598" s="1"/>
      <c r="C598" s="1"/>
      <c r="D598" s="2"/>
      <c r="E598" s="2"/>
      <c r="H598" s="3"/>
    </row>
    <row r="599" spans="2:8" ht="15.75" customHeight="1" x14ac:dyDescent="0.25">
      <c r="B599" s="1"/>
      <c r="C599" s="1"/>
      <c r="D599" s="2"/>
      <c r="E599" s="2"/>
      <c r="H599" s="3"/>
    </row>
    <row r="600" spans="2:8" ht="15.75" customHeight="1" x14ac:dyDescent="0.25">
      <c r="B600" s="1"/>
      <c r="C600" s="1"/>
      <c r="D600" s="2"/>
      <c r="E600" s="2"/>
      <c r="H600" s="3"/>
    </row>
    <row r="601" spans="2:8" ht="15.75" customHeight="1" x14ac:dyDescent="0.25">
      <c r="B601" s="1"/>
      <c r="C601" s="1"/>
      <c r="D601" s="2"/>
      <c r="E601" s="2"/>
      <c r="H601" s="3"/>
    </row>
    <row r="602" spans="2:8" ht="15.75" customHeight="1" x14ac:dyDescent="0.25">
      <c r="B602" s="1"/>
      <c r="C602" s="1"/>
      <c r="D602" s="2"/>
      <c r="E602" s="2"/>
      <c r="H602" s="3"/>
    </row>
    <row r="603" spans="2:8" ht="15.75" customHeight="1" x14ac:dyDescent="0.25">
      <c r="B603" s="1"/>
      <c r="C603" s="1"/>
      <c r="D603" s="2"/>
      <c r="E603" s="2"/>
      <c r="H603" s="3"/>
    </row>
    <row r="604" spans="2:8" ht="15.75" customHeight="1" x14ac:dyDescent="0.25">
      <c r="B604" s="1"/>
      <c r="C604" s="1"/>
      <c r="D604" s="2"/>
      <c r="E604" s="2"/>
      <c r="H604" s="3"/>
    </row>
    <row r="605" spans="2:8" ht="15.75" customHeight="1" x14ac:dyDescent="0.25">
      <c r="B605" s="1"/>
      <c r="C605" s="1"/>
      <c r="D605" s="2"/>
      <c r="E605" s="2"/>
      <c r="H605" s="3"/>
    </row>
    <row r="606" spans="2:8" ht="15.75" customHeight="1" x14ac:dyDescent="0.25">
      <c r="B606" s="1"/>
      <c r="C606" s="1"/>
      <c r="D606" s="2"/>
      <c r="E606" s="2"/>
      <c r="H606" s="3"/>
    </row>
    <row r="607" spans="2:8" ht="15.75" customHeight="1" x14ac:dyDescent="0.25">
      <c r="B607" s="1"/>
      <c r="C607" s="1"/>
      <c r="D607" s="2"/>
      <c r="E607" s="2"/>
      <c r="H607" s="3"/>
    </row>
    <row r="608" spans="2:8" ht="15.75" customHeight="1" x14ac:dyDescent="0.25">
      <c r="B608" s="1"/>
      <c r="C608" s="1"/>
      <c r="D608" s="2"/>
      <c r="E608" s="2"/>
      <c r="H608" s="3"/>
    </row>
    <row r="609" spans="2:8" ht="15.75" customHeight="1" x14ac:dyDescent="0.25">
      <c r="B609" s="1"/>
      <c r="C609" s="1"/>
      <c r="D609" s="2"/>
      <c r="E609" s="2"/>
      <c r="H609" s="3"/>
    </row>
    <row r="610" spans="2:8" ht="15.75" customHeight="1" x14ac:dyDescent="0.25">
      <c r="B610" s="1"/>
      <c r="C610" s="1"/>
      <c r="D610" s="2"/>
      <c r="E610" s="2"/>
      <c r="H610" s="3"/>
    </row>
    <row r="611" spans="2:8" ht="15.75" customHeight="1" x14ac:dyDescent="0.25">
      <c r="B611" s="1"/>
      <c r="C611" s="1"/>
      <c r="D611" s="2"/>
      <c r="E611" s="2"/>
      <c r="H611" s="3"/>
    </row>
    <row r="612" spans="2:8" ht="15.75" customHeight="1" x14ac:dyDescent="0.25">
      <c r="B612" s="1"/>
      <c r="C612" s="1"/>
      <c r="D612" s="2"/>
      <c r="E612" s="2"/>
      <c r="H612" s="3"/>
    </row>
    <row r="613" spans="2:8" ht="15.75" customHeight="1" x14ac:dyDescent="0.25">
      <c r="B613" s="1"/>
      <c r="C613" s="1"/>
      <c r="D613" s="2"/>
      <c r="E613" s="2"/>
      <c r="H613" s="3"/>
    </row>
    <row r="614" spans="2:8" ht="15.75" customHeight="1" x14ac:dyDescent="0.25">
      <c r="B614" s="1"/>
      <c r="C614" s="1"/>
      <c r="D614" s="2"/>
      <c r="E614" s="2"/>
      <c r="H614" s="3"/>
    </row>
    <row r="615" spans="2:8" ht="15.75" customHeight="1" x14ac:dyDescent="0.25">
      <c r="B615" s="1"/>
      <c r="C615" s="1"/>
      <c r="D615" s="2"/>
      <c r="E615" s="2"/>
      <c r="H615" s="3"/>
    </row>
    <row r="616" spans="2:8" ht="15.75" customHeight="1" x14ac:dyDescent="0.25">
      <c r="B616" s="1"/>
      <c r="C616" s="1"/>
      <c r="D616" s="2"/>
      <c r="E616" s="2"/>
      <c r="H616" s="3"/>
    </row>
    <row r="617" spans="2:8" ht="15.75" customHeight="1" x14ac:dyDescent="0.25">
      <c r="B617" s="1"/>
      <c r="C617" s="1"/>
      <c r="D617" s="2"/>
      <c r="E617" s="2"/>
      <c r="H617" s="3"/>
    </row>
    <row r="618" spans="2:8" ht="15.75" customHeight="1" x14ac:dyDescent="0.25">
      <c r="B618" s="1"/>
      <c r="C618" s="1"/>
      <c r="D618" s="2"/>
      <c r="E618" s="2"/>
      <c r="H618" s="3"/>
    </row>
    <row r="619" spans="2:8" ht="15.75" customHeight="1" x14ac:dyDescent="0.25">
      <c r="B619" s="1"/>
      <c r="C619" s="1"/>
      <c r="D619" s="2"/>
      <c r="E619" s="2"/>
      <c r="H619" s="3"/>
    </row>
    <row r="620" spans="2:8" ht="15.75" customHeight="1" x14ac:dyDescent="0.25">
      <c r="B620" s="1"/>
      <c r="C620" s="1"/>
      <c r="D620" s="2"/>
      <c r="E620" s="2"/>
      <c r="H620" s="3"/>
    </row>
    <row r="621" spans="2:8" ht="15.75" customHeight="1" x14ac:dyDescent="0.25">
      <c r="B621" s="1"/>
      <c r="C621" s="1"/>
      <c r="D621" s="2"/>
      <c r="E621" s="2"/>
      <c r="H621" s="3"/>
    </row>
    <row r="622" spans="2:8" ht="15.75" customHeight="1" x14ac:dyDescent="0.25">
      <c r="B622" s="1"/>
      <c r="C622" s="1"/>
      <c r="D622" s="2"/>
      <c r="E622" s="2"/>
      <c r="H622" s="3"/>
    </row>
    <row r="623" spans="2:8" ht="15.75" customHeight="1" x14ac:dyDescent="0.25">
      <c r="B623" s="1"/>
      <c r="C623" s="1"/>
      <c r="D623" s="2"/>
      <c r="E623" s="2"/>
      <c r="H623" s="3"/>
    </row>
    <row r="624" spans="2:8" ht="15.75" customHeight="1" x14ac:dyDescent="0.25">
      <c r="B624" s="1"/>
      <c r="C624" s="1"/>
      <c r="D624" s="2"/>
      <c r="E624" s="2"/>
      <c r="H624" s="3"/>
    </row>
    <row r="625" spans="2:8" ht="15.75" customHeight="1" x14ac:dyDescent="0.25">
      <c r="B625" s="1"/>
      <c r="C625" s="1"/>
      <c r="D625" s="2"/>
      <c r="E625" s="2"/>
      <c r="H625" s="3"/>
    </row>
    <row r="626" spans="2:8" ht="15.75" customHeight="1" x14ac:dyDescent="0.25">
      <c r="B626" s="1"/>
      <c r="C626" s="1"/>
      <c r="D626" s="2"/>
      <c r="E626" s="2"/>
      <c r="H626" s="3"/>
    </row>
    <row r="627" spans="2:8" ht="15.75" customHeight="1" x14ac:dyDescent="0.25">
      <c r="B627" s="1"/>
      <c r="C627" s="1"/>
      <c r="D627" s="2"/>
      <c r="E627" s="2"/>
      <c r="H627" s="3"/>
    </row>
    <row r="628" spans="2:8" ht="15.75" customHeight="1" x14ac:dyDescent="0.25">
      <c r="B628" s="1"/>
      <c r="C628" s="1"/>
      <c r="D628" s="2"/>
      <c r="E628" s="2"/>
      <c r="H628" s="3"/>
    </row>
    <row r="629" spans="2:8" ht="15.75" customHeight="1" x14ac:dyDescent="0.25">
      <c r="B629" s="1"/>
      <c r="C629" s="1"/>
      <c r="D629" s="2"/>
      <c r="E629" s="2"/>
      <c r="H629" s="3"/>
    </row>
    <row r="630" spans="2:8" ht="15.75" customHeight="1" x14ac:dyDescent="0.25">
      <c r="B630" s="1"/>
      <c r="C630" s="1"/>
      <c r="D630" s="2"/>
      <c r="E630" s="2"/>
      <c r="H630" s="3"/>
    </row>
    <row r="631" spans="2:8" ht="15.75" customHeight="1" x14ac:dyDescent="0.25">
      <c r="B631" s="1"/>
      <c r="C631" s="1"/>
      <c r="D631" s="2"/>
      <c r="E631" s="2"/>
      <c r="H631" s="3"/>
    </row>
    <row r="632" spans="2:8" ht="15.75" customHeight="1" x14ac:dyDescent="0.25">
      <c r="B632" s="1"/>
      <c r="C632" s="1"/>
      <c r="D632" s="2"/>
      <c r="E632" s="2"/>
      <c r="H632" s="3"/>
    </row>
    <row r="633" spans="2:8" ht="15.75" customHeight="1" x14ac:dyDescent="0.25">
      <c r="B633" s="1"/>
      <c r="C633" s="1"/>
      <c r="D633" s="2"/>
      <c r="E633" s="2"/>
      <c r="H633" s="3"/>
    </row>
    <row r="634" spans="2:8" ht="15.75" customHeight="1" x14ac:dyDescent="0.25">
      <c r="B634" s="1"/>
      <c r="C634" s="1"/>
      <c r="D634" s="2"/>
      <c r="E634" s="2"/>
      <c r="H634" s="3"/>
    </row>
    <row r="635" spans="2:8" ht="15.75" customHeight="1" x14ac:dyDescent="0.25">
      <c r="B635" s="1"/>
      <c r="C635" s="1"/>
      <c r="D635" s="2"/>
      <c r="E635" s="2"/>
      <c r="H635" s="3"/>
    </row>
    <row r="636" spans="2:8" ht="15.75" customHeight="1" x14ac:dyDescent="0.25">
      <c r="B636" s="1"/>
      <c r="C636" s="1"/>
      <c r="D636" s="2"/>
      <c r="E636" s="2"/>
      <c r="H636" s="3"/>
    </row>
    <row r="637" spans="2:8" ht="15.75" customHeight="1" x14ac:dyDescent="0.25">
      <c r="B637" s="1"/>
      <c r="C637" s="1"/>
      <c r="D637" s="2"/>
      <c r="E637" s="2"/>
      <c r="H637" s="3"/>
    </row>
    <row r="638" spans="2:8" ht="15.75" customHeight="1" x14ac:dyDescent="0.25">
      <c r="B638" s="1"/>
      <c r="C638" s="1"/>
      <c r="D638" s="2"/>
      <c r="E638" s="2"/>
      <c r="H638" s="3"/>
    </row>
    <row r="639" spans="2:8" ht="15.75" customHeight="1" x14ac:dyDescent="0.25">
      <c r="B639" s="1"/>
      <c r="C639" s="1"/>
      <c r="D639" s="2"/>
      <c r="E639" s="2"/>
      <c r="H639" s="3"/>
    </row>
    <row r="640" spans="2:8" ht="15.75" customHeight="1" x14ac:dyDescent="0.25">
      <c r="B640" s="1"/>
      <c r="C640" s="1"/>
      <c r="D640" s="2"/>
      <c r="E640" s="2"/>
      <c r="H640" s="3"/>
    </row>
    <row r="641" spans="2:8" ht="15.75" customHeight="1" x14ac:dyDescent="0.25">
      <c r="B641" s="1"/>
      <c r="C641" s="1"/>
      <c r="D641" s="2"/>
      <c r="E641" s="2"/>
      <c r="H641" s="3"/>
    </row>
    <row r="642" spans="2:8" ht="15.75" customHeight="1" x14ac:dyDescent="0.25">
      <c r="B642" s="1"/>
      <c r="C642" s="1"/>
      <c r="D642" s="2"/>
      <c r="E642" s="2"/>
      <c r="H642" s="3"/>
    </row>
    <row r="643" spans="2:8" ht="15.75" customHeight="1" x14ac:dyDescent="0.25">
      <c r="B643" s="1"/>
      <c r="C643" s="1"/>
      <c r="D643" s="2"/>
      <c r="E643" s="2"/>
      <c r="H643" s="3"/>
    </row>
    <row r="644" spans="2:8" ht="15.75" customHeight="1" x14ac:dyDescent="0.25">
      <c r="B644" s="1"/>
      <c r="C644" s="1"/>
      <c r="D644" s="2"/>
      <c r="E644" s="2"/>
      <c r="H644" s="3"/>
    </row>
    <row r="645" spans="2:8" ht="15.75" customHeight="1" x14ac:dyDescent="0.25">
      <c r="B645" s="1"/>
      <c r="C645" s="1"/>
      <c r="D645" s="2"/>
      <c r="E645" s="2"/>
      <c r="H645" s="3"/>
    </row>
    <row r="646" spans="2:8" ht="15.75" customHeight="1" x14ac:dyDescent="0.25">
      <c r="B646" s="1"/>
      <c r="C646" s="1"/>
      <c r="D646" s="2"/>
      <c r="E646" s="2"/>
      <c r="H646" s="3"/>
    </row>
    <row r="647" spans="2:8" ht="15.75" customHeight="1" x14ac:dyDescent="0.25">
      <c r="B647" s="1"/>
      <c r="C647" s="1"/>
      <c r="D647" s="2"/>
      <c r="E647" s="2"/>
      <c r="H647" s="3"/>
    </row>
    <row r="648" spans="2:8" ht="15.75" customHeight="1" x14ac:dyDescent="0.25">
      <c r="B648" s="1"/>
      <c r="C648" s="1"/>
      <c r="D648" s="2"/>
      <c r="E648" s="2"/>
      <c r="H648" s="3"/>
    </row>
    <row r="649" spans="2:8" ht="15.75" customHeight="1" x14ac:dyDescent="0.25">
      <c r="B649" s="1"/>
      <c r="C649" s="1"/>
      <c r="D649" s="2"/>
      <c r="E649" s="2"/>
      <c r="H649" s="3"/>
    </row>
    <row r="650" spans="2:8" ht="15.75" customHeight="1" x14ac:dyDescent="0.25">
      <c r="B650" s="1"/>
      <c r="C650" s="1"/>
      <c r="D650" s="2"/>
      <c r="E650" s="2"/>
      <c r="H650" s="3"/>
    </row>
    <row r="651" spans="2:8" ht="15.75" customHeight="1" x14ac:dyDescent="0.25">
      <c r="B651" s="1"/>
      <c r="C651" s="1"/>
      <c r="D651" s="2"/>
      <c r="E651" s="2"/>
      <c r="H651" s="3"/>
    </row>
    <row r="652" spans="2:8" ht="15.75" customHeight="1" x14ac:dyDescent="0.25">
      <c r="B652" s="1"/>
      <c r="C652" s="1"/>
      <c r="D652" s="2"/>
      <c r="E652" s="2"/>
      <c r="H652" s="3"/>
    </row>
    <row r="653" spans="2:8" ht="15.75" customHeight="1" x14ac:dyDescent="0.25">
      <c r="B653" s="1"/>
      <c r="C653" s="1"/>
      <c r="D653" s="2"/>
      <c r="E653" s="2"/>
      <c r="H653" s="3"/>
    </row>
    <row r="654" spans="2:8" ht="15.75" customHeight="1" x14ac:dyDescent="0.25">
      <c r="B654" s="1"/>
      <c r="C654" s="1"/>
      <c r="D654" s="2"/>
      <c r="E654" s="2"/>
      <c r="H654" s="3"/>
    </row>
    <row r="655" spans="2:8" ht="15.75" customHeight="1" x14ac:dyDescent="0.25">
      <c r="B655" s="1"/>
      <c r="C655" s="1"/>
      <c r="D655" s="2"/>
      <c r="E655" s="2"/>
      <c r="H655" s="3"/>
    </row>
    <row r="656" spans="2:8" ht="15.75" customHeight="1" x14ac:dyDescent="0.25">
      <c r="B656" s="1"/>
      <c r="C656" s="1"/>
      <c r="D656" s="2"/>
      <c r="E656" s="2"/>
      <c r="H656" s="3"/>
    </row>
    <row r="657" spans="2:8" ht="15.75" customHeight="1" x14ac:dyDescent="0.25">
      <c r="B657" s="1"/>
      <c r="C657" s="1"/>
      <c r="D657" s="2"/>
      <c r="E657" s="2"/>
      <c r="H657" s="3"/>
    </row>
    <row r="658" spans="2:8" ht="15.75" customHeight="1" x14ac:dyDescent="0.25">
      <c r="B658" s="1"/>
      <c r="C658" s="1"/>
      <c r="D658" s="2"/>
      <c r="E658" s="2"/>
      <c r="H658" s="3"/>
    </row>
    <row r="659" spans="2:8" ht="15.75" customHeight="1" x14ac:dyDescent="0.25">
      <c r="B659" s="1"/>
      <c r="C659" s="1"/>
      <c r="D659" s="2"/>
      <c r="E659" s="2"/>
      <c r="H659" s="3"/>
    </row>
    <row r="660" spans="2:8" ht="15.75" customHeight="1" x14ac:dyDescent="0.25">
      <c r="B660" s="1"/>
      <c r="C660" s="1"/>
      <c r="D660" s="2"/>
      <c r="E660" s="2"/>
      <c r="H660" s="3"/>
    </row>
    <row r="661" spans="2:8" ht="15.75" customHeight="1" x14ac:dyDescent="0.25">
      <c r="B661" s="1"/>
      <c r="C661" s="1"/>
      <c r="D661" s="2"/>
      <c r="E661" s="2"/>
      <c r="H661" s="3"/>
    </row>
    <row r="662" spans="2:8" ht="15.75" customHeight="1" x14ac:dyDescent="0.25">
      <c r="B662" s="1"/>
      <c r="C662" s="1"/>
      <c r="D662" s="2"/>
      <c r="E662" s="2"/>
      <c r="H662" s="3"/>
    </row>
    <row r="663" spans="2:8" ht="15.75" customHeight="1" x14ac:dyDescent="0.25">
      <c r="B663" s="1"/>
      <c r="C663" s="1"/>
      <c r="D663" s="2"/>
      <c r="E663" s="2"/>
      <c r="H663" s="3"/>
    </row>
    <row r="664" spans="2:8" ht="15.75" customHeight="1" x14ac:dyDescent="0.25">
      <c r="B664" s="1"/>
      <c r="C664" s="1"/>
      <c r="D664" s="2"/>
      <c r="E664" s="2"/>
      <c r="H664" s="3"/>
    </row>
    <row r="665" spans="2:8" ht="15.75" customHeight="1" x14ac:dyDescent="0.25">
      <c r="B665" s="1"/>
      <c r="C665" s="1"/>
      <c r="D665" s="2"/>
      <c r="E665" s="2"/>
      <c r="H665" s="3"/>
    </row>
    <row r="666" spans="2:8" ht="15.75" customHeight="1" x14ac:dyDescent="0.25">
      <c r="B666" s="1"/>
      <c r="C666" s="1"/>
      <c r="D666" s="2"/>
      <c r="E666" s="2"/>
      <c r="H666" s="3"/>
    </row>
    <row r="667" spans="2:8" ht="15.75" customHeight="1" x14ac:dyDescent="0.25">
      <c r="B667" s="1"/>
      <c r="C667" s="1"/>
      <c r="D667" s="2"/>
      <c r="E667" s="2"/>
      <c r="H667" s="3"/>
    </row>
    <row r="668" spans="2:8" ht="15.75" customHeight="1" x14ac:dyDescent="0.25">
      <c r="B668" s="1"/>
      <c r="C668" s="1"/>
      <c r="D668" s="2"/>
      <c r="E668" s="2"/>
      <c r="H668" s="3"/>
    </row>
    <row r="669" spans="2:8" ht="15.75" customHeight="1" x14ac:dyDescent="0.25">
      <c r="B669" s="1"/>
      <c r="C669" s="1"/>
      <c r="D669" s="2"/>
      <c r="E669" s="2"/>
      <c r="H669" s="3"/>
    </row>
    <row r="670" spans="2:8" ht="15.75" customHeight="1" x14ac:dyDescent="0.25">
      <c r="B670" s="1"/>
      <c r="C670" s="1"/>
      <c r="D670" s="2"/>
      <c r="E670" s="2"/>
      <c r="H670" s="3"/>
    </row>
    <row r="671" spans="2:8" ht="15.75" customHeight="1" x14ac:dyDescent="0.25">
      <c r="B671" s="1"/>
      <c r="C671" s="1"/>
      <c r="D671" s="2"/>
      <c r="E671" s="2"/>
      <c r="H671" s="3"/>
    </row>
    <row r="672" spans="2:8" ht="15.75" customHeight="1" x14ac:dyDescent="0.25">
      <c r="B672" s="1"/>
      <c r="C672" s="1"/>
      <c r="D672" s="2"/>
      <c r="E672" s="2"/>
      <c r="H672" s="3"/>
    </row>
    <row r="673" spans="2:8" ht="15.75" customHeight="1" x14ac:dyDescent="0.25">
      <c r="B673" s="1"/>
      <c r="C673" s="1"/>
      <c r="D673" s="2"/>
      <c r="E673" s="2"/>
      <c r="H673" s="3"/>
    </row>
    <row r="674" spans="2:8" ht="15.75" customHeight="1" x14ac:dyDescent="0.25">
      <c r="B674" s="1"/>
      <c r="C674" s="1"/>
      <c r="D674" s="2"/>
      <c r="E674" s="2"/>
      <c r="H674" s="3"/>
    </row>
    <row r="675" spans="2:8" ht="15.75" customHeight="1" x14ac:dyDescent="0.25">
      <c r="B675" s="1"/>
      <c r="C675" s="1"/>
      <c r="D675" s="2"/>
      <c r="E675" s="2"/>
      <c r="H675" s="3"/>
    </row>
    <row r="676" spans="2:8" ht="15.75" customHeight="1" x14ac:dyDescent="0.25">
      <c r="B676" s="1"/>
      <c r="C676" s="1"/>
      <c r="D676" s="2"/>
      <c r="E676" s="2"/>
      <c r="H676" s="3"/>
    </row>
    <row r="677" spans="2:8" ht="15.75" customHeight="1" x14ac:dyDescent="0.25">
      <c r="B677" s="1"/>
      <c r="C677" s="1"/>
      <c r="D677" s="2"/>
      <c r="E677" s="2"/>
      <c r="H677" s="3"/>
    </row>
    <row r="678" spans="2:8" ht="15.75" customHeight="1" x14ac:dyDescent="0.25">
      <c r="B678" s="1"/>
      <c r="C678" s="1"/>
      <c r="D678" s="2"/>
      <c r="E678" s="2"/>
      <c r="H678" s="3"/>
    </row>
    <row r="679" spans="2:8" ht="15.75" customHeight="1" x14ac:dyDescent="0.25">
      <c r="B679" s="1"/>
      <c r="C679" s="1"/>
      <c r="D679" s="2"/>
      <c r="E679" s="2"/>
      <c r="H679" s="3"/>
    </row>
    <row r="680" spans="2:8" ht="15.75" customHeight="1" x14ac:dyDescent="0.25">
      <c r="B680" s="1"/>
      <c r="C680" s="1"/>
      <c r="D680" s="2"/>
      <c r="E680" s="2"/>
      <c r="H680" s="3"/>
    </row>
    <row r="681" spans="2:8" ht="15.75" customHeight="1" x14ac:dyDescent="0.25">
      <c r="B681" s="1"/>
      <c r="C681" s="1"/>
      <c r="D681" s="2"/>
      <c r="E681" s="2"/>
      <c r="H681" s="3"/>
    </row>
    <row r="682" spans="2:8" ht="15.75" customHeight="1" x14ac:dyDescent="0.25">
      <c r="B682" s="1"/>
      <c r="C682" s="1"/>
      <c r="D682" s="2"/>
      <c r="E682" s="2"/>
      <c r="H682" s="3"/>
    </row>
    <row r="683" spans="2:8" ht="15.75" customHeight="1" x14ac:dyDescent="0.25">
      <c r="B683" s="1"/>
      <c r="C683" s="1"/>
      <c r="D683" s="2"/>
      <c r="E683" s="2"/>
      <c r="H683" s="3"/>
    </row>
    <row r="684" spans="2:8" ht="15.75" customHeight="1" x14ac:dyDescent="0.25">
      <c r="B684" s="1"/>
      <c r="C684" s="1"/>
      <c r="D684" s="2"/>
      <c r="E684" s="2"/>
      <c r="H684" s="3"/>
    </row>
    <row r="685" spans="2:8" ht="15.75" customHeight="1" x14ac:dyDescent="0.25">
      <c r="B685" s="1"/>
      <c r="C685" s="1"/>
      <c r="D685" s="2"/>
      <c r="E685" s="2"/>
      <c r="H685" s="3"/>
    </row>
    <row r="686" spans="2:8" ht="15.75" customHeight="1" x14ac:dyDescent="0.25">
      <c r="B686" s="1"/>
      <c r="C686" s="1"/>
      <c r="D686" s="2"/>
      <c r="E686" s="2"/>
      <c r="H686" s="3"/>
    </row>
    <row r="687" spans="2:8" ht="15.75" customHeight="1" x14ac:dyDescent="0.25">
      <c r="B687" s="1"/>
      <c r="C687" s="1"/>
      <c r="D687" s="2"/>
      <c r="E687" s="2"/>
      <c r="H687" s="3"/>
    </row>
    <row r="688" spans="2:8" ht="15.75" customHeight="1" x14ac:dyDescent="0.25">
      <c r="B688" s="1"/>
      <c r="C688" s="1"/>
      <c r="D688" s="2"/>
      <c r="E688" s="2"/>
      <c r="H688" s="3"/>
    </row>
    <row r="689" spans="2:8" ht="15.75" customHeight="1" x14ac:dyDescent="0.25">
      <c r="B689" s="1"/>
      <c r="C689" s="1"/>
      <c r="D689" s="2"/>
      <c r="E689" s="2"/>
      <c r="H689" s="3"/>
    </row>
    <row r="690" spans="2:8" ht="15.75" customHeight="1" x14ac:dyDescent="0.25">
      <c r="B690" s="1"/>
      <c r="C690" s="1"/>
      <c r="D690" s="2"/>
      <c r="E690" s="2"/>
      <c r="H690" s="3"/>
    </row>
    <row r="691" spans="2:8" ht="15.75" customHeight="1" x14ac:dyDescent="0.25">
      <c r="B691" s="1"/>
      <c r="C691" s="1"/>
      <c r="D691" s="2"/>
      <c r="E691" s="2"/>
      <c r="H691" s="3"/>
    </row>
    <row r="692" spans="2:8" ht="15.75" customHeight="1" x14ac:dyDescent="0.25">
      <c r="B692" s="1"/>
      <c r="C692" s="1"/>
      <c r="D692" s="2"/>
      <c r="E692" s="2"/>
      <c r="H692" s="3"/>
    </row>
    <row r="693" spans="2:8" ht="15.75" customHeight="1" x14ac:dyDescent="0.25">
      <c r="B693" s="1"/>
      <c r="C693" s="1"/>
      <c r="D693" s="2"/>
      <c r="E693" s="2"/>
      <c r="H693" s="3"/>
    </row>
    <row r="694" spans="2:8" ht="15.75" customHeight="1" x14ac:dyDescent="0.25">
      <c r="B694" s="1"/>
      <c r="C694" s="1"/>
      <c r="D694" s="2"/>
      <c r="E694" s="2"/>
      <c r="H694" s="3"/>
    </row>
    <row r="695" spans="2:8" ht="15.75" customHeight="1" x14ac:dyDescent="0.25">
      <c r="B695" s="1"/>
      <c r="C695" s="1"/>
      <c r="D695" s="2"/>
      <c r="E695" s="2"/>
      <c r="H695" s="3"/>
    </row>
    <row r="696" spans="2:8" ht="15.75" customHeight="1" x14ac:dyDescent="0.25">
      <c r="B696" s="1"/>
      <c r="C696" s="1"/>
      <c r="D696" s="2"/>
      <c r="E696" s="2"/>
      <c r="H696" s="3"/>
    </row>
    <row r="697" spans="2:8" ht="15.75" customHeight="1" x14ac:dyDescent="0.25">
      <c r="B697" s="1"/>
      <c r="C697" s="1"/>
      <c r="D697" s="2"/>
      <c r="E697" s="2"/>
      <c r="H697" s="3"/>
    </row>
    <row r="698" spans="2:8" ht="15.75" customHeight="1" x14ac:dyDescent="0.25">
      <c r="B698" s="1"/>
      <c r="C698" s="1"/>
      <c r="D698" s="2"/>
      <c r="E698" s="2"/>
      <c r="H698" s="3"/>
    </row>
    <row r="699" spans="2:8" ht="15.75" customHeight="1" x14ac:dyDescent="0.25">
      <c r="B699" s="1"/>
      <c r="C699" s="1"/>
      <c r="D699" s="2"/>
      <c r="E699" s="2"/>
      <c r="H699" s="3"/>
    </row>
    <row r="700" spans="2:8" ht="15.75" customHeight="1" x14ac:dyDescent="0.25">
      <c r="B700" s="1"/>
      <c r="C700" s="1"/>
      <c r="D700" s="2"/>
      <c r="E700" s="2"/>
      <c r="H700" s="3"/>
    </row>
    <row r="701" spans="2:8" ht="15.75" customHeight="1" x14ac:dyDescent="0.25">
      <c r="B701" s="1"/>
      <c r="C701" s="1"/>
      <c r="D701" s="2"/>
      <c r="E701" s="2"/>
      <c r="H701" s="3"/>
    </row>
    <row r="702" spans="2:8" ht="15.75" customHeight="1" x14ac:dyDescent="0.25">
      <c r="B702" s="1"/>
      <c r="C702" s="1"/>
      <c r="D702" s="2"/>
      <c r="E702" s="2"/>
      <c r="H702" s="3"/>
    </row>
    <row r="703" spans="2:8" ht="15.75" customHeight="1" x14ac:dyDescent="0.25">
      <c r="B703" s="1"/>
      <c r="C703" s="1"/>
      <c r="D703" s="2"/>
      <c r="E703" s="2"/>
      <c r="H703" s="3"/>
    </row>
    <row r="704" spans="2:8" ht="15.75" customHeight="1" x14ac:dyDescent="0.25">
      <c r="B704" s="1"/>
      <c r="C704" s="1"/>
      <c r="D704" s="2"/>
      <c r="E704" s="2"/>
      <c r="H704" s="3"/>
    </row>
    <row r="705" spans="2:8" ht="15.75" customHeight="1" x14ac:dyDescent="0.25">
      <c r="B705" s="1"/>
      <c r="C705" s="1"/>
      <c r="D705" s="2"/>
      <c r="E705" s="2"/>
      <c r="H705" s="3"/>
    </row>
    <row r="706" spans="2:8" ht="15.75" customHeight="1" x14ac:dyDescent="0.25">
      <c r="B706" s="1"/>
      <c r="C706" s="1"/>
      <c r="D706" s="2"/>
      <c r="E706" s="2"/>
      <c r="H706" s="3"/>
    </row>
    <row r="707" spans="2:8" ht="15.75" customHeight="1" x14ac:dyDescent="0.25">
      <c r="B707" s="1"/>
      <c r="C707" s="1"/>
      <c r="D707" s="2"/>
      <c r="E707" s="2"/>
      <c r="H707" s="3"/>
    </row>
    <row r="708" spans="2:8" ht="15.75" customHeight="1" x14ac:dyDescent="0.25">
      <c r="B708" s="1"/>
      <c r="C708" s="1"/>
      <c r="D708" s="2"/>
      <c r="E708" s="2"/>
      <c r="H708" s="3"/>
    </row>
    <row r="709" spans="2:8" ht="15.75" customHeight="1" x14ac:dyDescent="0.25">
      <c r="B709" s="1"/>
      <c r="C709" s="1"/>
      <c r="D709" s="2"/>
      <c r="E709" s="2"/>
      <c r="H709" s="3"/>
    </row>
    <row r="710" spans="2:8" ht="15.75" customHeight="1" x14ac:dyDescent="0.25">
      <c r="B710" s="1"/>
      <c r="C710" s="1"/>
      <c r="D710" s="2"/>
      <c r="E710" s="2"/>
      <c r="H710" s="3"/>
    </row>
    <row r="711" spans="2:8" ht="15.75" customHeight="1" x14ac:dyDescent="0.25">
      <c r="B711" s="1"/>
      <c r="C711" s="1"/>
      <c r="D711" s="2"/>
      <c r="E711" s="2"/>
      <c r="H711" s="3"/>
    </row>
    <row r="712" spans="2:8" ht="15.75" customHeight="1" x14ac:dyDescent="0.25">
      <c r="B712" s="1"/>
      <c r="C712" s="1"/>
      <c r="D712" s="2"/>
      <c r="E712" s="2"/>
      <c r="H712" s="3"/>
    </row>
    <row r="713" spans="2:8" ht="15.75" customHeight="1" x14ac:dyDescent="0.25">
      <c r="B713" s="1"/>
      <c r="C713" s="1"/>
      <c r="D713" s="2"/>
      <c r="E713" s="2"/>
      <c r="H713" s="3"/>
    </row>
    <row r="714" spans="2:8" ht="15.75" customHeight="1" x14ac:dyDescent="0.25">
      <c r="B714" s="1"/>
      <c r="C714" s="1"/>
      <c r="D714" s="2"/>
      <c r="E714" s="2"/>
      <c r="H714" s="3"/>
    </row>
    <row r="715" spans="2:8" ht="15.75" customHeight="1" x14ac:dyDescent="0.25">
      <c r="B715" s="1"/>
      <c r="C715" s="1"/>
      <c r="D715" s="2"/>
      <c r="E715" s="2"/>
      <c r="H715" s="3"/>
    </row>
    <row r="716" spans="2:8" ht="15.75" customHeight="1" x14ac:dyDescent="0.25">
      <c r="B716" s="1"/>
      <c r="C716" s="1"/>
      <c r="D716" s="2"/>
      <c r="E716" s="2"/>
      <c r="H716" s="3"/>
    </row>
    <row r="717" spans="2:8" ht="15.75" customHeight="1" x14ac:dyDescent="0.25">
      <c r="B717" s="1"/>
      <c r="C717" s="1"/>
      <c r="D717" s="2"/>
      <c r="E717" s="2"/>
      <c r="H717" s="3"/>
    </row>
    <row r="718" spans="2:8" ht="15.75" customHeight="1" x14ac:dyDescent="0.25">
      <c r="B718" s="1"/>
      <c r="C718" s="1"/>
      <c r="D718" s="2"/>
      <c r="E718" s="2"/>
      <c r="H718" s="3"/>
    </row>
    <row r="719" spans="2:8" ht="15.75" customHeight="1" x14ac:dyDescent="0.25">
      <c r="B719" s="1"/>
      <c r="C719" s="1"/>
      <c r="D719" s="2"/>
      <c r="E719" s="2"/>
      <c r="H719" s="3"/>
    </row>
    <row r="720" spans="2:8" ht="15.75" customHeight="1" x14ac:dyDescent="0.25">
      <c r="B720" s="1"/>
      <c r="C720" s="1"/>
      <c r="D720" s="2"/>
      <c r="E720" s="2"/>
      <c r="H720" s="3"/>
    </row>
    <row r="721" spans="2:8" ht="15.75" customHeight="1" x14ac:dyDescent="0.25">
      <c r="B721" s="1"/>
      <c r="C721" s="1"/>
      <c r="D721" s="2"/>
      <c r="E721" s="2"/>
      <c r="H721" s="3"/>
    </row>
    <row r="722" spans="2:8" ht="15.75" customHeight="1" x14ac:dyDescent="0.25">
      <c r="B722" s="1"/>
      <c r="C722" s="1"/>
      <c r="D722" s="2"/>
      <c r="E722" s="2"/>
      <c r="H722" s="3"/>
    </row>
    <row r="723" spans="2:8" ht="15.75" customHeight="1" x14ac:dyDescent="0.25">
      <c r="B723" s="1"/>
      <c r="C723" s="1"/>
      <c r="D723" s="2"/>
      <c r="E723" s="2"/>
      <c r="H723" s="3"/>
    </row>
    <row r="724" spans="2:8" ht="15.75" customHeight="1" x14ac:dyDescent="0.25">
      <c r="B724" s="1"/>
      <c r="C724" s="1"/>
      <c r="D724" s="2"/>
      <c r="E724" s="2"/>
      <c r="H724" s="3"/>
    </row>
    <row r="725" spans="2:8" ht="15.75" customHeight="1" x14ac:dyDescent="0.25">
      <c r="B725" s="1"/>
      <c r="C725" s="1"/>
      <c r="D725" s="2"/>
      <c r="E725" s="2"/>
      <c r="H725" s="3"/>
    </row>
    <row r="726" spans="2:8" ht="15.75" customHeight="1" x14ac:dyDescent="0.25">
      <c r="B726" s="1"/>
      <c r="C726" s="1"/>
      <c r="D726" s="2"/>
      <c r="E726" s="2"/>
      <c r="H726" s="3"/>
    </row>
    <row r="727" spans="2:8" ht="15.75" customHeight="1" x14ac:dyDescent="0.25">
      <c r="B727" s="1"/>
      <c r="C727" s="1"/>
      <c r="D727" s="2"/>
      <c r="E727" s="2"/>
      <c r="H727" s="3"/>
    </row>
    <row r="728" spans="2:8" ht="15.75" customHeight="1" x14ac:dyDescent="0.25">
      <c r="B728" s="1"/>
      <c r="C728" s="1"/>
      <c r="D728" s="2"/>
      <c r="E728" s="2"/>
      <c r="H728" s="3"/>
    </row>
    <row r="729" spans="2:8" ht="15.75" customHeight="1" x14ac:dyDescent="0.25">
      <c r="B729" s="1"/>
      <c r="C729" s="1"/>
      <c r="D729" s="2"/>
      <c r="E729" s="2"/>
      <c r="H729" s="3"/>
    </row>
    <row r="730" spans="2:8" ht="15.75" customHeight="1" x14ac:dyDescent="0.25">
      <c r="B730" s="1"/>
      <c r="C730" s="1"/>
      <c r="D730" s="2"/>
      <c r="E730" s="2"/>
      <c r="H730" s="3"/>
    </row>
    <row r="731" spans="2:8" ht="15.75" customHeight="1" x14ac:dyDescent="0.25">
      <c r="B731" s="1"/>
      <c r="C731" s="1"/>
      <c r="D731" s="2"/>
      <c r="E731" s="2"/>
      <c r="H731" s="3"/>
    </row>
    <row r="732" spans="2:8" ht="15.75" customHeight="1" x14ac:dyDescent="0.25">
      <c r="B732" s="1"/>
      <c r="C732" s="1"/>
      <c r="D732" s="2"/>
      <c r="E732" s="2"/>
      <c r="H732" s="3"/>
    </row>
    <row r="733" spans="2:8" ht="15.75" customHeight="1" x14ac:dyDescent="0.25">
      <c r="B733" s="1"/>
      <c r="C733" s="1"/>
      <c r="D733" s="2"/>
      <c r="E733" s="2"/>
      <c r="H733" s="3"/>
    </row>
    <row r="734" spans="2:8" ht="15.75" customHeight="1" x14ac:dyDescent="0.25">
      <c r="B734" s="1"/>
      <c r="C734" s="1"/>
      <c r="D734" s="2"/>
      <c r="E734" s="2"/>
      <c r="H734" s="3"/>
    </row>
    <row r="735" spans="2:8" ht="15.75" customHeight="1" x14ac:dyDescent="0.25">
      <c r="B735" s="1"/>
      <c r="C735" s="1"/>
      <c r="D735" s="2"/>
      <c r="E735" s="2"/>
      <c r="H735" s="3"/>
    </row>
    <row r="736" spans="2:8" ht="15.75" customHeight="1" x14ac:dyDescent="0.25">
      <c r="B736" s="1"/>
      <c r="C736" s="1"/>
      <c r="D736" s="2"/>
      <c r="E736" s="2"/>
      <c r="H736" s="3"/>
    </row>
    <row r="737" spans="2:8" ht="15.75" customHeight="1" x14ac:dyDescent="0.25">
      <c r="B737" s="1"/>
      <c r="C737" s="1"/>
      <c r="D737" s="2"/>
      <c r="E737" s="2"/>
      <c r="H737" s="3"/>
    </row>
    <row r="738" spans="2:8" ht="15.75" customHeight="1" x14ac:dyDescent="0.25">
      <c r="B738" s="1"/>
      <c r="C738" s="1"/>
      <c r="D738" s="2"/>
      <c r="E738" s="2"/>
      <c r="H738" s="3"/>
    </row>
    <row r="739" spans="2:8" ht="15.75" customHeight="1" x14ac:dyDescent="0.25">
      <c r="B739" s="1"/>
      <c r="C739" s="1"/>
      <c r="D739" s="2"/>
      <c r="E739" s="2"/>
      <c r="H739" s="3"/>
    </row>
    <row r="740" spans="2:8" ht="15.75" customHeight="1" x14ac:dyDescent="0.25">
      <c r="B740" s="1"/>
      <c r="C740" s="1"/>
      <c r="D740" s="2"/>
      <c r="E740" s="2"/>
      <c r="H740" s="3"/>
    </row>
    <row r="741" spans="2:8" ht="15.75" customHeight="1" x14ac:dyDescent="0.25">
      <c r="B741" s="1"/>
      <c r="C741" s="1"/>
      <c r="D741" s="2"/>
      <c r="E741" s="2"/>
      <c r="H741" s="3"/>
    </row>
    <row r="742" spans="2:8" ht="15.75" customHeight="1" x14ac:dyDescent="0.25">
      <c r="B742" s="1"/>
      <c r="C742" s="1"/>
      <c r="D742" s="2"/>
      <c r="E742" s="2"/>
      <c r="H742" s="3"/>
    </row>
    <row r="743" spans="2:8" ht="15.75" customHeight="1" x14ac:dyDescent="0.25">
      <c r="B743" s="1"/>
      <c r="C743" s="1"/>
      <c r="D743" s="2"/>
      <c r="E743" s="2"/>
      <c r="H743" s="3"/>
    </row>
    <row r="744" spans="2:8" ht="15.75" customHeight="1" x14ac:dyDescent="0.25">
      <c r="B744" s="1"/>
      <c r="C744" s="1"/>
      <c r="D744" s="2"/>
      <c r="E744" s="2"/>
      <c r="H744" s="3"/>
    </row>
    <row r="745" spans="2:8" ht="15.75" customHeight="1" x14ac:dyDescent="0.25">
      <c r="B745" s="1"/>
      <c r="C745" s="1"/>
      <c r="D745" s="2"/>
      <c r="E745" s="2"/>
      <c r="H745" s="3"/>
    </row>
    <row r="746" spans="2:8" ht="15.75" customHeight="1" x14ac:dyDescent="0.25">
      <c r="B746" s="1"/>
      <c r="C746" s="1"/>
      <c r="D746" s="2"/>
      <c r="E746" s="2"/>
      <c r="H746" s="3"/>
    </row>
    <row r="747" spans="2:8" ht="15.75" customHeight="1" x14ac:dyDescent="0.25">
      <c r="B747" s="1"/>
      <c r="C747" s="1"/>
      <c r="D747" s="2"/>
      <c r="E747" s="2"/>
      <c r="H747" s="3"/>
    </row>
    <row r="748" spans="2:8" ht="15.75" customHeight="1" x14ac:dyDescent="0.25">
      <c r="B748" s="1"/>
      <c r="C748" s="1"/>
      <c r="D748" s="2"/>
      <c r="E748" s="2"/>
      <c r="H748" s="3"/>
    </row>
    <row r="749" spans="2:8" ht="15.75" customHeight="1" x14ac:dyDescent="0.25">
      <c r="B749" s="1"/>
      <c r="C749" s="1"/>
      <c r="D749" s="2"/>
      <c r="E749" s="2"/>
      <c r="H749" s="3"/>
    </row>
    <row r="750" spans="2:8" ht="15.75" customHeight="1" x14ac:dyDescent="0.25">
      <c r="B750" s="1"/>
      <c r="C750" s="1"/>
      <c r="D750" s="2"/>
      <c r="E750" s="2"/>
      <c r="H750" s="3"/>
    </row>
    <row r="751" spans="2:8" ht="15.75" customHeight="1" x14ac:dyDescent="0.25">
      <c r="B751" s="1"/>
      <c r="C751" s="1"/>
      <c r="D751" s="2"/>
      <c r="E751" s="2"/>
      <c r="H751" s="3"/>
    </row>
    <row r="752" spans="2:8" ht="15.75" customHeight="1" x14ac:dyDescent="0.25">
      <c r="B752" s="1"/>
      <c r="C752" s="1"/>
      <c r="D752" s="2"/>
      <c r="E752" s="2"/>
      <c r="H752" s="3"/>
    </row>
    <row r="753" spans="2:8" ht="15.75" customHeight="1" x14ac:dyDescent="0.25">
      <c r="B753" s="1"/>
      <c r="C753" s="1"/>
      <c r="D753" s="2"/>
      <c r="E753" s="2"/>
      <c r="H753" s="3"/>
    </row>
    <row r="754" spans="2:8" ht="15.75" customHeight="1" x14ac:dyDescent="0.25">
      <c r="B754" s="1"/>
      <c r="C754" s="1"/>
      <c r="D754" s="2"/>
      <c r="E754" s="2"/>
      <c r="H754" s="3"/>
    </row>
    <row r="755" spans="2:8" ht="15.75" customHeight="1" x14ac:dyDescent="0.25">
      <c r="B755" s="1"/>
      <c r="C755" s="1"/>
      <c r="D755" s="2"/>
      <c r="E755" s="2"/>
      <c r="H755" s="3"/>
    </row>
    <row r="756" spans="2:8" ht="15.75" customHeight="1" x14ac:dyDescent="0.25">
      <c r="B756" s="1"/>
      <c r="C756" s="1"/>
      <c r="D756" s="2"/>
      <c r="E756" s="2"/>
      <c r="H756" s="3"/>
    </row>
    <row r="757" spans="2:8" ht="15.75" customHeight="1" x14ac:dyDescent="0.25">
      <c r="B757" s="1"/>
      <c r="C757" s="1"/>
      <c r="D757" s="2"/>
      <c r="E757" s="2"/>
      <c r="H757" s="3"/>
    </row>
    <row r="758" spans="2:8" ht="15.75" customHeight="1" x14ac:dyDescent="0.25">
      <c r="B758" s="1"/>
      <c r="C758" s="1"/>
      <c r="D758" s="2"/>
      <c r="E758" s="2"/>
      <c r="H758" s="3"/>
    </row>
    <row r="759" spans="2:8" ht="15.75" customHeight="1" x14ac:dyDescent="0.25">
      <c r="B759" s="1"/>
      <c r="C759" s="1"/>
      <c r="D759" s="2"/>
      <c r="E759" s="2"/>
      <c r="H759" s="3"/>
    </row>
    <row r="760" spans="2:8" ht="15.75" customHeight="1" x14ac:dyDescent="0.25">
      <c r="B760" s="1"/>
      <c r="C760" s="1"/>
      <c r="D760" s="2"/>
      <c r="E760" s="2"/>
      <c r="H760" s="3"/>
    </row>
    <row r="761" spans="2:8" ht="15.75" customHeight="1" x14ac:dyDescent="0.25">
      <c r="B761" s="1"/>
      <c r="C761" s="1"/>
      <c r="D761" s="2"/>
      <c r="E761" s="2"/>
      <c r="H761" s="3"/>
    </row>
    <row r="762" spans="2:8" ht="15.75" customHeight="1" x14ac:dyDescent="0.25">
      <c r="B762" s="1"/>
      <c r="C762" s="1"/>
      <c r="D762" s="2"/>
      <c r="E762" s="2"/>
      <c r="H762" s="3"/>
    </row>
    <row r="763" spans="2:8" ht="15.75" customHeight="1" x14ac:dyDescent="0.25">
      <c r="B763" s="1"/>
      <c r="C763" s="1"/>
      <c r="D763" s="2"/>
      <c r="E763" s="2"/>
      <c r="H763" s="3"/>
    </row>
    <row r="764" spans="2:8" ht="15.75" customHeight="1" x14ac:dyDescent="0.25">
      <c r="B764" s="1"/>
      <c r="C764" s="1"/>
      <c r="D764" s="2"/>
      <c r="E764" s="2"/>
      <c r="H764" s="3"/>
    </row>
    <row r="765" spans="2:8" ht="15.75" customHeight="1" x14ac:dyDescent="0.25">
      <c r="B765" s="1"/>
      <c r="C765" s="1"/>
      <c r="D765" s="2"/>
      <c r="E765" s="2"/>
      <c r="H765" s="3"/>
    </row>
    <row r="766" spans="2:8" ht="15.75" customHeight="1" x14ac:dyDescent="0.25">
      <c r="B766" s="1"/>
      <c r="C766" s="1"/>
      <c r="D766" s="2"/>
      <c r="E766" s="2"/>
      <c r="H766" s="3"/>
    </row>
    <row r="767" spans="2:8" ht="15.75" customHeight="1" x14ac:dyDescent="0.25">
      <c r="B767" s="1"/>
      <c r="C767" s="1"/>
      <c r="D767" s="2"/>
      <c r="E767" s="2"/>
      <c r="H767" s="3"/>
    </row>
    <row r="768" spans="2:8" ht="15.75" customHeight="1" x14ac:dyDescent="0.25">
      <c r="B768" s="1"/>
      <c r="C768" s="1"/>
      <c r="D768" s="2"/>
      <c r="E768" s="2"/>
      <c r="H768" s="3"/>
    </row>
    <row r="769" spans="2:8" ht="15.75" customHeight="1" x14ac:dyDescent="0.25">
      <c r="B769" s="1"/>
      <c r="C769" s="1"/>
      <c r="D769" s="2"/>
      <c r="E769" s="2"/>
      <c r="H769" s="3"/>
    </row>
    <row r="770" spans="2:8" ht="15.75" customHeight="1" x14ac:dyDescent="0.25">
      <c r="B770" s="1"/>
      <c r="C770" s="1"/>
      <c r="D770" s="2"/>
      <c r="E770" s="2"/>
      <c r="H770" s="3"/>
    </row>
    <row r="771" spans="2:8" ht="15.75" customHeight="1" x14ac:dyDescent="0.25">
      <c r="B771" s="1"/>
      <c r="C771" s="1"/>
      <c r="D771" s="2"/>
      <c r="E771" s="2"/>
      <c r="H771" s="3"/>
    </row>
    <row r="772" spans="2:8" ht="15.75" customHeight="1" x14ac:dyDescent="0.25">
      <c r="B772" s="1"/>
      <c r="C772" s="1"/>
      <c r="D772" s="2"/>
      <c r="E772" s="2"/>
      <c r="H772" s="3"/>
    </row>
    <row r="773" spans="2:8" ht="15.75" customHeight="1" x14ac:dyDescent="0.25">
      <c r="B773" s="1"/>
      <c r="C773" s="1"/>
      <c r="D773" s="2"/>
      <c r="E773" s="2"/>
      <c r="H773" s="3"/>
    </row>
    <row r="774" spans="2:8" ht="15.75" customHeight="1" x14ac:dyDescent="0.25">
      <c r="B774" s="1"/>
      <c r="C774" s="1"/>
      <c r="D774" s="2"/>
      <c r="E774" s="2"/>
      <c r="H774" s="3"/>
    </row>
    <row r="775" spans="2:8" ht="15.75" customHeight="1" x14ac:dyDescent="0.25">
      <c r="B775" s="1"/>
      <c r="C775" s="1"/>
      <c r="D775" s="2"/>
      <c r="E775" s="2"/>
      <c r="H775" s="3"/>
    </row>
    <row r="776" spans="2:8" ht="15.75" customHeight="1" x14ac:dyDescent="0.25">
      <c r="B776" s="1"/>
      <c r="C776" s="1"/>
      <c r="D776" s="2"/>
      <c r="E776" s="2"/>
      <c r="H776" s="3"/>
    </row>
    <row r="777" spans="2:8" ht="15.75" customHeight="1" x14ac:dyDescent="0.25">
      <c r="B777" s="1"/>
      <c r="C777" s="1"/>
      <c r="D777" s="2"/>
      <c r="E777" s="2"/>
      <c r="H777" s="3"/>
    </row>
    <row r="778" spans="2:8" ht="15.75" customHeight="1" x14ac:dyDescent="0.25">
      <c r="B778" s="1"/>
      <c r="C778" s="1"/>
      <c r="D778" s="2"/>
      <c r="E778" s="2"/>
      <c r="H778" s="3"/>
    </row>
    <row r="779" spans="2:8" ht="15.75" customHeight="1" x14ac:dyDescent="0.25">
      <c r="B779" s="1"/>
      <c r="C779" s="1"/>
      <c r="D779" s="2"/>
      <c r="E779" s="2"/>
      <c r="H779" s="3"/>
    </row>
    <row r="780" spans="2:8" ht="15.75" customHeight="1" x14ac:dyDescent="0.25">
      <c r="B780" s="1"/>
      <c r="C780" s="1"/>
      <c r="D780" s="2"/>
      <c r="E780" s="2"/>
      <c r="H780" s="3"/>
    </row>
    <row r="781" spans="2:8" ht="15.75" customHeight="1" x14ac:dyDescent="0.25">
      <c r="B781" s="1"/>
      <c r="C781" s="1"/>
      <c r="D781" s="2"/>
      <c r="E781" s="2"/>
      <c r="H781" s="3"/>
    </row>
    <row r="782" spans="2:8" ht="15.75" customHeight="1" x14ac:dyDescent="0.25">
      <c r="B782" s="1"/>
      <c r="C782" s="1"/>
      <c r="D782" s="2"/>
      <c r="E782" s="2"/>
      <c r="H782" s="3"/>
    </row>
    <row r="783" spans="2:8" ht="15.75" customHeight="1" x14ac:dyDescent="0.25">
      <c r="B783" s="1"/>
      <c r="C783" s="1"/>
      <c r="D783" s="2"/>
      <c r="E783" s="2"/>
      <c r="H783" s="3"/>
    </row>
    <row r="784" spans="2:8" ht="15.75" customHeight="1" x14ac:dyDescent="0.25">
      <c r="B784" s="1"/>
      <c r="C784" s="1"/>
      <c r="D784" s="2"/>
      <c r="E784" s="2"/>
      <c r="H784" s="3"/>
    </row>
    <row r="785" spans="2:8" ht="15.75" customHeight="1" x14ac:dyDescent="0.25">
      <c r="B785" s="1"/>
      <c r="C785" s="1"/>
      <c r="D785" s="2"/>
      <c r="E785" s="2"/>
      <c r="H785" s="3"/>
    </row>
    <row r="786" spans="2:8" ht="15.75" customHeight="1" x14ac:dyDescent="0.25">
      <c r="B786" s="1"/>
      <c r="C786" s="1"/>
      <c r="D786" s="2"/>
      <c r="E786" s="2"/>
      <c r="H786" s="3"/>
    </row>
    <row r="787" spans="2:8" ht="15.75" customHeight="1" x14ac:dyDescent="0.25">
      <c r="B787" s="1"/>
      <c r="C787" s="1"/>
      <c r="D787" s="2"/>
      <c r="E787" s="2"/>
      <c r="H787" s="3"/>
    </row>
    <row r="788" spans="2:8" ht="15.75" customHeight="1" x14ac:dyDescent="0.25">
      <c r="B788" s="1"/>
      <c r="C788" s="1"/>
      <c r="D788" s="2"/>
      <c r="E788" s="2"/>
      <c r="H788" s="3"/>
    </row>
    <row r="789" spans="2:8" ht="15.75" customHeight="1" x14ac:dyDescent="0.25">
      <c r="B789" s="1"/>
      <c r="C789" s="1"/>
      <c r="D789" s="2"/>
      <c r="E789" s="2"/>
      <c r="H789" s="3"/>
    </row>
    <row r="790" spans="2:8" ht="15.75" customHeight="1" x14ac:dyDescent="0.25">
      <c r="B790" s="1"/>
      <c r="C790" s="1"/>
      <c r="D790" s="2"/>
      <c r="E790" s="2"/>
      <c r="H790" s="3"/>
    </row>
    <row r="791" spans="2:8" ht="15.75" customHeight="1" x14ac:dyDescent="0.25">
      <c r="B791" s="1"/>
      <c r="C791" s="1"/>
      <c r="D791" s="2"/>
      <c r="E791" s="2"/>
      <c r="H791" s="3"/>
    </row>
    <row r="792" spans="2:8" ht="15.75" customHeight="1" x14ac:dyDescent="0.25">
      <c r="B792" s="1"/>
      <c r="C792" s="1"/>
      <c r="D792" s="2"/>
      <c r="E792" s="2"/>
      <c r="H792" s="3"/>
    </row>
    <row r="793" spans="2:8" ht="15.75" customHeight="1" x14ac:dyDescent="0.25">
      <c r="B793" s="1"/>
      <c r="C793" s="1"/>
      <c r="D793" s="2"/>
      <c r="E793" s="2"/>
      <c r="H793" s="3"/>
    </row>
    <row r="794" spans="2:8" ht="15.75" customHeight="1" x14ac:dyDescent="0.25">
      <c r="B794" s="1"/>
      <c r="C794" s="1"/>
      <c r="D794" s="2"/>
      <c r="E794" s="2"/>
      <c r="H794" s="3"/>
    </row>
    <row r="795" spans="2:8" ht="15.75" customHeight="1" x14ac:dyDescent="0.25">
      <c r="B795" s="1"/>
      <c r="C795" s="1"/>
      <c r="D795" s="2"/>
      <c r="E795" s="2"/>
      <c r="H795" s="3"/>
    </row>
    <row r="796" spans="2:8" ht="15.75" customHeight="1" x14ac:dyDescent="0.25">
      <c r="B796" s="1"/>
      <c r="C796" s="1"/>
      <c r="D796" s="2"/>
      <c r="E796" s="2"/>
      <c r="H796" s="3"/>
    </row>
    <row r="797" spans="2:8" ht="15.75" customHeight="1" x14ac:dyDescent="0.25">
      <c r="B797" s="1"/>
      <c r="C797" s="1"/>
      <c r="D797" s="2"/>
      <c r="E797" s="2"/>
      <c r="H797" s="3"/>
    </row>
    <row r="798" spans="2:8" ht="15.75" customHeight="1" x14ac:dyDescent="0.25">
      <c r="B798" s="1"/>
      <c r="C798" s="1"/>
      <c r="D798" s="2"/>
      <c r="E798" s="2"/>
      <c r="H798" s="3"/>
    </row>
    <row r="799" spans="2:8" ht="15.75" customHeight="1" x14ac:dyDescent="0.25">
      <c r="B799" s="1"/>
      <c r="C799" s="1"/>
      <c r="D799" s="2"/>
      <c r="E799" s="2"/>
      <c r="H799" s="3"/>
    </row>
    <row r="800" spans="2:8" ht="15.75" customHeight="1" x14ac:dyDescent="0.25">
      <c r="B800" s="1"/>
      <c r="C800" s="1"/>
      <c r="D800" s="2"/>
      <c r="E800" s="2"/>
      <c r="H800" s="3"/>
    </row>
    <row r="801" spans="2:8" ht="15.75" customHeight="1" x14ac:dyDescent="0.25">
      <c r="B801" s="1"/>
      <c r="C801" s="1"/>
      <c r="D801" s="2"/>
      <c r="E801" s="2"/>
      <c r="H801" s="3"/>
    </row>
    <row r="802" spans="2:8" ht="15.75" customHeight="1" x14ac:dyDescent="0.25">
      <c r="B802" s="1"/>
      <c r="C802" s="1"/>
      <c r="D802" s="2"/>
      <c r="E802" s="2"/>
      <c r="H802" s="3"/>
    </row>
    <row r="803" spans="2:8" ht="15.75" customHeight="1" x14ac:dyDescent="0.25">
      <c r="B803" s="1"/>
      <c r="C803" s="1"/>
      <c r="D803" s="2"/>
      <c r="E803" s="2"/>
      <c r="H803" s="3"/>
    </row>
    <row r="804" spans="2:8" ht="15.75" customHeight="1" x14ac:dyDescent="0.25">
      <c r="B804" s="1"/>
      <c r="C804" s="1"/>
      <c r="D804" s="2"/>
      <c r="E804" s="2"/>
      <c r="H804" s="3"/>
    </row>
    <row r="805" spans="2:8" ht="15.75" customHeight="1" x14ac:dyDescent="0.25">
      <c r="B805" s="1"/>
      <c r="C805" s="1"/>
      <c r="D805" s="2"/>
      <c r="E805" s="2"/>
      <c r="H805" s="3"/>
    </row>
    <row r="806" spans="2:8" ht="15.75" customHeight="1" x14ac:dyDescent="0.25">
      <c r="B806" s="1"/>
      <c r="C806" s="1"/>
      <c r="D806" s="2"/>
      <c r="E806" s="2"/>
      <c r="H806" s="3"/>
    </row>
    <row r="807" spans="2:8" ht="15.75" customHeight="1" x14ac:dyDescent="0.25">
      <c r="B807" s="1"/>
      <c r="C807" s="1"/>
      <c r="D807" s="2"/>
      <c r="E807" s="2"/>
      <c r="H807" s="3"/>
    </row>
    <row r="808" spans="2:8" ht="15.75" customHeight="1" x14ac:dyDescent="0.25">
      <c r="B808" s="1"/>
      <c r="C808" s="1"/>
      <c r="D808" s="2"/>
      <c r="E808" s="2"/>
      <c r="H808" s="3"/>
    </row>
    <row r="809" spans="2:8" ht="15.75" customHeight="1" x14ac:dyDescent="0.25">
      <c r="B809" s="1"/>
      <c r="C809" s="1"/>
      <c r="D809" s="2"/>
      <c r="E809" s="2"/>
      <c r="H809" s="3"/>
    </row>
    <row r="810" spans="2:8" ht="15.75" customHeight="1" x14ac:dyDescent="0.25">
      <c r="B810" s="1"/>
      <c r="C810" s="1"/>
      <c r="D810" s="2"/>
      <c r="E810" s="2"/>
      <c r="H810" s="3"/>
    </row>
    <row r="811" spans="2:8" ht="15.75" customHeight="1" x14ac:dyDescent="0.25">
      <c r="B811" s="1"/>
      <c r="C811" s="1"/>
      <c r="D811" s="2"/>
      <c r="E811" s="2"/>
      <c r="H811" s="3"/>
    </row>
    <row r="812" spans="2:8" ht="15.75" customHeight="1" x14ac:dyDescent="0.25">
      <c r="B812" s="1"/>
      <c r="C812" s="1"/>
      <c r="D812" s="2"/>
      <c r="E812" s="2"/>
      <c r="H812" s="3"/>
    </row>
    <row r="813" spans="2:8" ht="15.75" customHeight="1" x14ac:dyDescent="0.25">
      <c r="B813" s="1"/>
      <c r="C813" s="1"/>
      <c r="D813" s="2"/>
      <c r="E813" s="2"/>
      <c r="H813" s="3"/>
    </row>
    <row r="814" spans="2:8" ht="15.75" customHeight="1" x14ac:dyDescent="0.25">
      <c r="B814" s="1"/>
      <c r="C814" s="1"/>
      <c r="D814" s="2"/>
      <c r="E814" s="2"/>
      <c r="H814" s="3"/>
    </row>
    <row r="815" spans="2:8" ht="15.75" customHeight="1" x14ac:dyDescent="0.25">
      <c r="B815" s="1"/>
      <c r="C815" s="1"/>
      <c r="D815" s="2"/>
      <c r="E815" s="2"/>
      <c r="H815" s="3"/>
    </row>
    <row r="816" spans="2:8" ht="15.75" customHeight="1" x14ac:dyDescent="0.25">
      <c r="B816" s="1"/>
      <c r="C816" s="1"/>
      <c r="D816" s="2"/>
      <c r="E816" s="2"/>
      <c r="H816" s="3"/>
    </row>
    <row r="817" spans="2:8" ht="15.75" customHeight="1" x14ac:dyDescent="0.25">
      <c r="B817" s="1"/>
      <c r="C817" s="1"/>
      <c r="D817" s="2"/>
      <c r="E817" s="2"/>
      <c r="H817" s="3"/>
    </row>
    <row r="818" spans="2:8" ht="15.75" customHeight="1" x14ac:dyDescent="0.25">
      <c r="B818" s="1"/>
      <c r="C818" s="1"/>
      <c r="D818" s="2"/>
      <c r="E818" s="2"/>
      <c r="H818" s="3"/>
    </row>
    <row r="819" spans="2:8" ht="15.75" customHeight="1" x14ac:dyDescent="0.25">
      <c r="B819" s="1"/>
      <c r="C819" s="1"/>
      <c r="D819" s="2"/>
      <c r="E819" s="2"/>
      <c r="H819" s="3"/>
    </row>
    <row r="820" spans="2:8" ht="15.75" customHeight="1" x14ac:dyDescent="0.25">
      <c r="B820" s="1"/>
      <c r="C820" s="1"/>
      <c r="D820" s="2"/>
      <c r="E820" s="2"/>
      <c r="H820" s="3"/>
    </row>
    <row r="821" spans="2:8" ht="15.75" customHeight="1" x14ac:dyDescent="0.25">
      <c r="B821" s="1"/>
      <c r="C821" s="1"/>
      <c r="D821" s="2"/>
      <c r="E821" s="2"/>
      <c r="H821" s="3"/>
    </row>
    <row r="822" spans="2:8" ht="15.75" customHeight="1" x14ac:dyDescent="0.25">
      <c r="B822" s="1"/>
      <c r="C822" s="1"/>
      <c r="D822" s="2"/>
      <c r="E822" s="2"/>
      <c r="H822" s="3"/>
    </row>
    <row r="823" spans="2:8" ht="15.75" customHeight="1" x14ac:dyDescent="0.25">
      <c r="B823" s="1"/>
      <c r="C823" s="1"/>
      <c r="D823" s="2"/>
      <c r="E823" s="2"/>
      <c r="H823" s="3"/>
    </row>
    <row r="824" spans="2:8" ht="15.75" customHeight="1" x14ac:dyDescent="0.25">
      <c r="B824" s="1"/>
      <c r="C824" s="1"/>
      <c r="D824" s="2"/>
      <c r="E824" s="2"/>
      <c r="H824" s="3"/>
    </row>
    <row r="825" spans="2:8" ht="15.75" customHeight="1" x14ac:dyDescent="0.25">
      <c r="B825" s="1"/>
      <c r="C825" s="1"/>
      <c r="D825" s="2"/>
      <c r="E825" s="2"/>
      <c r="H825" s="3"/>
    </row>
    <row r="826" spans="2:8" ht="15.75" customHeight="1" x14ac:dyDescent="0.25">
      <c r="B826" s="1"/>
      <c r="C826" s="1"/>
      <c r="D826" s="2"/>
      <c r="E826" s="2"/>
      <c r="H826" s="3"/>
    </row>
    <row r="827" spans="2:8" ht="15.75" customHeight="1" x14ac:dyDescent="0.25">
      <c r="B827" s="1"/>
      <c r="C827" s="1"/>
      <c r="D827" s="2"/>
      <c r="E827" s="2"/>
      <c r="H827" s="3"/>
    </row>
    <row r="828" spans="2:8" ht="15.75" customHeight="1" x14ac:dyDescent="0.25">
      <c r="B828" s="1"/>
      <c r="C828" s="1"/>
      <c r="D828" s="2"/>
      <c r="E828" s="2"/>
      <c r="H828" s="3"/>
    </row>
    <row r="829" spans="2:8" ht="15.75" customHeight="1" x14ac:dyDescent="0.25">
      <c r="B829" s="1"/>
      <c r="C829" s="1"/>
      <c r="D829" s="2"/>
      <c r="E829" s="2"/>
      <c r="H829" s="3"/>
    </row>
    <row r="830" spans="2:8" ht="15.75" customHeight="1" x14ac:dyDescent="0.25">
      <c r="B830" s="1"/>
      <c r="C830" s="1"/>
      <c r="D830" s="2"/>
      <c r="E830" s="2"/>
      <c r="H830" s="3"/>
    </row>
    <row r="831" spans="2:8" ht="15.75" customHeight="1" x14ac:dyDescent="0.25">
      <c r="B831" s="1"/>
      <c r="C831" s="1"/>
      <c r="D831" s="2"/>
      <c r="E831" s="2"/>
      <c r="H831" s="3"/>
    </row>
    <row r="832" spans="2:8" ht="15.75" customHeight="1" x14ac:dyDescent="0.25">
      <c r="B832" s="1"/>
      <c r="C832" s="1"/>
      <c r="D832" s="2"/>
      <c r="E832" s="2"/>
      <c r="H832" s="3"/>
    </row>
    <row r="833" spans="2:8" ht="15.75" customHeight="1" x14ac:dyDescent="0.25">
      <c r="B833" s="1"/>
      <c r="C833" s="1"/>
      <c r="D833" s="2"/>
      <c r="E833" s="2"/>
      <c r="H833" s="3"/>
    </row>
    <row r="834" spans="2:8" ht="15.75" customHeight="1" x14ac:dyDescent="0.25">
      <c r="B834" s="1"/>
      <c r="C834" s="1"/>
      <c r="D834" s="2"/>
      <c r="E834" s="2"/>
      <c r="H834" s="3"/>
    </row>
    <row r="835" spans="2:8" ht="15.75" customHeight="1" x14ac:dyDescent="0.25">
      <c r="B835" s="1"/>
      <c r="C835" s="1"/>
      <c r="D835" s="2"/>
      <c r="E835" s="2"/>
      <c r="H835" s="3"/>
    </row>
    <row r="836" spans="2:8" ht="15.75" customHeight="1" x14ac:dyDescent="0.25">
      <c r="B836" s="1"/>
      <c r="C836" s="1"/>
      <c r="D836" s="2"/>
      <c r="E836" s="2"/>
      <c r="H836" s="3"/>
    </row>
    <row r="837" spans="2:8" ht="15.75" customHeight="1" x14ac:dyDescent="0.25">
      <c r="B837" s="1"/>
      <c r="C837" s="1"/>
      <c r="D837" s="2"/>
      <c r="E837" s="2"/>
      <c r="H837" s="3"/>
    </row>
    <row r="838" spans="2:8" ht="15.75" customHeight="1" x14ac:dyDescent="0.25">
      <c r="B838" s="1"/>
      <c r="C838" s="1"/>
      <c r="D838" s="2"/>
      <c r="E838" s="2"/>
      <c r="H838" s="3"/>
    </row>
    <row r="839" spans="2:8" ht="15.75" customHeight="1" x14ac:dyDescent="0.25">
      <c r="B839" s="1"/>
      <c r="C839" s="1"/>
      <c r="D839" s="2"/>
      <c r="E839" s="2"/>
      <c r="H839" s="3"/>
    </row>
    <row r="840" spans="2:8" ht="15.75" customHeight="1" x14ac:dyDescent="0.25">
      <c r="B840" s="1"/>
      <c r="C840" s="1"/>
      <c r="D840" s="2"/>
      <c r="E840" s="2"/>
      <c r="H840" s="3"/>
    </row>
    <row r="841" spans="2:8" ht="15.75" customHeight="1" x14ac:dyDescent="0.25">
      <c r="B841" s="1"/>
      <c r="C841" s="1"/>
      <c r="D841" s="2"/>
      <c r="E841" s="2"/>
      <c r="H841" s="3"/>
    </row>
    <row r="842" spans="2:8" ht="15.75" customHeight="1" x14ac:dyDescent="0.25">
      <c r="B842" s="1"/>
      <c r="C842" s="1"/>
      <c r="D842" s="2"/>
      <c r="E842" s="2"/>
      <c r="H842" s="3"/>
    </row>
    <row r="843" spans="2:8" ht="15.75" customHeight="1" x14ac:dyDescent="0.25">
      <c r="B843" s="1"/>
      <c r="C843" s="1"/>
      <c r="D843" s="2"/>
      <c r="E843" s="2"/>
      <c r="H843" s="3"/>
    </row>
    <row r="844" spans="2:8" ht="15.75" customHeight="1" x14ac:dyDescent="0.25">
      <c r="B844" s="1"/>
      <c r="C844" s="1"/>
      <c r="D844" s="2"/>
      <c r="E844" s="2"/>
      <c r="H844" s="3"/>
    </row>
    <row r="845" spans="2:8" ht="15.75" customHeight="1" x14ac:dyDescent="0.25">
      <c r="B845" s="1"/>
      <c r="C845" s="1"/>
      <c r="D845" s="2"/>
      <c r="E845" s="2"/>
      <c r="H845" s="3"/>
    </row>
    <row r="846" spans="2:8" ht="15.75" customHeight="1" x14ac:dyDescent="0.25">
      <c r="B846" s="1"/>
      <c r="C846" s="1"/>
      <c r="D846" s="2"/>
      <c r="E846" s="2"/>
      <c r="H846" s="3"/>
    </row>
    <row r="847" spans="2:8" ht="15.75" customHeight="1" x14ac:dyDescent="0.25">
      <c r="B847" s="1"/>
      <c r="C847" s="1"/>
      <c r="D847" s="2"/>
      <c r="E847" s="2"/>
      <c r="H847" s="3"/>
    </row>
    <row r="848" spans="2:8" ht="15.75" customHeight="1" x14ac:dyDescent="0.25">
      <c r="B848" s="1"/>
      <c r="C848" s="1"/>
      <c r="D848" s="2"/>
      <c r="E848" s="2"/>
      <c r="H848" s="3"/>
    </row>
    <row r="849" spans="2:8" ht="15.75" customHeight="1" x14ac:dyDescent="0.25">
      <c r="B849" s="1"/>
      <c r="C849" s="1"/>
      <c r="D849" s="2"/>
      <c r="E849" s="2"/>
      <c r="H849" s="3"/>
    </row>
    <row r="850" spans="2:8" ht="15.75" customHeight="1" x14ac:dyDescent="0.25">
      <c r="B850" s="1"/>
      <c r="C850" s="1"/>
      <c r="D850" s="2"/>
      <c r="E850" s="2"/>
      <c r="H850" s="3"/>
    </row>
    <row r="851" spans="2:8" ht="15.75" customHeight="1" x14ac:dyDescent="0.25">
      <c r="B851" s="1"/>
      <c r="C851" s="1"/>
      <c r="D851" s="2"/>
      <c r="E851" s="2"/>
      <c r="H851" s="3"/>
    </row>
    <row r="852" spans="2:8" ht="15.75" customHeight="1" x14ac:dyDescent="0.25">
      <c r="B852" s="1"/>
      <c r="C852" s="1"/>
      <c r="D852" s="2"/>
      <c r="E852" s="2"/>
      <c r="H852" s="3"/>
    </row>
    <row r="853" spans="2:8" ht="15.75" customHeight="1" x14ac:dyDescent="0.25">
      <c r="B853" s="1"/>
      <c r="C853" s="1"/>
      <c r="D853" s="2"/>
      <c r="E853" s="2"/>
      <c r="H853" s="3"/>
    </row>
    <row r="854" spans="2:8" ht="15.75" customHeight="1" x14ac:dyDescent="0.25">
      <c r="B854" s="1"/>
      <c r="C854" s="1"/>
      <c r="D854" s="2"/>
      <c r="E854" s="2"/>
      <c r="H854" s="3"/>
    </row>
    <row r="855" spans="2:8" ht="15.75" customHeight="1" x14ac:dyDescent="0.25">
      <c r="B855" s="1"/>
      <c r="C855" s="1"/>
      <c r="D855" s="2"/>
      <c r="E855" s="2"/>
      <c r="H855" s="3"/>
    </row>
    <row r="856" spans="2:8" ht="15.75" customHeight="1" x14ac:dyDescent="0.25">
      <c r="B856" s="1"/>
      <c r="C856" s="1"/>
      <c r="D856" s="2"/>
      <c r="E856" s="2"/>
      <c r="H856" s="3"/>
    </row>
    <row r="857" spans="2:8" ht="15.75" customHeight="1" x14ac:dyDescent="0.25">
      <c r="B857" s="1"/>
      <c r="C857" s="1"/>
      <c r="D857" s="2"/>
      <c r="E857" s="2"/>
      <c r="H857" s="3"/>
    </row>
    <row r="858" spans="2:8" ht="15.75" customHeight="1" x14ac:dyDescent="0.25">
      <c r="B858" s="1"/>
      <c r="C858" s="1"/>
      <c r="D858" s="2"/>
      <c r="E858" s="2"/>
      <c r="H858" s="3"/>
    </row>
    <row r="859" spans="2:8" ht="15.75" customHeight="1" x14ac:dyDescent="0.25">
      <c r="B859" s="1"/>
      <c r="C859" s="1"/>
      <c r="D859" s="2"/>
      <c r="E859" s="2"/>
      <c r="H859" s="3"/>
    </row>
    <row r="860" spans="2:8" ht="15.75" customHeight="1" x14ac:dyDescent="0.25">
      <c r="B860" s="1"/>
      <c r="C860" s="1"/>
      <c r="D860" s="2"/>
      <c r="E860" s="2"/>
      <c r="H860" s="3"/>
    </row>
    <row r="861" spans="2:8" ht="15.75" customHeight="1" x14ac:dyDescent="0.25">
      <c r="B861" s="1"/>
      <c r="C861" s="1"/>
      <c r="D861" s="2"/>
      <c r="E861" s="2"/>
      <c r="H861" s="3"/>
    </row>
    <row r="862" spans="2:8" ht="15.75" customHeight="1" x14ac:dyDescent="0.25">
      <c r="B862" s="1"/>
      <c r="C862" s="1"/>
      <c r="D862" s="2"/>
      <c r="E862" s="2"/>
      <c r="H862" s="3"/>
    </row>
    <row r="863" spans="2:8" ht="15.75" customHeight="1" x14ac:dyDescent="0.25">
      <c r="B863" s="1"/>
      <c r="C863" s="1"/>
      <c r="D863" s="2"/>
      <c r="E863" s="2"/>
      <c r="H863" s="3"/>
    </row>
    <row r="864" spans="2:8" ht="15.75" customHeight="1" x14ac:dyDescent="0.25">
      <c r="B864" s="1"/>
      <c r="C864" s="1"/>
      <c r="D864" s="2"/>
      <c r="E864" s="2"/>
      <c r="H864" s="3"/>
    </row>
    <row r="865" spans="2:8" ht="15.75" customHeight="1" x14ac:dyDescent="0.25">
      <c r="B865" s="1"/>
      <c r="C865" s="1"/>
      <c r="D865" s="2"/>
      <c r="E865" s="2"/>
      <c r="H865" s="3"/>
    </row>
    <row r="866" spans="2:8" ht="15.75" customHeight="1" x14ac:dyDescent="0.25">
      <c r="B866" s="1"/>
      <c r="C866" s="1"/>
      <c r="D866" s="2"/>
      <c r="E866" s="2"/>
      <c r="H866" s="3"/>
    </row>
    <row r="867" spans="2:8" ht="15.75" customHeight="1" x14ac:dyDescent="0.25">
      <c r="B867" s="1"/>
      <c r="C867" s="1"/>
      <c r="D867" s="2"/>
      <c r="E867" s="2"/>
      <c r="H867" s="3"/>
    </row>
    <row r="868" spans="2:8" ht="15.75" customHeight="1" x14ac:dyDescent="0.25">
      <c r="B868" s="1"/>
      <c r="C868" s="1"/>
      <c r="D868" s="2"/>
      <c r="E868" s="2"/>
      <c r="H868" s="3"/>
    </row>
    <row r="869" spans="2:8" ht="15.75" customHeight="1" x14ac:dyDescent="0.25">
      <c r="B869" s="1"/>
      <c r="C869" s="1"/>
      <c r="D869" s="2"/>
      <c r="E869" s="2"/>
      <c r="H869" s="3"/>
    </row>
    <row r="870" spans="2:8" ht="15.75" customHeight="1" x14ac:dyDescent="0.25">
      <c r="B870" s="1"/>
      <c r="C870" s="1"/>
      <c r="D870" s="2"/>
      <c r="E870" s="2"/>
      <c r="H870" s="3"/>
    </row>
    <row r="871" spans="2:8" ht="15.75" customHeight="1" x14ac:dyDescent="0.25">
      <c r="B871" s="1"/>
      <c r="C871" s="1"/>
      <c r="D871" s="2"/>
      <c r="E871" s="2"/>
      <c r="H871" s="3"/>
    </row>
    <row r="872" spans="2:8" ht="15.75" customHeight="1" x14ac:dyDescent="0.25">
      <c r="B872" s="1"/>
      <c r="C872" s="1"/>
      <c r="D872" s="2"/>
      <c r="E872" s="2"/>
      <c r="H872" s="3"/>
    </row>
    <row r="873" spans="2:8" ht="15.75" customHeight="1" x14ac:dyDescent="0.25">
      <c r="B873" s="1"/>
      <c r="C873" s="1"/>
      <c r="D873" s="2"/>
      <c r="E873" s="2"/>
      <c r="H873" s="3"/>
    </row>
    <row r="874" spans="2:8" ht="15.75" customHeight="1" x14ac:dyDescent="0.25">
      <c r="B874" s="1"/>
      <c r="C874" s="1"/>
      <c r="D874" s="2"/>
      <c r="E874" s="2"/>
      <c r="H874" s="3"/>
    </row>
    <row r="875" spans="2:8" ht="15.75" customHeight="1" x14ac:dyDescent="0.25">
      <c r="B875" s="1"/>
      <c r="C875" s="1"/>
      <c r="D875" s="2"/>
      <c r="E875" s="2"/>
      <c r="H875" s="3"/>
    </row>
    <row r="876" spans="2:8" ht="15.75" customHeight="1" x14ac:dyDescent="0.25">
      <c r="B876" s="1"/>
      <c r="C876" s="1"/>
      <c r="D876" s="2"/>
      <c r="E876" s="2"/>
      <c r="H876" s="3"/>
    </row>
    <row r="877" spans="2:8" ht="15.75" customHeight="1" x14ac:dyDescent="0.25">
      <c r="B877" s="1"/>
      <c r="C877" s="1"/>
      <c r="D877" s="2"/>
      <c r="E877" s="2"/>
      <c r="H877" s="3"/>
    </row>
    <row r="878" spans="2:8" ht="15.75" customHeight="1" x14ac:dyDescent="0.25">
      <c r="B878" s="1"/>
      <c r="C878" s="1"/>
      <c r="D878" s="2"/>
      <c r="E878" s="2"/>
      <c r="H878" s="3"/>
    </row>
    <row r="879" spans="2:8" ht="15.75" customHeight="1" x14ac:dyDescent="0.25">
      <c r="B879" s="1"/>
      <c r="C879" s="1"/>
      <c r="D879" s="2"/>
      <c r="E879" s="2"/>
      <c r="H879" s="3"/>
    </row>
    <row r="880" spans="2:8" ht="15.75" customHeight="1" x14ac:dyDescent="0.25">
      <c r="B880" s="1"/>
      <c r="C880" s="1"/>
      <c r="D880" s="2"/>
      <c r="E880" s="2"/>
      <c r="H880" s="3"/>
    </row>
    <row r="881" spans="2:8" ht="15.75" customHeight="1" x14ac:dyDescent="0.25">
      <c r="B881" s="1"/>
      <c r="C881" s="1"/>
      <c r="D881" s="2"/>
      <c r="E881" s="2"/>
      <c r="H881" s="3"/>
    </row>
    <row r="882" spans="2:8" ht="15.75" customHeight="1" x14ac:dyDescent="0.25">
      <c r="B882" s="1"/>
      <c r="C882" s="1"/>
      <c r="D882" s="2"/>
      <c r="E882" s="2"/>
      <c r="H882" s="3"/>
    </row>
    <row r="883" spans="2:8" ht="15.75" customHeight="1" x14ac:dyDescent="0.25">
      <c r="B883" s="1"/>
      <c r="C883" s="1"/>
      <c r="D883" s="2"/>
      <c r="E883" s="2"/>
      <c r="H883" s="3"/>
    </row>
    <row r="884" spans="2:8" ht="15.75" customHeight="1" x14ac:dyDescent="0.25">
      <c r="B884" s="1"/>
      <c r="C884" s="1"/>
      <c r="D884" s="2"/>
      <c r="E884" s="2"/>
      <c r="H884" s="3"/>
    </row>
    <row r="885" spans="2:8" ht="15.75" customHeight="1" x14ac:dyDescent="0.25">
      <c r="B885" s="1"/>
      <c r="C885" s="1"/>
      <c r="D885" s="2"/>
      <c r="E885" s="2"/>
      <c r="H885" s="3"/>
    </row>
    <row r="886" spans="2:8" ht="15.75" customHeight="1" x14ac:dyDescent="0.25">
      <c r="B886" s="1"/>
      <c r="C886" s="1"/>
      <c r="D886" s="2"/>
      <c r="E886" s="2"/>
      <c r="H886" s="3"/>
    </row>
    <row r="887" spans="2:8" ht="15.75" customHeight="1" x14ac:dyDescent="0.25">
      <c r="B887" s="1"/>
      <c r="C887" s="1"/>
      <c r="D887" s="2"/>
      <c r="E887" s="2"/>
      <c r="H887" s="3"/>
    </row>
    <row r="888" spans="2:8" ht="15.75" customHeight="1" x14ac:dyDescent="0.25">
      <c r="B888" s="1"/>
      <c r="C888" s="1"/>
      <c r="D888" s="2"/>
      <c r="E888" s="2"/>
      <c r="H888" s="3"/>
    </row>
    <row r="889" spans="2:8" ht="15.75" customHeight="1" x14ac:dyDescent="0.25">
      <c r="B889" s="1"/>
      <c r="C889" s="1"/>
      <c r="D889" s="2"/>
      <c r="E889" s="2"/>
      <c r="H889" s="3"/>
    </row>
    <row r="890" spans="2:8" ht="15.75" customHeight="1" x14ac:dyDescent="0.25">
      <c r="B890" s="1"/>
      <c r="C890" s="1"/>
      <c r="D890" s="2"/>
      <c r="E890" s="2"/>
      <c r="H890" s="3"/>
    </row>
    <row r="891" spans="2:8" ht="15.75" customHeight="1" x14ac:dyDescent="0.25">
      <c r="B891" s="1"/>
      <c r="C891" s="1"/>
      <c r="D891" s="2"/>
      <c r="E891" s="2"/>
      <c r="H891" s="3"/>
    </row>
    <row r="892" spans="2:8" ht="15.75" customHeight="1" x14ac:dyDescent="0.25">
      <c r="B892" s="1"/>
      <c r="C892" s="1"/>
      <c r="D892" s="2"/>
      <c r="E892" s="2"/>
      <c r="H892" s="3"/>
    </row>
    <row r="893" spans="2:8" ht="15.75" customHeight="1" x14ac:dyDescent="0.25">
      <c r="B893" s="1"/>
      <c r="C893" s="1"/>
      <c r="D893" s="2"/>
      <c r="E893" s="2"/>
      <c r="H893" s="3"/>
    </row>
    <row r="894" spans="2:8" ht="15.75" customHeight="1" x14ac:dyDescent="0.25">
      <c r="B894" s="1"/>
      <c r="C894" s="1"/>
      <c r="D894" s="2"/>
      <c r="E894" s="2"/>
      <c r="H894" s="3"/>
    </row>
    <row r="895" spans="2:8" ht="15.75" customHeight="1" x14ac:dyDescent="0.25">
      <c r="B895" s="1"/>
      <c r="C895" s="1"/>
      <c r="D895" s="2"/>
      <c r="E895" s="2"/>
      <c r="H895" s="3"/>
    </row>
    <row r="896" spans="2:8" ht="15.75" customHeight="1" x14ac:dyDescent="0.25">
      <c r="B896" s="1"/>
      <c r="C896" s="1"/>
      <c r="D896" s="2"/>
      <c r="E896" s="2"/>
      <c r="H896" s="3"/>
    </row>
    <row r="897" spans="2:8" ht="15.75" customHeight="1" x14ac:dyDescent="0.25">
      <c r="B897" s="1"/>
      <c r="C897" s="1"/>
      <c r="D897" s="2"/>
      <c r="E897" s="2"/>
      <c r="H897" s="3"/>
    </row>
    <row r="898" spans="2:8" ht="15.75" customHeight="1" x14ac:dyDescent="0.25">
      <c r="B898" s="1"/>
      <c r="C898" s="1"/>
      <c r="D898" s="2"/>
      <c r="E898" s="2"/>
      <c r="H898" s="3"/>
    </row>
    <row r="899" spans="2:8" ht="15.75" customHeight="1" x14ac:dyDescent="0.25">
      <c r="B899" s="1"/>
      <c r="C899" s="1"/>
      <c r="D899" s="2"/>
      <c r="E899" s="2"/>
      <c r="H899" s="3"/>
    </row>
    <row r="900" spans="2:8" ht="15.75" customHeight="1" x14ac:dyDescent="0.25">
      <c r="B900" s="1"/>
      <c r="C900" s="1"/>
      <c r="D900" s="2"/>
      <c r="E900" s="2"/>
      <c r="H900" s="3"/>
    </row>
    <row r="901" spans="2:8" ht="15.75" customHeight="1" x14ac:dyDescent="0.25">
      <c r="B901" s="1"/>
      <c r="C901" s="1"/>
      <c r="D901" s="2"/>
      <c r="E901" s="2"/>
      <c r="H901" s="3"/>
    </row>
    <row r="902" spans="2:8" ht="15.75" customHeight="1" x14ac:dyDescent="0.25">
      <c r="B902" s="1"/>
      <c r="C902" s="1"/>
      <c r="D902" s="2"/>
      <c r="E902" s="2"/>
      <c r="H902" s="3"/>
    </row>
    <row r="903" spans="2:8" ht="15.75" customHeight="1" x14ac:dyDescent="0.25">
      <c r="B903" s="1"/>
      <c r="C903" s="1"/>
      <c r="D903" s="2"/>
      <c r="E903" s="2"/>
      <c r="H903" s="3"/>
    </row>
    <row r="904" spans="2:8" ht="15.75" customHeight="1" x14ac:dyDescent="0.25">
      <c r="B904" s="1"/>
      <c r="C904" s="1"/>
      <c r="D904" s="2"/>
      <c r="E904" s="2"/>
      <c r="H904" s="3"/>
    </row>
    <row r="905" spans="2:8" ht="15.75" customHeight="1" x14ac:dyDescent="0.25">
      <c r="B905" s="1"/>
      <c r="C905" s="1"/>
      <c r="D905" s="2"/>
      <c r="E905" s="2"/>
      <c r="H905" s="3"/>
    </row>
    <row r="906" spans="2:8" ht="15.75" customHeight="1" x14ac:dyDescent="0.25">
      <c r="B906" s="1"/>
      <c r="C906" s="1"/>
      <c r="D906" s="2"/>
      <c r="E906" s="2"/>
      <c r="H906" s="3"/>
    </row>
    <row r="907" spans="2:8" ht="15.75" customHeight="1" x14ac:dyDescent="0.25">
      <c r="B907" s="1"/>
      <c r="C907" s="1"/>
      <c r="D907" s="2"/>
      <c r="E907" s="2"/>
      <c r="H907" s="3"/>
    </row>
    <row r="908" spans="2:8" ht="15.75" customHeight="1" x14ac:dyDescent="0.25">
      <c r="B908" s="1"/>
      <c r="C908" s="1"/>
      <c r="D908" s="2"/>
      <c r="E908" s="2"/>
      <c r="H908" s="3"/>
    </row>
    <row r="909" spans="2:8" ht="15.75" customHeight="1" x14ac:dyDescent="0.25">
      <c r="B909" s="1"/>
      <c r="C909" s="1"/>
      <c r="D909" s="2"/>
      <c r="E909" s="2"/>
      <c r="H909" s="3"/>
    </row>
    <row r="910" spans="2:8" ht="15.75" customHeight="1" x14ac:dyDescent="0.25">
      <c r="B910" s="1"/>
      <c r="C910" s="1"/>
      <c r="D910" s="2"/>
      <c r="E910" s="2"/>
      <c r="H910" s="3"/>
    </row>
    <row r="911" spans="2:8" ht="15.75" customHeight="1" x14ac:dyDescent="0.25">
      <c r="B911" s="1"/>
      <c r="C911" s="1"/>
      <c r="D911" s="2"/>
      <c r="E911" s="2"/>
      <c r="H911" s="3"/>
    </row>
    <row r="912" spans="2:8" ht="15.75" customHeight="1" x14ac:dyDescent="0.25">
      <c r="B912" s="1"/>
      <c r="C912" s="1"/>
      <c r="D912" s="2"/>
      <c r="E912" s="2"/>
      <c r="H912" s="3"/>
    </row>
    <row r="913" spans="2:8" ht="15.75" customHeight="1" x14ac:dyDescent="0.25">
      <c r="B913" s="1"/>
      <c r="C913" s="1"/>
      <c r="D913" s="2"/>
      <c r="E913" s="2"/>
      <c r="H913" s="3"/>
    </row>
    <row r="914" spans="2:8" ht="15.75" customHeight="1" x14ac:dyDescent="0.25">
      <c r="B914" s="1"/>
      <c r="C914" s="1"/>
      <c r="D914" s="2"/>
      <c r="E914" s="2"/>
      <c r="H914" s="3"/>
    </row>
    <row r="915" spans="2:8" ht="15.75" customHeight="1" x14ac:dyDescent="0.25">
      <c r="B915" s="1"/>
      <c r="C915" s="1"/>
      <c r="D915" s="2"/>
      <c r="E915" s="2"/>
      <c r="H915" s="3"/>
    </row>
    <row r="916" spans="2:8" ht="15.75" customHeight="1" x14ac:dyDescent="0.25">
      <c r="B916" s="1"/>
      <c r="C916" s="1"/>
      <c r="D916" s="2"/>
      <c r="E916" s="2"/>
      <c r="H916" s="3"/>
    </row>
    <row r="917" spans="2:8" ht="15.75" customHeight="1" x14ac:dyDescent="0.25">
      <c r="B917" s="1"/>
      <c r="C917" s="1"/>
      <c r="D917" s="2"/>
      <c r="E917" s="2"/>
      <c r="H917" s="3"/>
    </row>
    <row r="918" spans="2:8" ht="15.75" customHeight="1" x14ac:dyDescent="0.25">
      <c r="B918" s="1"/>
      <c r="C918" s="1"/>
      <c r="D918" s="2"/>
      <c r="E918" s="2"/>
      <c r="H918" s="3"/>
    </row>
    <row r="919" spans="2:8" ht="15.75" customHeight="1" x14ac:dyDescent="0.25">
      <c r="B919" s="1"/>
      <c r="C919" s="1"/>
      <c r="D919" s="2"/>
      <c r="E919" s="2"/>
      <c r="H919" s="3"/>
    </row>
    <row r="920" spans="2:8" ht="15.75" customHeight="1" x14ac:dyDescent="0.25">
      <c r="B920" s="1"/>
      <c r="C920" s="1"/>
      <c r="D920" s="2"/>
      <c r="E920" s="2"/>
      <c r="H920" s="3"/>
    </row>
    <row r="921" spans="2:8" ht="15.75" customHeight="1" x14ac:dyDescent="0.25">
      <c r="B921" s="1"/>
      <c r="C921" s="1"/>
      <c r="D921" s="2"/>
      <c r="E921" s="2"/>
      <c r="H921" s="3"/>
    </row>
    <row r="922" spans="2:8" ht="15.75" customHeight="1" x14ac:dyDescent="0.25">
      <c r="B922" s="1"/>
      <c r="C922" s="1"/>
      <c r="D922" s="2"/>
      <c r="E922" s="2"/>
      <c r="H922" s="3"/>
    </row>
    <row r="923" spans="2:8" ht="15.75" customHeight="1" x14ac:dyDescent="0.25">
      <c r="B923" s="1"/>
      <c r="C923" s="1"/>
      <c r="D923" s="2"/>
      <c r="E923" s="2"/>
      <c r="H923" s="3"/>
    </row>
    <row r="924" spans="2:8" ht="15.75" customHeight="1" x14ac:dyDescent="0.25">
      <c r="B924" s="1"/>
      <c r="C924" s="1"/>
      <c r="D924" s="2"/>
      <c r="E924" s="2"/>
      <c r="H924" s="3"/>
    </row>
    <row r="925" spans="2:8" ht="15.75" customHeight="1" x14ac:dyDescent="0.25">
      <c r="B925" s="1"/>
      <c r="C925" s="1"/>
      <c r="D925" s="2"/>
      <c r="E925" s="2"/>
      <c r="H925" s="3"/>
    </row>
    <row r="926" spans="2:8" ht="15.75" customHeight="1" x14ac:dyDescent="0.25">
      <c r="B926" s="1"/>
      <c r="C926" s="1"/>
      <c r="D926" s="2"/>
      <c r="E926" s="2"/>
      <c r="H926" s="3"/>
    </row>
    <row r="927" spans="2:8" ht="15.75" customHeight="1" x14ac:dyDescent="0.25">
      <c r="B927" s="1"/>
      <c r="C927" s="1"/>
      <c r="D927" s="2"/>
      <c r="E927" s="2"/>
      <c r="H927" s="3"/>
    </row>
    <row r="928" spans="2:8" ht="15.75" customHeight="1" x14ac:dyDescent="0.25">
      <c r="B928" s="1"/>
      <c r="C928" s="1"/>
      <c r="D928" s="2"/>
      <c r="E928" s="2"/>
      <c r="H928" s="3"/>
    </row>
    <row r="929" spans="2:8" ht="15.75" customHeight="1" x14ac:dyDescent="0.25">
      <c r="B929" s="1"/>
      <c r="C929" s="1"/>
      <c r="D929" s="2"/>
      <c r="E929" s="2"/>
      <c r="H929" s="3"/>
    </row>
    <row r="930" spans="2:8" ht="15.75" customHeight="1" x14ac:dyDescent="0.25">
      <c r="B930" s="1"/>
      <c r="C930" s="1"/>
      <c r="D930" s="2"/>
      <c r="E930" s="2"/>
      <c r="H930" s="3"/>
    </row>
    <row r="931" spans="2:8" ht="15.75" customHeight="1" x14ac:dyDescent="0.25">
      <c r="B931" s="1"/>
      <c r="C931" s="1"/>
      <c r="D931" s="2"/>
      <c r="E931" s="2"/>
      <c r="H931" s="3"/>
    </row>
    <row r="932" spans="2:8" ht="15.75" customHeight="1" x14ac:dyDescent="0.25">
      <c r="B932" s="1"/>
      <c r="C932" s="1"/>
      <c r="D932" s="2"/>
      <c r="E932" s="2"/>
      <c r="H932" s="3"/>
    </row>
    <row r="933" spans="2:8" ht="15.75" customHeight="1" x14ac:dyDescent="0.25">
      <c r="B933" s="1"/>
      <c r="C933" s="1"/>
      <c r="D933" s="2"/>
      <c r="E933" s="2"/>
      <c r="H933" s="3"/>
    </row>
    <row r="934" spans="2:8" ht="15.75" customHeight="1" x14ac:dyDescent="0.25">
      <c r="B934" s="1"/>
      <c r="C934" s="1"/>
      <c r="D934" s="2"/>
      <c r="E934" s="2"/>
      <c r="H934" s="3"/>
    </row>
    <row r="935" spans="2:8" ht="15.75" customHeight="1" x14ac:dyDescent="0.25">
      <c r="B935" s="1"/>
      <c r="C935" s="1"/>
      <c r="D935" s="2"/>
      <c r="E935" s="2"/>
      <c r="H935" s="3"/>
    </row>
    <row r="936" spans="2:8" ht="15.75" customHeight="1" x14ac:dyDescent="0.25">
      <c r="B936" s="1"/>
      <c r="C936" s="1"/>
      <c r="D936" s="2"/>
      <c r="E936" s="2"/>
      <c r="H936" s="3"/>
    </row>
    <row r="937" spans="2:8" ht="15.75" customHeight="1" x14ac:dyDescent="0.25">
      <c r="B937" s="1"/>
      <c r="C937" s="1"/>
      <c r="D937" s="2"/>
      <c r="E937" s="2"/>
      <c r="H937" s="3"/>
    </row>
    <row r="938" spans="2:8" ht="15.75" customHeight="1" x14ac:dyDescent="0.25">
      <c r="B938" s="1"/>
      <c r="C938" s="1"/>
      <c r="D938" s="2"/>
      <c r="E938" s="2"/>
      <c r="H938" s="3"/>
    </row>
    <row r="939" spans="2:8" ht="15.75" customHeight="1" x14ac:dyDescent="0.25">
      <c r="B939" s="1"/>
      <c r="C939" s="1"/>
      <c r="D939" s="2"/>
      <c r="E939" s="2"/>
      <c r="H939" s="3"/>
    </row>
    <row r="940" spans="2:8" ht="15.75" customHeight="1" x14ac:dyDescent="0.25">
      <c r="B940" s="1"/>
      <c r="C940" s="1"/>
      <c r="D940" s="2"/>
      <c r="E940" s="2"/>
      <c r="H940" s="3"/>
    </row>
    <row r="941" spans="2:8" ht="15.75" customHeight="1" x14ac:dyDescent="0.25">
      <c r="B941" s="1"/>
      <c r="C941" s="1"/>
      <c r="D941" s="2"/>
      <c r="E941" s="2"/>
      <c r="H941" s="3"/>
    </row>
    <row r="942" spans="2:8" ht="15.75" customHeight="1" x14ac:dyDescent="0.25">
      <c r="B942" s="1"/>
      <c r="C942" s="1"/>
      <c r="D942" s="2"/>
      <c r="E942" s="2"/>
      <c r="H942" s="3"/>
    </row>
    <row r="943" spans="2:8" ht="15.75" customHeight="1" x14ac:dyDescent="0.25">
      <c r="B943" s="1"/>
      <c r="C943" s="1"/>
      <c r="D943" s="2"/>
      <c r="E943" s="2"/>
      <c r="H943" s="3"/>
    </row>
    <row r="944" spans="2:8" ht="15.75" customHeight="1" x14ac:dyDescent="0.25">
      <c r="B944" s="1"/>
      <c r="C944" s="1"/>
      <c r="D944" s="2"/>
      <c r="E944" s="2"/>
      <c r="H944" s="3"/>
    </row>
    <row r="945" spans="2:8" ht="15.75" customHeight="1" x14ac:dyDescent="0.25">
      <c r="B945" s="1"/>
      <c r="C945" s="1"/>
      <c r="D945" s="2"/>
      <c r="E945" s="2"/>
      <c r="H945" s="3"/>
    </row>
    <row r="946" spans="2:8" ht="15.75" customHeight="1" x14ac:dyDescent="0.25">
      <c r="B946" s="1"/>
      <c r="C946" s="1"/>
      <c r="D946" s="2"/>
      <c r="E946" s="2"/>
      <c r="H946" s="3"/>
    </row>
    <row r="947" spans="2:8" ht="15.75" customHeight="1" x14ac:dyDescent="0.25">
      <c r="B947" s="1"/>
      <c r="C947" s="1"/>
      <c r="D947" s="2"/>
      <c r="E947" s="2"/>
      <c r="H947" s="3"/>
    </row>
    <row r="948" spans="2:8" ht="15.75" customHeight="1" x14ac:dyDescent="0.25">
      <c r="B948" s="1"/>
      <c r="C948" s="1"/>
      <c r="D948" s="2"/>
      <c r="E948" s="2"/>
      <c r="H948" s="3"/>
    </row>
    <row r="949" spans="2:8" ht="15.75" customHeight="1" x14ac:dyDescent="0.25">
      <c r="B949" s="1"/>
      <c r="C949" s="1"/>
      <c r="D949" s="2"/>
      <c r="E949" s="2"/>
      <c r="H949" s="3"/>
    </row>
    <row r="950" spans="2:8" ht="15.75" customHeight="1" x14ac:dyDescent="0.25">
      <c r="B950" s="1"/>
      <c r="C950" s="1"/>
      <c r="D950" s="2"/>
      <c r="E950" s="2"/>
      <c r="H950" s="3"/>
    </row>
    <row r="951" spans="2:8" ht="15.75" customHeight="1" x14ac:dyDescent="0.25">
      <c r="B951" s="1"/>
      <c r="C951" s="1"/>
      <c r="D951" s="2"/>
      <c r="E951" s="2"/>
      <c r="H951" s="3"/>
    </row>
    <row r="952" spans="2:8" ht="15.75" customHeight="1" x14ac:dyDescent="0.25">
      <c r="B952" s="1"/>
      <c r="C952" s="1"/>
      <c r="D952" s="2"/>
      <c r="E952" s="2"/>
      <c r="H952" s="3"/>
    </row>
    <row r="953" spans="2:8" ht="15.75" customHeight="1" x14ac:dyDescent="0.25">
      <c r="B953" s="1"/>
      <c r="C953" s="1"/>
      <c r="D953" s="2"/>
      <c r="E953" s="2"/>
      <c r="H953" s="3"/>
    </row>
    <row r="954" spans="2:8" ht="15.75" customHeight="1" x14ac:dyDescent="0.25">
      <c r="B954" s="1"/>
      <c r="C954" s="1"/>
      <c r="D954" s="2"/>
      <c r="E954" s="2"/>
      <c r="H954" s="3"/>
    </row>
    <row r="955" spans="2:8" ht="15.75" customHeight="1" x14ac:dyDescent="0.25">
      <c r="B955" s="1"/>
      <c r="C955" s="1"/>
      <c r="D955" s="2"/>
      <c r="E955" s="2"/>
      <c r="H955" s="3"/>
    </row>
    <row r="956" spans="2:8" ht="15.75" customHeight="1" x14ac:dyDescent="0.25">
      <c r="B956" s="1"/>
      <c r="C956" s="1"/>
      <c r="D956" s="2"/>
      <c r="E956" s="2"/>
      <c r="H956" s="3"/>
    </row>
    <row r="957" spans="2:8" ht="15.75" customHeight="1" x14ac:dyDescent="0.25">
      <c r="B957" s="1"/>
      <c r="C957" s="1"/>
      <c r="D957" s="2"/>
      <c r="E957" s="2"/>
      <c r="H957" s="3"/>
    </row>
    <row r="958" spans="2:8" ht="15.75" customHeight="1" x14ac:dyDescent="0.25">
      <c r="B958" s="1"/>
      <c r="C958" s="1"/>
      <c r="D958" s="2"/>
      <c r="E958" s="2"/>
      <c r="H958" s="3"/>
    </row>
    <row r="959" spans="2:8" ht="15.75" customHeight="1" x14ac:dyDescent="0.25">
      <c r="B959" s="1"/>
      <c r="C959" s="1"/>
      <c r="D959" s="2"/>
      <c r="E959" s="2"/>
      <c r="H959" s="3"/>
    </row>
    <row r="960" spans="2:8" ht="15.75" customHeight="1" x14ac:dyDescent="0.25">
      <c r="B960" s="1"/>
      <c r="C960" s="1"/>
      <c r="D960" s="2"/>
      <c r="E960" s="2"/>
      <c r="H960" s="3"/>
    </row>
    <row r="961" spans="2:8" ht="15.75" customHeight="1" x14ac:dyDescent="0.25">
      <c r="B961" s="1"/>
      <c r="C961" s="1"/>
      <c r="D961" s="2"/>
      <c r="E961" s="2"/>
      <c r="H961" s="3"/>
    </row>
    <row r="962" spans="2:8" ht="15.75" customHeight="1" x14ac:dyDescent="0.25">
      <c r="B962" s="1"/>
      <c r="C962" s="1"/>
      <c r="D962" s="2"/>
      <c r="E962" s="2"/>
      <c r="H962" s="3"/>
    </row>
    <row r="963" spans="2:8" ht="15.75" customHeight="1" x14ac:dyDescent="0.25">
      <c r="B963" s="1"/>
      <c r="C963" s="1"/>
      <c r="D963" s="2"/>
      <c r="E963" s="2"/>
      <c r="H963" s="3"/>
    </row>
    <row r="964" spans="2:8" ht="15.75" customHeight="1" x14ac:dyDescent="0.25">
      <c r="B964" s="1"/>
      <c r="C964" s="1"/>
      <c r="D964" s="2"/>
      <c r="E964" s="2"/>
      <c r="H964" s="3"/>
    </row>
    <row r="965" spans="2:8" ht="15.75" customHeight="1" x14ac:dyDescent="0.25">
      <c r="B965" s="1"/>
      <c r="C965" s="1"/>
      <c r="D965" s="2"/>
      <c r="E965" s="2"/>
      <c r="H965" s="3"/>
    </row>
    <row r="966" spans="2:8" ht="15.75" customHeight="1" x14ac:dyDescent="0.25">
      <c r="B966" s="1"/>
      <c r="C966" s="1"/>
      <c r="D966" s="2"/>
      <c r="E966" s="2"/>
      <c r="H966" s="3"/>
    </row>
    <row r="967" spans="2:8" ht="15.75" customHeight="1" x14ac:dyDescent="0.25">
      <c r="B967" s="1"/>
      <c r="C967" s="1"/>
      <c r="D967" s="2"/>
      <c r="E967" s="2"/>
      <c r="H967" s="3"/>
    </row>
    <row r="968" spans="2:8" ht="15.75" customHeight="1" x14ac:dyDescent="0.25">
      <c r="B968" s="1"/>
      <c r="C968" s="1"/>
      <c r="D968" s="2"/>
      <c r="E968" s="2"/>
      <c r="H968" s="3"/>
    </row>
    <row r="969" spans="2:8" ht="15.75" customHeight="1" x14ac:dyDescent="0.25">
      <c r="B969" s="1"/>
      <c r="C969" s="1"/>
      <c r="D969" s="2"/>
      <c r="E969" s="2"/>
      <c r="H969" s="3"/>
    </row>
    <row r="970" spans="2:8" ht="15.75" customHeight="1" x14ac:dyDescent="0.25">
      <c r="B970" s="1"/>
      <c r="C970" s="1"/>
      <c r="D970" s="2"/>
      <c r="E970" s="2"/>
      <c r="H970" s="3"/>
    </row>
    <row r="971" spans="2:8" ht="15.75" customHeight="1" x14ac:dyDescent="0.25">
      <c r="B971" s="1"/>
      <c r="C971" s="1"/>
      <c r="D971" s="2"/>
      <c r="E971" s="2"/>
      <c r="H971" s="3"/>
    </row>
    <row r="972" spans="2:8" ht="15.75" customHeight="1" x14ac:dyDescent="0.25">
      <c r="B972" s="1"/>
      <c r="C972" s="1"/>
      <c r="D972" s="2"/>
      <c r="E972" s="2"/>
      <c r="H972" s="3"/>
    </row>
    <row r="973" spans="2:8" ht="15.75" customHeight="1" x14ac:dyDescent="0.25">
      <c r="B973" s="1"/>
      <c r="C973" s="1"/>
      <c r="D973" s="2"/>
      <c r="E973" s="2"/>
      <c r="H973" s="3"/>
    </row>
    <row r="974" spans="2:8" ht="15.75" customHeight="1" x14ac:dyDescent="0.25">
      <c r="B974" s="1"/>
      <c r="C974" s="1"/>
      <c r="D974" s="2"/>
      <c r="E974" s="2"/>
      <c r="H974" s="3"/>
    </row>
    <row r="975" spans="2:8" ht="15.75" customHeight="1" x14ac:dyDescent="0.25">
      <c r="B975" s="1"/>
      <c r="C975" s="1"/>
      <c r="D975" s="2"/>
      <c r="E975" s="2"/>
      <c r="H975" s="3"/>
    </row>
    <row r="976" spans="2:8" ht="15.75" customHeight="1" x14ac:dyDescent="0.25">
      <c r="B976" s="1"/>
      <c r="C976" s="1"/>
      <c r="D976" s="2"/>
      <c r="E976" s="2"/>
      <c r="H976" s="3"/>
    </row>
    <row r="977" spans="2:8" ht="15.75" customHeight="1" x14ac:dyDescent="0.25">
      <c r="B977" s="1"/>
      <c r="C977" s="1"/>
      <c r="D977" s="2"/>
      <c r="E977" s="2"/>
      <c r="H977" s="3"/>
    </row>
    <row r="978" spans="2:8" ht="15.75" customHeight="1" x14ac:dyDescent="0.25">
      <c r="B978" s="1"/>
      <c r="C978" s="1"/>
      <c r="D978" s="2"/>
      <c r="E978" s="2"/>
      <c r="H978" s="3"/>
    </row>
    <row r="979" spans="2:8" ht="15.75" customHeight="1" x14ac:dyDescent="0.25">
      <c r="B979" s="1"/>
      <c r="C979" s="1"/>
      <c r="D979" s="2"/>
      <c r="E979" s="2"/>
      <c r="H979" s="3"/>
    </row>
    <row r="980" spans="2:8" ht="15.75" customHeight="1" x14ac:dyDescent="0.25">
      <c r="B980" s="1"/>
      <c r="C980" s="1"/>
      <c r="D980" s="2"/>
      <c r="E980" s="2"/>
      <c r="H980" s="3"/>
    </row>
    <row r="981" spans="2:8" ht="15.75" customHeight="1" x14ac:dyDescent="0.25">
      <c r="B981" s="1"/>
      <c r="C981" s="1"/>
      <c r="D981" s="2"/>
      <c r="E981" s="2"/>
      <c r="H981" s="3"/>
    </row>
    <row r="982" spans="2:8" ht="15.75" customHeight="1" x14ac:dyDescent="0.25">
      <c r="B982" s="1"/>
      <c r="C982" s="1"/>
      <c r="D982" s="2"/>
      <c r="E982" s="2"/>
      <c r="H982" s="3"/>
    </row>
    <row r="983" spans="2:8" ht="15.75" customHeight="1" x14ac:dyDescent="0.25">
      <c r="B983" s="1"/>
      <c r="C983" s="1"/>
      <c r="D983" s="2"/>
      <c r="E983" s="2"/>
      <c r="H983" s="3"/>
    </row>
    <row r="984" spans="2:8" ht="15.75" customHeight="1" x14ac:dyDescent="0.25">
      <c r="B984" s="1"/>
      <c r="C984" s="1"/>
      <c r="D984" s="2"/>
      <c r="E984" s="2"/>
      <c r="H984" s="3"/>
    </row>
    <row r="985" spans="2:8" ht="15.75" customHeight="1" x14ac:dyDescent="0.25">
      <c r="B985" s="1"/>
      <c r="C985" s="1"/>
      <c r="D985" s="2"/>
      <c r="E985" s="2"/>
      <c r="H985" s="3"/>
    </row>
    <row r="986" spans="2:8" ht="15.75" customHeight="1" x14ac:dyDescent="0.25">
      <c r="B986" s="1"/>
      <c r="C986" s="1"/>
      <c r="D986" s="2"/>
      <c r="E986" s="2"/>
      <c r="H986" s="3"/>
    </row>
    <row r="987" spans="2:8" ht="15.75" customHeight="1" x14ac:dyDescent="0.25">
      <c r="B987" s="1"/>
      <c r="C987" s="1"/>
      <c r="D987" s="2"/>
      <c r="E987" s="2"/>
      <c r="H987" s="3"/>
    </row>
    <row r="988" spans="2:8" ht="15.75" customHeight="1" x14ac:dyDescent="0.25">
      <c r="B988" s="1"/>
      <c r="C988" s="1"/>
      <c r="D988" s="2"/>
      <c r="E988" s="2"/>
      <c r="H988" s="3"/>
    </row>
    <row r="989" spans="2:8" ht="15.75" customHeight="1" x14ac:dyDescent="0.25">
      <c r="B989" s="1"/>
      <c r="C989" s="1"/>
      <c r="D989" s="2"/>
      <c r="E989" s="2"/>
      <c r="H989" s="3"/>
    </row>
    <row r="990" spans="2:8" ht="15.75" customHeight="1" x14ac:dyDescent="0.25">
      <c r="B990" s="1"/>
      <c r="C990" s="1"/>
      <c r="D990" s="2"/>
      <c r="E990" s="2"/>
      <c r="H990" s="3"/>
    </row>
    <row r="991" spans="2:8" ht="15.75" customHeight="1" x14ac:dyDescent="0.25">
      <c r="B991" s="1"/>
      <c r="C991" s="1"/>
      <c r="D991" s="2"/>
      <c r="E991" s="2"/>
      <c r="H991" s="3"/>
    </row>
    <row r="992" spans="2:8" ht="15.75" customHeight="1" x14ac:dyDescent="0.25">
      <c r="B992" s="1"/>
      <c r="C992" s="1"/>
      <c r="D992" s="2"/>
      <c r="E992" s="2"/>
      <c r="H992" s="3"/>
    </row>
    <row r="993" spans="2:8" ht="15.75" customHeight="1" x14ac:dyDescent="0.25">
      <c r="B993" s="1"/>
      <c r="C993" s="1"/>
      <c r="D993" s="2"/>
      <c r="E993" s="2"/>
      <c r="H993" s="3"/>
    </row>
    <row r="994" spans="2:8" ht="15.75" customHeight="1" x14ac:dyDescent="0.25">
      <c r="B994" s="1"/>
      <c r="C994" s="1"/>
      <c r="D994" s="2"/>
      <c r="E994" s="2"/>
      <c r="H994" s="3"/>
    </row>
    <row r="995" spans="2:8" ht="15.75" customHeight="1" x14ac:dyDescent="0.25">
      <c r="B995" s="1"/>
      <c r="C995" s="1"/>
      <c r="D995" s="2"/>
      <c r="E995" s="2"/>
      <c r="H995" s="3"/>
    </row>
    <row r="996" spans="2:8" ht="15.75" customHeight="1" x14ac:dyDescent="0.25">
      <c r="B996" s="1"/>
      <c r="C996" s="1"/>
      <c r="D996" s="2"/>
      <c r="E996" s="2"/>
      <c r="H996" s="3"/>
    </row>
    <row r="997" spans="2:8" ht="15.75" customHeight="1" x14ac:dyDescent="0.25">
      <c r="B997" s="1"/>
      <c r="C997" s="1"/>
      <c r="D997" s="2"/>
      <c r="E997" s="2"/>
      <c r="H997" s="3"/>
    </row>
    <row r="998" spans="2:8" ht="15.75" customHeight="1" x14ac:dyDescent="0.25">
      <c r="B998" s="1"/>
      <c r="C998" s="1"/>
      <c r="D998" s="2"/>
      <c r="E998" s="2"/>
      <c r="H998" s="3"/>
    </row>
    <row r="999" spans="2:8" ht="15.75" customHeight="1" x14ac:dyDescent="0.25">
      <c r="B999" s="1"/>
      <c r="C999" s="1"/>
      <c r="D999" s="2"/>
      <c r="E999" s="2"/>
      <c r="H999" s="3"/>
    </row>
    <row r="1000" spans="2:8" ht="15.75" customHeight="1" x14ac:dyDescent="0.25">
      <c r="B1000" s="1"/>
      <c r="C1000" s="1"/>
      <c r="D1000" s="2"/>
      <c r="E1000" s="2"/>
      <c r="H1000" s="3"/>
    </row>
  </sheetData>
  <mergeCells count="72">
    <mergeCell ref="C95:C98"/>
    <mergeCell ref="G122:I122"/>
    <mergeCell ref="J122:L122"/>
    <mergeCell ref="C100:C102"/>
    <mergeCell ref="C104:C105"/>
    <mergeCell ref="C107:C109"/>
    <mergeCell ref="C111:C115"/>
    <mergeCell ref="A120:E120"/>
    <mergeCell ref="G121:L121"/>
    <mergeCell ref="B122:B126"/>
    <mergeCell ref="C74:C76"/>
    <mergeCell ref="C78:C82"/>
    <mergeCell ref="C84:C86"/>
    <mergeCell ref="C88:C89"/>
    <mergeCell ref="C91:C93"/>
    <mergeCell ref="C45:C46"/>
    <mergeCell ref="C48:C50"/>
    <mergeCell ref="C52:C56"/>
    <mergeCell ref="C62:C66"/>
    <mergeCell ref="C68:C72"/>
    <mergeCell ref="B31:E31"/>
    <mergeCell ref="B35:E35"/>
    <mergeCell ref="C32:C34"/>
    <mergeCell ref="C36:C39"/>
    <mergeCell ref="C41:C43"/>
    <mergeCell ref="C19:C23"/>
    <mergeCell ref="B24:E24"/>
    <mergeCell ref="C25:C27"/>
    <mergeCell ref="B28:E28"/>
    <mergeCell ref="C29:C30"/>
    <mergeCell ref="B209:B211"/>
    <mergeCell ref="G2:I2"/>
    <mergeCell ref="C3:C7"/>
    <mergeCell ref="B8:E8"/>
    <mergeCell ref="C9:C13"/>
    <mergeCell ref="B14:E14"/>
    <mergeCell ref="C15:C17"/>
    <mergeCell ref="B18:E18"/>
    <mergeCell ref="B40:E40"/>
    <mergeCell ref="B44:E44"/>
    <mergeCell ref="B47:E47"/>
    <mergeCell ref="B51:E51"/>
    <mergeCell ref="G61:I61"/>
    <mergeCell ref="G67:L67"/>
    <mergeCell ref="G68:I68"/>
    <mergeCell ref="J68:L68"/>
    <mergeCell ref="B187:B191"/>
    <mergeCell ref="B193:B194"/>
    <mergeCell ref="B196:B200"/>
    <mergeCell ref="B202:B204"/>
    <mergeCell ref="B206:B207"/>
    <mergeCell ref="B213:B216"/>
    <mergeCell ref="B218:B220"/>
    <mergeCell ref="B222:B223"/>
    <mergeCell ref="B225:B226"/>
    <mergeCell ref="B228:B232"/>
    <mergeCell ref="G180:L180"/>
    <mergeCell ref="G181:I181"/>
    <mergeCell ref="J181:L181"/>
    <mergeCell ref="B128:B132"/>
    <mergeCell ref="B134:B135"/>
    <mergeCell ref="B137:B141"/>
    <mergeCell ref="B143:B145"/>
    <mergeCell ref="B147:B148"/>
    <mergeCell ref="B150:B152"/>
    <mergeCell ref="B154:B157"/>
    <mergeCell ref="B181:B185"/>
    <mergeCell ref="B159:B161"/>
    <mergeCell ref="B163:B164"/>
    <mergeCell ref="B166:B167"/>
    <mergeCell ref="B169:B173"/>
    <mergeCell ref="A179:E179"/>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2.625" defaultRowHeight="15" customHeight="1" x14ac:dyDescent="0.2"/>
  <cols>
    <col min="1" max="1" width="10" customWidth="1"/>
    <col min="2" max="2" width="8.25" customWidth="1"/>
    <col min="3" max="3" width="10" customWidth="1"/>
    <col min="4" max="4" width="14.25" customWidth="1"/>
    <col min="5" max="5" width="13.25" customWidth="1"/>
    <col min="6" max="6" width="16" customWidth="1"/>
    <col min="7" max="26" width="10" customWidth="1"/>
  </cols>
  <sheetData>
    <row r="1" spans="2:10" x14ac:dyDescent="0.25">
      <c r="B1" s="1"/>
      <c r="C1" s="1"/>
      <c r="D1" s="2"/>
      <c r="E1" s="2"/>
      <c r="F1" s="6"/>
      <c r="I1" s="3"/>
    </row>
    <row r="2" spans="2:10" ht="14.25" x14ac:dyDescent="0.2">
      <c r="B2" s="4" t="s">
        <v>0</v>
      </c>
      <c r="C2" s="5" t="s">
        <v>1</v>
      </c>
      <c r="D2" s="5" t="s">
        <v>2</v>
      </c>
      <c r="E2" s="5" t="s">
        <v>3</v>
      </c>
      <c r="F2" s="7" t="s">
        <v>4</v>
      </c>
      <c r="H2" s="296" t="s">
        <v>6</v>
      </c>
      <c r="I2" s="297"/>
      <c r="J2" s="298"/>
    </row>
    <row r="3" spans="2:10" ht="14.25" x14ac:dyDescent="0.2">
      <c r="B3" s="9" t="s">
        <v>7</v>
      </c>
      <c r="C3" s="302" t="s">
        <v>9</v>
      </c>
      <c r="D3" s="11">
        <v>28.1</v>
      </c>
      <c r="E3" s="11">
        <v>40</v>
      </c>
      <c r="F3" s="16">
        <f t="shared" ref="F3:F7" si="0">((D3-E3)/D3)</f>
        <v>-0.42348754448398568</v>
      </c>
      <c r="H3" s="13" t="s">
        <v>13</v>
      </c>
      <c r="I3" s="14">
        <f>I5+I5*0.05</f>
        <v>661.5</v>
      </c>
      <c r="J3" s="17" t="s">
        <v>15</v>
      </c>
    </row>
    <row r="4" spans="2:10" ht="14.25" x14ac:dyDescent="0.2">
      <c r="B4" s="9" t="s">
        <v>17</v>
      </c>
      <c r="C4" s="300"/>
      <c r="D4" s="11">
        <v>63.911000000000001</v>
      </c>
      <c r="E4" s="11">
        <v>57</v>
      </c>
      <c r="F4" s="16">
        <f t="shared" si="0"/>
        <v>0.10813474988656102</v>
      </c>
      <c r="H4" s="13" t="s">
        <v>19</v>
      </c>
      <c r="I4" s="18">
        <f>I5-I5*0.05</f>
        <v>598.5</v>
      </c>
      <c r="J4" s="17" t="s">
        <v>24</v>
      </c>
    </row>
    <row r="5" spans="2:10" ht="14.25" x14ac:dyDescent="0.2">
      <c r="B5" s="9" t="s">
        <v>26</v>
      </c>
      <c r="C5" s="300"/>
      <c r="D5" s="11">
        <v>69.921999999999997</v>
      </c>
      <c r="E5" s="11">
        <v>60</v>
      </c>
      <c r="F5" s="16">
        <f t="shared" si="0"/>
        <v>0.14190097537255797</v>
      </c>
      <c r="H5" s="13" t="s">
        <v>27</v>
      </c>
      <c r="I5" s="20">
        <v>630</v>
      </c>
      <c r="J5" s="17" t="s">
        <v>34</v>
      </c>
    </row>
    <row r="6" spans="2:10" x14ac:dyDescent="0.25">
      <c r="B6" s="9" t="s">
        <v>32</v>
      </c>
      <c r="C6" s="300"/>
      <c r="D6" s="11">
        <v>96.744</v>
      </c>
      <c r="E6" s="11">
        <v>107</v>
      </c>
      <c r="F6" s="16">
        <f t="shared" si="0"/>
        <v>-0.10601174233027372</v>
      </c>
      <c r="I6" s="3"/>
    </row>
    <row r="7" spans="2:10" x14ac:dyDescent="0.25">
      <c r="B7" s="9" t="s">
        <v>33</v>
      </c>
      <c r="C7" s="301"/>
      <c r="D7" s="11">
        <v>128.11000000000001</v>
      </c>
      <c r="E7" s="11">
        <v>141</v>
      </c>
      <c r="F7" s="16">
        <f t="shared" si="0"/>
        <v>-0.10061665755990934</v>
      </c>
      <c r="I7" s="3"/>
    </row>
    <row r="8" spans="2:10" x14ac:dyDescent="0.25">
      <c r="B8" s="296"/>
      <c r="C8" s="297"/>
      <c r="D8" s="297"/>
      <c r="E8" s="297"/>
      <c r="F8" s="298"/>
      <c r="I8" s="3"/>
    </row>
    <row r="9" spans="2:10" x14ac:dyDescent="0.25">
      <c r="B9" s="9" t="s">
        <v>35</v>
      </c>
      <c r="C9" s="302" t="s">
        <v>36</v>
      </c>
      <c r="D9" s="11">
        <v>207.78</v>
      </c>
      <c r="E9" s="11">
        <v>204</v>
      </c>
      <c r="F9" s="16">
        <f t="shared" ref="F9:F13" si="1">((D9-E9)/D9)</f>
        <v>1.8192318798729432E-2</v>
      </c>
      <c r="I9" s="3"/>
    </row>
    <row r="10" spans="2:10" x14ac:dyDescent="0.25">
      <c r="B10" s="9" t="s">
        <v>37</v>
      </c>
      <c r="C10" s="300"/>
      <c r="D10" s="11">
        <v>444.11</v>
      </c>
      <c r="E10" s="11">
        <v>438</v>
      </c>
      <c r="F10" s="16">
        <f t="shared" si="1"/>
        <v>1.3757852784220157E-2</v>
      </c>
      <c r="I10" s="3"/>
    </row>
    <row r="11" spans="2:10" x14ac:dyDescent="0.25">
      <c r="B11" s="9" t="s">
        <v>38</v>
      </c>
      <c r="C11" s="300"/>
      <c r="D11" s="11">
        <v>579.55999999999995</v>
      </c>
      <c r="E11" s="11">
        <v>512</v>
      </c>
      <c r="F11" s="16">
        <f t="shared" si="1"/>
        <v>0.11657119193871204</v>
      </c>
      <c r="I11" s="3"/>
    </row>
    <row r="12" spans="2:10" x14ac:dyDescent="0.25">
      <c r="B12" s="9" t="s">
        <v>39</v>
      </c>
      <c r="C12" s="300"/>
      <c r="D12" s="11">
        <v>746.22</v>
      </c>
      <c r="E12" s="11">
        <v>656</v>
      </c>
      <c r="F12" s="16">
        <f t="shared" si="1"/>
        <v>0.12090268285492217</v>
      </c>
      <c r="I12" s="3"/>
    </row>
    <row r="13" spans="2:10" x14ac:dyDescent="0.25">
      <c r="B13" s="9" t="s">
        <v>41</v>
      </c>
      <c r="C13" s="301"/>
      <c r="D13" s="11">
        <v>869.5</v>
      </c>
      <c r="E13" s="11">
        <v>700</v>
      </c>
      <c r="F13" s="16">
        <f t="shared" si="1"/>
        <v>0.19493962047153537</v>
      </c>
      <c r="I13" s="3"/>
    </row>
    <row r="14" spans="2:10" x14ac:dyDescent="0.25">
      <c r="B14" s="305"/>
      <c r="C14" s="297"/>
      <c r="D14" s="297"/>
      <c r="E14" s="297"/>
      <c r="F14" s="298"/>
      <c r="I14" s="3"/>
    </row>
    <row r="15" spans="2:10" x14ac:dyDescent="0.25">
      <c r="B15" s="9" t="s">
        <v>46</v>
      </c>
      <c r="C15" s="302" t="s">
        <v>47</v>
      </c>
      <c r="D15" s="11">
        <v>88.4</v>
      </c>
      <c r="E15" s="11">
        <v>93</v>
      </c>
      <c r="F15" s="16">
        <f t="shared" ref="F15:F17" si="2">((D15-E15)/D15)</f>
        <v>-5.2036199095022558E-2</v>
      </c>
      <c r="I15" s="3"/>
    </row>
    <row r="16" spans="2:10" x14ac:dyDescent="0.25">
      <c r="B16" s="9" t="s">
        <v>48</v>
      </c>
      <c r="C16" s="300"/>
      <c r="D16" s="11">
        <v>94.6</v>
      </c>
      <c r="E16" s="11">
        <v>97</v>
      </c>
      <c r="F16" s="16">
        <f t="shared" si="2"/>
        <v>-2.5369978858351013E-2</v>
      </c>
      <c r="I16" s="3"/>
    </row>
    <row r="17" spans="2:9" x14ac:dyDescent="0.25">
      <c r="B17" s="9" t="s">
        <v>49</v>
      </c>
      <c r="C17" s="301"/>
      <c r="D17" s="11">
        <v>123.11669999999999</v>
      </c>
      <c r="E17" s="11">
        <v>121</v>
      </c>
      <c r="F17" s="16">
        <f t="shared" si="2"/>
        <v>1.7192631056550368E-2</v>
      </c>
      <c r="I17" s="3"/>
    </row>
    <row r="18" spans="2:9" x14ac:dyDescent="0.25">
      <c r="B18" s="296"/>
      <c r="C18" s="297"/>
      <c r="D18" s="297"/>
      <c r="E18" s="297"/>
      <c r="F18" s="298"/>
      <c r="I18" s="3"/>
    </row>
    <row r="19" spans="2:9" x14ac:dyDescent="0.25">
      <c r="B19" s="9" t="s">
        <v>50</v>
      </c>
      <c r="C19" s="302" t="s">
        <v>51</v>
      </c>
      <c r="D19" s="11">
        <v>271.44400000000002</v>
      </c>
      <c r="E19" s="11">
        <v>300</v>
      </c>
      <c r="F19" s="16">
        <f t="shared" ref="F19:F23" si="3">((D19-E19)/D19)</f>
        <v>-0.10520033598090207</v>
      </c>
      <c r="I19" s="3"/>
    </row>
    <row r="20" spans="2:9" x14ac:dyDescent="0.25">
      <c r="B20" s="9" t="s">
        <v>54</v>
      </c>
      <c r="C20" s="300"/>
      <c r="D20" s="11">
        <v>550.22199999999998</v>
      </c>
      <c r="E20" s="11">
        <v>300</v>
      </c>
      <c r="F20" s="16">
        <f t="shared" si="3"/>
        <v>0.45476553100384931</v>
      </c>
      <c r="I20" s="3"/>
    </row>
    <row r="21" spans="2:9" ht="15.75" customHeight="1" x14ac:dyDescent="0.25">
      <c r="B21" s="9" t="s">
        <v>55</v>
      </c>
      <c r="C21" s="300"/>
      <c r="D21" s="11">
        <v>609</v>
      </c>
      <c r="E21" s="11">
        <v>675</v>
      </c>
      <c r="F21" s="16">
        <f t="shared" si="3"/>
        <v>-0.10837438423645321</v>
      </c>
      <c r="I21" s="3"/>
    </row>
    <row r="22" spans="2:9" ht="15.75" customHeight="1" x14ac:dyDescent="0.25">
      <c r="B22" s="9" t="s">
        <v>56</v>
      </c>
      <c r="C22" s="300"/>
      <c r="D22" s="11">
        <v>739.11099999999999</v>
      </c>
      <c r="E22" s="11">
        <v>718</v>
      </c>
      <c r="F22" s="16">
        <f t="shared" si="3"/>
        <v>2.856269220725979E-2</v>
      </c>
      <c r="I22" s="3"/>
    </row>
    <row r="23" spans="2:9" ht="15.75" customHeight="1" x14ac:dyDescent="0.25">
      <c r="B23" s="9" t="s">
        <v>57</v>
      </c>
      <c r="C23" s="301"/>
      <c r="D23" s="11">
        <v>746.88900000000001</v>
      </c>
      <c r="E23" s="11">
        <v>620</v>
      </c>
      <c r="F23" s="16">
        <f t="shared" si="3"/>
        <v>0.16989003720767076</v>
      </c>
      <c r="I23" s="3"/>
    </row>
    <row r="24" spans="2:9" ht="15.75" customHeight="1" x14ac:dyDescent="0.25">
      <c r="B24" s="305"/>
      <c r="C24" s="297"/>
      <c r="D24" s="297"/>
      <c r="E24" s="297"/>
      <c r="F24" s="298"/>
      <c r="I24" s="3"/>
    </row>
    <row r="25" spans="2:9" ht="15.75" customHeight="1" x14ac:dyDescent="0.25">
      <c r="B25" s="9" t="s">
        <v>60</v>
      </c>
      <c r="C25" s="302" t="s">
        <v>62</v>
      </c>
      <c r="D25" s="11">
        <v>19.36</v>
      </c>
      <c r="E25" s="11">
        <v>22</v>
      </c>
      <c r="F25" s="16">
        <f t="shared" ref="F25:F27" si="4">((D25-E25)/D25)</f>
        <v>-0.13636363636363641</v>
      </c>
      <c r="I25" s="3"/>
    </row>
    <row r="26" spans="2:9" ht="15.75" customHeight="1" x14ac:dyDescent="0.25">
      <c r="B26" s="9" t="s">
        <v>64</v>
      </c>
      <c r="C26" s="300"/>
      <c r="D26" s="11">
        <v>33.31</v>
      </c>
      <c r="E26" s="11">
        <v>39</v>
      </c>
      <c r="F26" s="16">
        <f t="shared" si="4"/>
        <v>-0.17081957370159104</v>
      </c>
      <c r="I26" s="3"/>
    </row>
    <row r="27" spans="2:9" ht="15.75" customHeight="1" x14ac:dyDescent="0.25">
      <c r="B27" s="9" t="s">
        <v>65</v>
      </c>
      <c r="C27" s="301"/>
      <c r="D27" s="11">
        <v>41.74</v>
      </c>
      <c r="E27" s="11">
        <v>35</v>
      </c>
      <c r="F27" s="16">
        <f t="shared" si="4"/>
        <v>0.16147580258744612</v>
      </c>
      <c r="I27" s="3"/>
    </row>
    <row r="28" spans="2:9" ht="15.75" customHeight="1" x14ac:dyDescent="0.25">
      <c r="B28" s="296"/>
      <c r="C28" s="297"/>
      <c r="D28" s="297"/>
      <c r="E28" s="297"/>
      <c r="F28" s="298"/>
      <c r="I28" s="3"/>
    </row>
    <row r="29" spans="2:9" ht="15.75" customHeight="1" x14ac:dyDescent="0.25">
      <c r="B29" s="9" t="s">
        <v>66</v>
      </c>
      <c r="C29" s="302" t="s">
        <v>68</v>
      </c>
      <c r="D29" s="11">
        <v>204.5</v>
      </c>
      <c r="E29" s="11">
        <v>225</v>
      </c>
      <c r="F29" s="16">
        <f t="shared" ref="F29:F30" si="5">((D29-E29)/D29)</f>
        <v>-0.10024449877750612</v>
      </c>
      <c r="I29" s="3"/>
    </row>
    <row r="30" spans="2:9" ht="15.75" customHeight="1" x14ac:dyDescent="0.25">
      <c r="B30" s="9" t="s">
        <v>69</v>
      </c>
      <c r="C30" s="301"/>
      <c r="D30" s="11">
        <v>277.7</v>
      </c>
      <c r="E30" s="11">
        <v>278</v>
      </c>
      <c r="F30" s="16">
        <f t="shared" si="5"/>
        <v>-1.0803024846957558E-3</v>
      </c>
      <c r="I30" s="3"/>
    </row>
    <row r="31" spans="2:9" ht="15.75" customHeight="1" x14ac:dyDescent="0.25">
      <c r="B31" s="305"/>
      <c r="C31" s="297"/>
      <c r="D31" s="297"/>
      <c r="E31" s="297"/>
      <c r="F31" s="298"/>
      <c r="I31" s="3"/>
    </row>
    <row r="32" spans="2:9" ht="15.75" customHeight="1" x14ac:dyDescent="0.25">
      <c r="B32" s="9" t="s">
        <v>69</v>
      </c>
      <c r="C32" s="302" t="s">
        <v>71</v>
      </c>
      <c r="D32" s="11">
        <v>10.283300000000001</v>
      </c>
      <c r="E32" s="11">
        <v>16</v>
      </c>
      <c r="F32" s="16">
        <f t="shared" ref="F32:F34" si="6">((D32-E32)/D32)</f>
        <v>-0.55592076473505581</v>
      </c>
      <c r="I32" s="3"/>
    </row>
    <row r="33" spans="2:9" ht="15.75" customHeight="1" x14ac:dyDescent="0.25">
      <c r="B33" s="9" t="s">
        <v>72</v>
      </c>
      <c r="C33" s="300"/>
      <c r="D33" s="11">
        <v>11.8833</v>
      </c>
      <c r="E33" s="11">
        <v>16</v>
      </c>
      <c r="F33" s="16">
        <f t="shared" si="6"/>
        <v>-0.3464273392071226</v>
      </c>
      <c r="I33" s="3"/>
    </row>
    <row r="34" spans="2:9" ht="15.75" customHeight="1" x14ac:dyDescent="0.25">
      <c r="B34" s="9" t="s">
        <v>73</v>
      </c>
      <c r="C34" s="301"/>
      <c r="D34" s="11">
        <v>17.433299999999999</v>
      </c>
      <c r="E34" s="11">
        <v>21</v>
      </c>
      <c r="F34" s="16">
        <f t="shared" si="6"/>
        <v>-0.20459121336752084</v>
      </c>
      <c r="I34" s="3"/>
    </row>
    <row r="35" spans="2:9" ht="15.75" customHeight="1" x14ac:dyDescent="0.25">
      <c r="B35" s="296"/>
      <c r="C35" s="297"/>
      <c r="D35" s="297"/>
      <c r="E35" s="297"/>
      <c r="F35" s="298"/>
      <c r="I35" s="3"/>
    </row>
    <row r="36" spans="2:9" ht="15.75" customHeight="1" x14ac:dyDescent="0.25">
      <c r="B36" s="9" t="s">
        <v>76</v>
      </c>
      <c r="C36" s="302" t="s">
        <v>77</v>
      </c>
      <c r="D36" s="11">
        <v>117.467</v>
      </c>
      <c r="E36" s="11">
        <v>180</v>
      </c>
      <c r="F36" s="16">
        <f t="shared" ref="F36:F39" si="7">((D36-E36)/D36)</f>
        <v>-0.53234525441187741</v>
      </c>
      <c r="I36" s="3"/>
    </row>
    <row r="37" spans="2:9" ht="15.75" customHeight="1" x14ac:dyDescent="0.25">
      <c r="B37" s="9" t="s">
        <v>78</v>
      </c>
      <c r="C37" s="300"/>
      <c r="D37" s="11">
        <v>187.833</v>
      </c>
      <c r="E37" s="11">
        <v>138</v>
      </c>
      <c r="F37" s="16">
        <f t="shared" si="7"/>
        <v>0.26530481864209166</v>
      </c>
      <c r="I37" s="3"/>
    </row>
    <row r="38" spans="2:9" ht="15.75" customHeight="1" x14ac:dyDescent="0.25">
      <c r="B38" s="9" t="s">
        <v>79</v>
      </c>
      <c r="C38" s="300"/>
      <c r="D38" s="11">
        <v>218.333</v>
      </c>
      <c r="E38" s="11">
        <v>232</v>
      </c>
      <c r="F38" s="16">
        <f t="shared" si="7"/>
        <v>-6.2597042132888761E-2</v>
      </c>
      <c r="I38" s="3"/>
    </row>
    <row r="39" spans="2:9" ht="15.75" customHeight="1" x14ac:dyDescent="0.25">
      <c r="B39" s="9" t="s">
        <v>80</v>
      </c>
      <c r="C39" s="301"/>
      <c r="D39" s="11">
        <v>238.5</v>
      </c>
      <c r="E39" s="11">
        <v>103</v>
      </c>
      <c r="F39" s="16">
        <f t="shared" si="7"/>
        <v>0.56813417190775684</v>
      </c>
      <c r="I39" s="3"/>
    </row>
    <row r="40" spans="2:9" ht="15.75" customHeight="1" x14ac:dyDescent="0.25">
      <c r="B40" s="305"/>
      <c r="C40" s="297"/>
      <c r="D40" s="297"/>
      <c r="E40" s="297"/>
      <c r="F40" s="298"/>
      <c r="I40" s="3"/>
    </row>
    <row r="41" spans="2:9" ht="15.75" customHeight="1" x14ac:dyDescent="0.25">
      <c r="B41" s="9" t="s">
        <v>81</v>
      </c>
      <c r="C41" s="302" t="s">
        <v>82</v>
      </c>
      <c r="D41" s="11">
        <v>2</v>
      </c>
      <c r="E41" s="11">
        <v>4</v>
      </c>
      <c r="F41" s="16">
        <f t="shared" ref="F41:F43" si="8">((D41-E41)/D41)</f>
        <v>-1</v>
      </c>
      <c r="I41" s="3"/>
    </row>
    <row r="42" spans="2:9" ht="15.75" customHeight="1" x14ac:dyDescent="0.25">
      <c r="B42" s="9" t="s">
        <v>83</v>
      </c>
      <c r="C42" s="300"/>
      <c r="D42" s="11">
        <v>7.133</v>
      </c>
      <c r="E42" s="11">
        <v>11</v>
      </c>
      <c r="F42" s="16">
        <f t="shared" si="8"/>
        <v>-0.54212813682882377</v>
      </c>
      <c r="I42" s="3"/>
    </row>
    <row r="43" spans="2:9" ht="15.75" customHeight="1" x14ac:dyDescent="0.25">
      <c r="B43" s="9" t="s">
        <v>84</v>
      </c>
      <c r="C43" s="301"/>
      <c r="D43" s="11">
        <v>10.72</v>
      </c>
      <c r="E43" s="11">
        <v>8</v>
      </c>
      <c r="F43" s="16">
        <f t="shared" si="8"/>
        <v>0.25373134328358216</v>
      </c>
      <c r="I43" s="3"/>
    </row>
    <row r="44" spans="2:9" ht="15.75" customHeight="1" x14ac:dyDescent="0.25">
      <c r="B44" s="296"/>
      <c r="C44" s="297"/>
      <c r="D44" s="297"/>
      <c r="E44" s="297"/>
      <c r="F44" s="298"/>
      <c r="I44" s="3"/>
    </row>
    <row r="45" spans="2:9" ht="15.75" customHeight="1" x14ac:dyDescent="0.25">
      <c r="B45" s="9" t="s">
        <v>86</v>
      </c>
      <c r="C45" s="302" t="s">
        <v>87</v>
      </c>
      <c r="D45" s="11">
        <v>20.466999999999999</v>
      </c>
      <c r="E45" s="11">
        <v>22</v>
      </c>
      <c r="F45" s="16">
        <f t="shared" ref="F45:F46" si="9">((D45-E45)/D45)</f>
        <v>-7.4901060243318579E-2</v>
      </c>
      <c r="I45" s="3"/>
    </row>
    <row r="46" spans="2:9" ht="15.75" customHeight="1" x14ac:dyDescent="0.25">
      <c r="B46" s="9" t="s">
        <v>88</v>
      </c>
      <c r="C46" s="301"/>
      <c r="D46" s="11">
        <v>20.367000000000001</v>
      </c>
      <c r="E46" s="11">
        <v>22</v>
      </c>
      <c r="F46" s="16">
        <f t="shared" si="9"/>
        <v>-8.0178720479206517E-2</v>
      </c>
      <c r="I46" s="3"/>
    </row>
    <row r="47" spans="2:9" ht="15.75" customHeight="1" x14ac:dyDescent="0.25">
      <c r="B47" s="305"/>
      <c r="C47" s="297"/>
      <c r="D47" s="297"/>
      <c r="E47" s="297"/>
      <c r="F47" s="298"/>
      <c r="I47" s="3"/>
    </row>
    <row r="48" spans="2:9" ht="15.75" customHeight="1" x14ac:dyDescent="0.25">
      <c r="B48" s="9" t="s">
        <v>89</v>
      </c>
      <c r="C48" s="302" t="s">
        <v>90</v>
      </c>
      <c r="D48" s="11">
        <v>5.15</v>
      </c>
      <c r="E48" s="11">
        <v>17</v>
      </c>
      <c r="F48" s="16">
        <f t="shared" ref="F48:F50" si="10">((D48-E48)/D48)</f>
        <v>-2.3009708737864076</v>
      </c>
      <c r="I48" s="3"/>
    </row>
    <row r="49" spans="1:12" ht="15.75" customHeight="1" x14ac:dyDescent="0.25">
      <c r="B49" s="9" t="s">
        <v>91</v>
      </c>
      <c r="C49" s="300"/>
      <c r="D49" s="11">
        <v>16.2</v>
      </c>
      <c r="E49" s="11">
        <v>17</v>
      </c>
      <c r="F49" s="16">
        <f t="shared" si="10"/>
        <v>-4.9382716049382762E-2</v>
      </c>
      <c r="I49" s="3"/>
    </row>
    <row r="50" spans="1:12" ht="15.75" customHeight="1" x14ac:dyDescent="0.25">
      <c r="B50" s="9" t="s">
        <v>92</v>
      </c>
      <c r="C50" s="301"/>
      <c r="D50" s="11">
        <v>17.260000000000002</v>
      </c>
      <c r="E50" s="11">
        <v>15</v>
      </c>
      <c r="F50" s="16">
        <f t="shared" si="10"/>
        <v>0.13093858632676716</v>
      </c>
      <c r="I50" s="3"/>
    </row>
    <row r="51" spans="1:12" ht="15.75" customHeight="1" x14ac:dyDescent="0.25">
      <c r="B51" s="296"/>
      <c r="C51" s="297"/>
      <c r="D51" s="297"/>
      <c r="E51" s="297"/>
      <c r="F51" s="298"/>
      <c r="I51" s="3"/>
    </row>
    <row r="52" spans="1:12" ht="15.75" customHeight="1" x14ac:dyDescent="0.25">
      <c r="B52" s="9" t="s">
        <v>94</v>
      </c>
      <c r="C52" s="302" t="s">
        <v>95</v>
      </c>
      <c r="D52" s="11">
        <v>50.082999999999998</v>
      </c>
      <c r="E52" s="11">
        <v>56</v>
      </c>
      <c r="F52" s="16">
        <f t="shared" ref="F52:F56" si="11">((D52-E52)/D52)</f>
        <v>-0.11814388115727895</v>
      </c>
      <c r="I52" s="3"/>
    </row>
    <row r="53" spans="1:12" ht="15.75" customHeight="1" x14ac:dyDescent="0.25">
      <c r="B53" s="9" t="s">
        <v>96</v>
      </c>
      <c r="C53" s="300"/>
      <c r="D53" s="11">
        <v>93.992999999999995</v>
      </c>
      <c r="E53" s="11">
        <v>116</v>
      </c>
      <c r="F53" s="16">
        <f t="shared" si="11"/>
        <v>-0.23413445682125272</v>
      </c>
      <c r="I53" s="3"/>
    </row>
    <row r="54" spans="1:12" ht="15.75" customHeight="1" x14ac:dyDescent="0.25">
      <c r="B54" s="9" t="s">
        <v>97</v>
      </c>
      <c r="C54" s="300"/>
      <c r="D54" s="11">
        <v>95.516999999999996</v>
      </c>
      <c r="E54" s="11">
        <v>56</v>
      </c>
      <c r="F54" s="16">
        <f t="shared" si="11"/>
        <v>0.41371692997058113</v>
      </c>
      <c r="I54" s="3"/>
    </row>
    <row r="55" spans="1:12" ht="15.75" customHeight="1" x14ac:dyDescent="0.25">
      <c r="B55" s="9" t="s">
        <v>98</v>
      </c>
      <c r="C55" s="300"/>
      <c r="D55" s="11">
        <v>100.92</v>
      </c>
      <c r="E55" s="11">
        <v>117</v>
      </c>
      <c r="F55" s="16">
        <f t="shared" si="11"/>
        <v>-0.15933412604042804</v>
      </c>
      <c r="I55" s="3"/>
    </row>
    <row r="56" spans="1:12" ht="15.75" customHeight="1" x14ac:dyDescent="0.25">
      <c r="B56" s="9" t="s">
        <v>99</v>
      </c>
      <c r="C56" s="301"/>
      <c r="D56" s="11">
        <v>115.37</v>
      </c>
      <c r="E56" s="11">
        <v>116</v>
      </c>
      <c r="F56" s="16">
        <f t="shared" si="11"/>
        <v>-5.4606916876137248E-3</v>
      </c>
      <c r="I56" s="3"/>
    </row>
    <row r="57" spans="1:12" ht="15.75" customHeight="1" x14ac:dyDescent="0.25">
      <c r="B57" s="1"/>
      <c r="C57" s="1"/>
      <c r="D57" s="2"/>
      <c r="E57" s="2"/>
      <c r="F57" s="6"/>
      <c r="I57" s="3"/>
    </row>
    <row r="58" spans="1:12" ht="15.75" customHeight="1" x14ac:dyDescent="0.25">
      <c r="B58" s="1"/>
      <c r="C58" s="1"/>
      <c r="D58" s="2"/>
      <c r="E58" s="2"/>
      <c r="F58" s="6"/>
      <c r="I58" s="3"/>
    </row>
    <row r="59" spans="1:12" ht="15.75" customHeight="1" x14ac:dyDescent="0.25">
      <c r="B59" s="1"/>
      <c r="C59" s="1"/>
      <c r="D59" s="2"/>
      <c r="E59" s="2"/>
      <c r="F59" s="6"/>
      <c r="I59" s="3"/>
    </row>
    <row r="60" spans="1:12" ht="15.75" customHeight="1" x14ac:dyDescent="0.25">
      <c r="A60" s="23" t="s">
        <v>115</v>
      </c>
      <c r="B60" s="43" t="s">
        <v>117</v>
      </c>
    </row>
    <row r="61" spans="1:12" ht="15.75" customHeight="1" x14ac:dyDescent="0.25">
      <c r="A61" s="304" t="s">
        <v>119</v>
      </c>
      <c r="B61" s="297"/>
      <c r="C61" s="297"/>
      <c r="D61" s="297"/>
      <c r="E61" s="298"/>
      <c r="H61" s="3"/>
    </row>
    <row r="62" spans="1:12" ht="15.75" customHeight="1" x14ac:dyDescent="0.2">
      <c r="A62" s="4" t="s">
        <v>0</v>
      </c>
      <c r="B62" s="5" t="s">
        <v>1</v>
      </c>
      <c r="C62" s="5" t="s">
        <v>2</v>
      </c>
      <c r="D62" s="5" t="s">
        <v>43</v>
      </c>
      <c r="E62" s="45" t="s">
        <v>125</v>
      </c>
      <c r="G62" s="296" t="s">
        <v>6</v>
      </c>
      <c r="H62" s="297"/>
      <c r="I62" s="297"/>
      <c r="J62" s="297"/>
      <c r="K62" s="297"/>
      <c r="L62" s="298"/>
    </row>
    <row r="63" spans="1:12" ht="15.75" customHeight="1" x14ac:dyDescent="0.2">
      <c r="A63" s="9" t="s">
        <v>7</v>
      </c>
      <c r="B63" s="302" t="s">
        <v>9</v>
      </c>
      <c r="C63" s="47">
        <v>28.1</v>
      </c>
      <c r="D63" s="11">
        <v>4</v>
      </c>
      <c r="E63" s="47">
        <v>28</v>
      </c>
      <c r="G63" s="296" t="s">
        <v>106</v>
      </c>
      <c r="H63" s="297"/>
      <c r="I63" s="298"/>
      <c r="J63" s="296" t="s">
        <v>107</v>
      </c>
      <c r="K63" s="297"/>
      <c r="L63" s="298"/>
    </row>
    <row r="64" spans="1:12" ht="15.75" customHeight="1" x14ac:dyDescent="0.2">
      <c r="A64" s="9" t="s">
        <v>17</v>
      </c>
      <c r="B64" s="300"/>
      <c r="C64" s="47">
        <v>63.911000000000001</v>
      </c>
      <c r="D64" s="11">
        <v>42</v>
      </c>
      <c r="E64" s="47">
        <v>67</v>
      </c>
      <c r="G64" s="13" t="s">
        <v>13</v>
      </c>
      <c r="H64" s="14">
        <v>803</v>
      </c>
      <c r="I64" s="17" t="s">
        <v>129</v>
      </c>
      <c r="J64" s="13" t="s">
        <v>13</v>
      </c>
      <c r="K64" s="39">
        <f>+K66+K66*0.1</f>
        <v>801.9</v>
      </c>
      <c r="L64" s="17" t="s">
        <v>130</v>
      </c>
    </row>
    <row r="65" spans="1:12" ht="15.75" customHeight="1" x14ac:dyDescent="0.2">
      <c r="A65" s="9" t="s">
        <v>26</v>
      </c>
      <c r="B65" s="300"/>
      <c r="C65" s="47">
        <v>69.921999999999997</v>
      </c>
      <c r="D65" s="11">
        <v>39</v>
      </c>
      <c r="E65" s="47">
        <v>70</v>
      </c>
      <c r="G65" s="13" t="s">
        <v>19</v>
      </c>
      <c r="H65" s="18">
        <v>657</v>
      </c>
      <c r="I65" s="17" t="s">
        <v>132</v>
      </c>
      <c r="J65" s="13" t="s">
        <v>19</v>
      </c>
      <c r="K65" s="40">
        <f>+K66-K66*0.1</f>
        <v>656.1</v>
      </c>
      <c r="L65" s="17" t="s">
        <v>134</v>
      </c>
    </row>
    <row r="66" spans="1:12" ht="15.75" customHeight="1" x14ac:dyDescent="0.2">
      <c r="A66" s="9" t="s">
        <v>32</v>
      </c>
      <c r="B66" s="300"/>
      <c r="C66" s="47">
        <v>96.744</v>
      </c>
      <c r="D66" s="11">
        <v>92</v>
      </c>
      <c r="E66" s="47">
        <v>98</v>
      </c>
      <c r="G66" s="13" t="s">
        <v>27</v>
      </c>
      <c r="H66" s="20">
        <v>730</v>
      </c>
      <c r="I66" s="17" t="s">
        <v>135</v>
      </c>
      <c r="J66" s="13" t="s">
        <v>27</v>
      </c>
      <c r="K66" s="20">
        <v>729</v>
      </c>
      <c r="L66" s="17" t="s">
        <v>136</v>
      </c>
    </row>
    <row r="67" spans="1:12" ht="15.75" customHeight="1" x14ac:dyDescent="0.2">
      <c r="A67" s="9" t="s">
        <v>33</v>
      </c>
      <c r="B67" s="301"/>
      <c r="C67" s="47">
        <v>128.11000000000001</v>
      </c>
      <c r="D67" s="11">
        <v>120</v>
      </c>
      <c r="E67" s="47">
        <v>128</v>
      </c>
      <c r="G67" s="13" t="s">
        <v>121</v>
      </c>
      <c r="H67" s="20">
        <v>675</v>
      </c>
      <c r="I67" s="17" t="s">
        <v>138</v>
      </c>
      <c r="J67" s="13" t="s">
        <v>121</v>
      </c>
      <c r="K67" s="20">
        <v>743</v>
      </c>
      <c r="L67" s="17" t="s">
        <v>140</v>
      </c>
    </row>
    <row r="68" spans="1:12" ht="15.75" customHeight="1" x14ac:dyDescent="0.25">
      <c r="A68" s="296"/>
      <c r="B68" s="297"/>
      <c r="C68" s="297"/>
      <c r="D68" s="297"/>
      <c r="E68" s="11"/>
      <c r="H68" s="3"/>
    </row>
    <row r="69" spans="1:12" ht="15.75" customHeight="1" x14ac:dyDescent="0.25">
      <c r="A69" s="9" t="s">
        <v>35</v>
      </c>
      <c r="B69" s="302" t="s">
        <v>36</v>
      </c>
      <c r="C69" s="47">
        <v>207.78</v>
      </c>
      <c r="D69" s="11">
        <v>196</v>
      </c>
      <c r="E69" s="47">
        <v>245</v>
      </c>
      <c r="H69" s="3"/>
    </row>
    <row r="70" spans="1:12" ht="15.75" customHeight="1" x14ac:dyDescent="0.25">
      <c r="A70" s="9" t="s">
        <v>37</v>
      </c>
      <c r="B70" s="300"/>
      <c r="C70" s="47">
        <v>444.11</v>
      </c>
      <c r="D70" s="11">
        <v>435</v>
      </c>
      <c r="E70" s="47">
        <v>383</v>
      </c>
      <c r="H70" s="3"/>
    </row>
    <row r="71" spans="1:12" ht="15.75" customHeight="1" x14ac:dyDescent="0.25">
      <c r="A71" s="9" t="s">
        <v>38</v>
      </c>
      <c r="B71" s="300"/>
      <c r="C71" s="47">
        <v>579.55999999999995</v>
      </c>
      <c r="D71" s="11">
        <v>522</v>
      </c>
      <c r="E71" s="47">
        <v>588</v>
      </c>
      <c r="H71" s="3"/>
    </row>
    <row r="72" spans="1:12" ht="15.75" customHeight="1" x14ac:dyDescent="0.25">
      <c r="A72" s="9" t="s">
        <v>39</v>
      </c>
      <c r="B72" s="300"/>
      <c r="C72" s="47">
        <v>746.22</v>
      </c>
      <c r="D72" s="11">
        <v>712</v>
      </c>
      <c r="E72" s="11">
        <v>741</v>
      </c>
      <c r="H72" s="3"/>
    </row>
    <row r="73" spans="1:12" ht="15.75" customHeight="1" x14ac:dyDescent="0.25">
      <c r="A73" s="49" t="s">
        <v>41</v>
      </c>
      <c r="B73" s="300"/>
      <c r="C73" s="50">
        <v>869.5</v>
      </c>
      <c r="D73" s="51">
        <v>799</v>
      </c>
      <c r="E73" s="50">
        <v>867</v>
      </c>
      <c r="H73" s="3"/>
    </row>
    <row r="74" spans="1:12" ht="15.75" customHeight="1" x14ac:dyDescent="0.25">
      <c r="A74" s="308"/>
      <c r="B74" s="297"/>
      <c r="C74" s="297"/>
      <c r="D74" s="297"/>
      <c r="E74" s="298"/>
      <c r="H74" s="3"/>
    </row>
    <row r="75" spans="1:12" ht="15.75" customHeight="1" x14ac:dyDescent="0.25">
      <c r="A75" s="9" t="s">
        <v>46</v>
      </c>
      <c r="B75" s="299" t="s">
        <v>47</v>
      </c>
      <c r="C75" s="11">
        <v>88.4</v>
      </c>
      <c r="D75" s="11">
        <v>0</v>
      </c>
      <c r="E75" s="47">
        <v>87</v>
      </c>
      <c r="H75" s="3"/>
    </row>
    <row r="76" spans="1:12" ht="15.75" customHeight="1" x14ac:dyDescent="0.25">
      <c r="A76" s="9" t="s">
        <v>48</v>
      </c>
      <c r="B76" s="300"/>
      <c r="C76" s="11">
        <v>94.6</v>
      </c>
      <c r="D76" s="11">
        <v>39</v>
      </c>
      <c r="E76" s="47">
        <v>91</v>
      </c>
      <c r="H76" s="3"/>
    </row>
    <row r="77" spans="1:12" ht="15.75" customHeight="1" x14ac:dyDescent="0.25">
      <c r="A77" s="296"/>
      <c r="B77" s="297"/>
      <c r="C77" s="297"/>
      <c r="D77" s="297"/>
      <c r="E77" s="11"/>
      <c r="H77" s="3"/>
    </row>
    <row r="78" spans="1:12" ht="15.75" customHeight="1" x14ac:dyDescent="0.25">
      <c r="A78" s="9" t="s">
        <v>50</v>
      </c>
      <c r="B78" s="302" t="s">
        <v>51</v>
      </c>
      <c r="C78" s="47">
        <v>271.44</v>
      </c>
      <c r="D78" s="11">
        <v>265</v>
      </c>
      <c r="E78" s="11">
        <v>336</v>
      </c>
      <c r="H78" s="3"/>
    </row>
    <row r="79" spans="1:12" ht="15.75" customHeight="1" x14ac:dyDescent="0.25">
      <c r="A79" s="9" t="s">
        <v>54</v>
      </c>
      <c r="B79" s="300"/>
      <c r="C79" s="47">
        <v>550.22199999999998</v>
      </c>
      <c r="D79" s="11">
        <v>343</v>
      </c>
      <c r="E79" s="11">
        <v>434</v>
      </c>
      <c r="H79" s="3"/>
    </row>
    <row r="80" spans="1:12" ht="15.75" customHeight="1" x14ac:dyDescent="0.25">
      <c r="A80" s="9" t="s">
        <v>55</v>
      </c>
      <c r="B80" s="300"/>
      <c r="C80" s="47">
        <v>609</v>
      </c>
      <c r="D80" s="11">
        <v>529</v>
      </c>
      <c r="E80" s="11">
        <v>607</v>
      </c>
      <c r="H80" s="3"/>
    </row>
    <row r="81" spans="1:8" ht="15.75" customHeight="1" x14ac:dyDescent="0.25">
      <c r="A81" s="9" t="s">
        <v>56</v>
      </c>
      <c r="B81" s="300"/>
      <c r="C81" s="47">
        <v>768.33333333333337</v>
      </c>
      <c r="D81" s="11">
        <v>723</v>
      </c>
      <c r="E81" s="11">
        <v>767</v>
      </c>
      <c r="H81" s="3"/>
    </row>
    <row r="82" spans="1:8" ht="15.75" customHeight="1" x14ac:dyDescent="0.25">
      <c r="A82" s="49" t="s">
        <v>57</v>
      </c>
      <c r="B82" s="300"/>
      <c r="C82" s="50">
        <v>746</v>
      </c>
      <c r="D82" s="51">
        <v>708</v>
      </c>
      <c r="E82" s="51">
        <v>730</v>
      </c>
      <c r="H82" s="3"/>
    </row>
    <row r="83" spans="1:8" ht="15.75" customHeight="1" x14ac:dyDescent="0.25">
      <c r="A83" s="308"/>
      <c r="B83" s="297"/>
      <c r="C83" s="297"/>
      <c r="D83" s="297"/>
      <c r="E83" s="298"/>
      <c r="H83" s="3"/>
    </row>
    <row r="84" spans="1:8" ht="15.75" customHeight="1" x14ac:dyDescent="0.25">
      <c r="A84" s="9" t="s">
        <v>60</v>
      </c>
      <c r="B84" s="299" t="s">
        <v>62</v>
      </c>
      <c r="C84" s="47">
        <v>19.741666666666667</v>
      </c>
      <c r="D84" s="52">
        <v>14</v>
      </c>
      <c r="E84" s="53">
        <v>20</v>
      </c>
      <c r="H84" s="3"/>
    </row>
    <row r="85" spans="1:8" ht="15.75" customHeight="1" x14ac:dyDescent="0.25">
      <c r="A85" s="9" t="s">
        <v>65</v>
      </c>
      <c r="B85" s="300"/>
      <c r="C85" s="11">
        <v>42</v>
      </c>
      <c r="D85" s="52">
        <v>20</v>
      </c>
      <c r="E85" s="54">
        <v>39</v>
      </c>
      <c r="H85" s="3"/>
    </row>
    <row r="86" spans="1:8" ht="15.75" customHeight="1" x14ac:dyDescent="0.25">
      <c r="A86" s="9" t="s">
        <v>64</v>
      </c>
      <c r="B86" s="301"/>
      <c r="C86" s="11">
        <v>42</v>
      </c>
      <c r="D86" s="52">
        <v>34</v>
      </c>
      <c r="E86" s="55">
        <v>41</v>
      </c>
      <c r="H86" s="3"/>
    </row>
    <row r="87" spans="1:8" ht="15.75" customHeight="1" x14ac:dyDescent="0.25">
      <c r="A87" s="296"/>
      <c r="B87" s="297"/>
      <c r="C87" s="297"/>
      <c r="D87" s="297"/>
      <c r="E87" s="11"/>
      <c r="H87" s="3"/>
    </row>
    <row r="88" spans="1:8" ht="15.75" customHeight="1" x14ac:dyDescent="0.25">
      <c r="A88" s="9" t="s">
        <v>66</v>
      </c>
      <c r="B88" s="302" t="s">
        <v>68</v>
      </c>
      <c r="C88" s="47">
        <v>204.5</v>
      </c>
      <c r="D88" s="11">
        <v>179</v>
      </c>
      <c r="E88" s="11">
        <v>205</v>
      </c>
      <c r="H88" s="3"/>
    </row>
    <row r="89" spans="1:8" ht="15.75" customHeight="1" x14ac:dyDescent="0.25">
      <c r="A89" s="49" t="s">
        <v>69</v>
      </c>
      <c r="B89" s="300"/>
      <c r="C89" s="50">
        <v>277.7</v>
      </c>
      <c r="D89" s="51">
        <v>245</v>
      </c>
      <c r="E89" s="51">
        <v>275</v>
      </c>
      <c r="H89" s="3"/>
    </row>
    <row r="90" spans="1:8" ht="15.75" customHeight="1" x14ac:dyDescent="0.25">
      <c r="A90" s="305"/>
      <c r="B90" s="297"/>
      <c r="C90" s="297"/>
      <c r="D90" s="297"/>
      <c r="E90" s="298"/>
      <c r="H90" s="3"/>
    </row>
    <row r="91" spans="1:8" ht="15.75" customHeight="1" x14ac:dyDescent="0.25">
      <c r="A91" s="56" t="s">
        <v>69</v>
      </c>
      <c r="B91" s="303" t="s">
        <v>71</v>
      </c>
      <c r="C91" s="47">
        <v>12</v>
      </c>
      <c r="D91" s="47">
        <v>6</v>
      </c>
      <c r="E91" s="11">
        <v>11</v>
      </c>
      <c r="H91" s="3"/>
    </row>
    <row r="92" spans="1:8" ht="15.75" customHeight="1" x14ac:dyDescent="0.25">
      <c r="A92" s="56" t="s">
        <v>72</v>
      </c>
      <c r="B92" s="300"/>
      <c r="C92" s="47">
        <v>14</v>
      </c>
      <c r="D92" s="47">
        <v>6</v>
      </c>
      <c r="E92" s="11">
        <v>13</v>
      </c>
      <c r="H92" s="3"/>
    </row>
    <row r="93" spans="1:8" ht="15.75" customHeight="1" x14ac:dyDescent="0.25">
      <c r="A93" s="56" t="s">
        <v>73</v>
      </c>
      <c r="B93" s="301"/>
      <c r="C93" s="47">
        <v>17.43333333333333</v>
      </c>
      <c r="D93" s="47">
        <v>10</v>
      </c>
      <c r="E93" s="11">
        <v>17</v>
      </c>
      <c r="H93" s="3"/>
    </row>
    <row r="94" spans="1:8" ht="15.75" customHeight="1" x14ac:dyDescent="0.25">
      <c r="A94" s="307"/>
      <c r="B94" s="297"/>
      <c r="C94" s="297"/>
      <c r="D94" s="297"/>
      <c r="E94" s="11"/>
      <c r="H94" s="3"/>
    </row>
    <row r="95" spans="1:8" ht="15.75" customHeight="1" x14ac:dyDescent="0.25">
      <c r="A95" s="56" t="s">
        <v>80</v>
      </c>
      <c r="B95" s="309" t="s">
        <v>77</v>
      </c>
      <c r="C95" s="47">
        <v>117</v>
      </c>
      <c r="D95" s="47">
        <v>124</v>
      </c>
      <c r="E95" s="11">
        <v>115</v>
      </c>
      <c r="H95" s="3"/>
    </row>
    <row r="96" spans="1:8" ht="15.75" customHeight="1" x14ac:dyDescent="0.25">
      <c r="A96" s="56" t="s">
        <v>78</v>
      </c>
      <c r="B96" s="300"/>
      <c r="C96" s="47">
        <v>188</v>
      </c>
      <c r="D96" s="47">
        <v>152</v>
      </c>
      <c r="E96" s="11">
        <v>182</v>
      </c>
      <c r="H96" s="3"/>
    </row>
    <row r="97" spans="1:8" ht="15.75" customHeight="1" x14ac:dyDescent="0.25">
      <c r="A97" s="56" t="s">
        <v>76</v>
      </c>
      <c r="B97" s="300"/>
      <c r="C97" s="47">
        <v>218</v>
      </c>
      <c r="D97" s="47">
        <v>179</v>
      </c>
      <c r="E97" s="11">
        <v>214</v>
      </c>
      <c r="H97" s="3"/>
    </row>
    <row r="98" spans="1:8" ht="15.75" customHeight="1" x14ac:dyDescent="0.25">
      <c r="A98" s="57" t="s">
        <v>79</v>
      </c>
      <c r="B98" s="300"/>
      <c r="C98" s="50">
        <v>239</v>
      </c>
      <c r="D98" s="50">
        <v>229</v>
      </c>
      <c r="E98" s="51">
        <v>238</v>
      </c>
      <c r="H98" s="3"/>
    </row>
    <row r="99" spans="1:8" ht="15.75" customHeight="1" x14ac:dyDescent="0.25">
      <c r="A99" s="305"/>
      <c r="B99" s="297"/>
      <c r="C99" s="297"/>
      <c r="D99" s="297"/>
      <c r="E99" s="298"/>
      <c r="H99" s="3"/>
    </row>
    <row r="100" spans="1:8" ht="15.75" customHeight="1" x14ac:dyDescent="0.25">
      <c r="A100" s="9" t="s">
        <v>81</v>
      </c>
      <c r="B100" s="299" t="s">
        <v>82</v>
      </c>
      <c r="C100" s="11">
        <v>2</v>
      </c>
      <c r="D100" s="11">
        <v>1</v>
      </c>
      <c r="E100" s="11">
        <v>2</v>
      </c>
      <c r="H100" s="3"/>
    </row>
    <row r="101" spans="1:8" ht="15.75" customHeight="1" x14ac:dyDescent="0.25">
      <c r="A101" s="9" t="s">
        <v>83</v>
      </c>
      <c r="B101" s="300"/>
      <c r="C101" s="11">
        <v>7.133</v>
      </c>
      <c r="D101" s="11">
        <v>1</v>
      </c>
      <c r="E101" s="11">
        <v>9</v>
      </c>
      <c r="H101" s="3"/>
    </row>
    <row r="102" spans="1:8" ht="15.75" customHeight="1" x14ac:dyDescent="0.25">
      <c r="A102" s="9" t="s">
        <v>155</v>
      </c>
      <c r="B102" s="301"/>
      <c r="C102" s="11">
        <v>3</v>
      </c>
      <c r="D102" s="11">
        <v>1</v>
      </c>
      <c r="E102" s="11">
        <v>4</v>
      </c>
      <c r="H102" s="3"/>
    </row>
    <row r="103" spans="1:8" ht="15.75" customHeight="1" x14ac:dyDescent="0.25">
      <c r="A103" s="296"/>
      <c r="B103" s="297"/>
      <c r="C103" s="297"/>
      <c r="D103" s="297"/>
      <c r="E103" s="298"/>
      <c r="H103" s="3"/>
    </row>
    <row r="104" spans="1:8" ht="15.75" customHeight="1" x14ac:dyDescent="0.25">
      <c r="A104" s="9" t="s">
        <v>86</v>
      </c>
      <c r="B104" s="302" t="s">
        <v>87</v>
      </c>
      <c r="C104" s="11">
        <v>19</v>
      </c>
      <c r="D104" s="11">
        <v>18</v>
      </c>
      <c r="E104" s="11">
        <v>19</v>
      </c>
      <c r="H104" s="3"/>
    </row>
    <row r="105" spans="1:8" ht="15.75" customHeight="1" x14ac:dyDescent="0.25">
      <c r="A105" s="49" t="s">
        <v>88</v>
      </c>
      <c r="B105" s="300"/>
      <c r="C105" s="51">
        <v>20</v>
      </c>
      <c r="D105" s="51">
        <v>18</v>
      </c>
      <c r="E105" s="51">
        <v>19</v>
      </c>
      <c r="H105" s="3"/>
    </row>
    <row r="106" spans="1:8" ht="15.75" customHeight="1" x14ac:dyDescent="0.25">
      <c r="A106" s="305"/>
      <c r="B106" s="297"/>
      <c r="C106" s="297"/>
      <c r="D106" s="297"/>
      <c r="E106" s="298"/>
      <c r="H106" s="3"/>
    </row>
    <row r="107" spans="1:8" ht="15.75" customHeight="1" x14ac:dyDescent="0.25">
      <c r="A107" s="9" t="s">
        <v>89</v>
      </c>
      <c r="B107" s="299" t="s">
        <v>90</v>
      </c>
      <c r="C107" s="11">
        <v>6</v>
      </c>
      <c r="D107" s="11">
        <v>0</v>
      </c>
      <c r="E107" s="11">
        <v>6</v>
      </c>
      <c r="H107" s="3"/>
    </row>
    <row r="108" spans="1:8" ht="15.75" customHeight="1" x14ac:dyDescent="0.25">
      <c r="A108" s="9" t="s">
        <v>91</v>
      </c>
      <c r="B108" s="300"/>
      <c r="C108" s="11">
        <v>17</v>
      </c>
      <c r="D108" s="11">
        <v>0</v>
      </c>
      <c r="E108" s="11">
        <v>16</v>
      </c>
      <c r="H108" s="3"/>
    </row>
    <row r="109" spans="1:8" ht="15.75" customHeight="1" x14ac:dyDescent="0.25">
      <c r="A109" s="49" t="s">
        <v>92</v>
      </c>
      <c r="B109" s="300"/>
      <c r="C109" s="51"/>
      <c r="D109" s="51"/>
      <c r="E109" s="11"/>
      <c r="H109" s="3"/>
    </row>
    <row r="110" spans="1:8" ht="15.75" customHeight="1" x14ac:dyDescent="0.25">
      <c r="A110" s="296"/>
      <c r="B110" s="297"/>
      <c r="C110" s="297"/>
      <c r="D110" s="297"/>
      <c r="E110" s="298"/>
      <c r="H110" s="3"/>
    </row>
    <row r="111" spans="1:8" ht="15.75" customHeight="1" x14ac:dyDescent="0.25">
      <c r="A111" s="9" t="s">
        <v>94</v>
      </c>
      <c r="B111" s="299" t="s">
        <v>95</v>
      </c>
      <c r="C111" s="47">
        <v>49.666666666666664</v>
      </c>
      <c r="D111" s="11">
        <v>0</v>
      </c>
      <c r="E111" s="11">
        <v>53</v>
      </c>
      <c r="H111" s="3"/>
    </row>
    <row r="112" spans="1:8" ht="15.75" customHeight="1" x14ac:dyDescent="0.25">
      <c r="A112" s="9" t="s">
        <v>96</v>
      </c>
      <c r="B112" s="300"/>
      <c r="C112" s="47">
        <v>122</v>
      </c>
      <c r="D112" s="11">
        <v>0</v>
      </c>
      <c r="E112" s="11">
        <v>127</v>
      </c>
      <c r="H112" s="3"/>
    </row>
    <row r="113" spans="1:26" ht="15.75" customHeight="1" x14ac:dyDescent="0.25">
      <c r="A113" s="9" t="s">
        <v>97</v>
      </c>
      <c r="B113" s="300"/>
      <c r="C113" s="47">
        <v>142.33333333333334</v>
      </c>
      <c r="D113" s="11">
        <v>241</v>
      </c>
      <c r="E113" s="11">
        <v>146</v>
      </c>
      <c r="H113" s="3"/>
    </row>
    <row r="114" spans="1:26" ht="15.75" customHeight="1" x14ac:dyDescent="0.25">
      <c r="A114" s="9" t="s">
        <v>98</v>
      </c>
      <c r="B114" s="300"/>
      <c r="C114" s="47">
        <v>130.33333333333334</v>
      </c>
      <c r="D114" s="11">
        <v>266</v>
      </c>
      <c r="E114" s="11">
        <v>127</v>
      </c>
      <c r="H114" s="3"/>
    </row>
    <row r="115" spans="1:26" ht="15.75" customHeight="1" x14ac:dyDescent="0.25">
      <c r="A115" s="9" t="s">
        <v>99</v>
      </c>
      <c r="B115" s="301"/>
      <c r="C115" s="47">
        <v>146</v>
      </c>
      <c r="D115" s="11">
        <v>226</v>
      </c>
      <c r="E115" s="11">
        <v>145</v>
      </c>
      <c r="H115" s="3"/>
    </row>
    <row r="116" spans="1:26" ht="15.75" customHeight="1" x14ac:dyDescent="0.25">
      <c r="B116" s="1"/>
      <c r="C116" s="1"/>
      <c r="D116" s="2"/>
      <c r="E116" s="2"/>
      <c r="F116" s="6"/>
      <c r="I116" s="3"/>
    </row>
    <row r="117" spans="1:26" ht="15.75" customHeight="1" x14ac:dyDescent="0.25">
      <c r="B117" s="1"/>
      <c r="C117" s="1"/>
      <c r="D117" s="2"/>
      <c r="E117" s="2"/>
      <c r="F117" s="6"/>
      <c r="I117" s="3"/>
    </row>
    <row r="118" spans="1:26" ht="15.75" customHeight="1" x14ac:dyDescent="0.25">
      <c r="A118" s="29"/>
      <c r="B118" s="30"/>
      <c r="C118" s="30"/>
      <c r="D118" s="32"/>
      <c r="E118" s="32"/>
      <c r="F118" s="60"/>
      <c r="G118" s="29"/>
      <c r="H118" s="29"/>
      <c r="I118" s="34"/>
      <c r="J118" s="29"/>
      <c r="K118" s="29"/>
      <c r="L118" s="29"/>
      <c r="M118" s="29"/>
      <c r="N118" s="29"/>
      <c r="O118" s="29"/>
      <c r="P118" s="29"/>
      <c r="Q118" s="29"/>
      <c r="R118" s="29"/>
      <c r="S118" s="29"/>
      <c r="T118" s="29"/>
      <c r="U118" s="29"/>
      <c r="V118" s="29"/>
      <c r="W118" s="29"/>
      <c r="X118" s="29"/>
      <c r="Y118" s="29"/>
      <c r="Z118" s="29"/>
    </row>
    <row r="119" spans="1:26" ht="15.75" customHeight="1" x14ac:dyDescent="0.25">
      <c r="B119" s="1"/>
      <c r="C119" s="1"/>
      <c r="D119" s="2"/>
      <c r="E119" s="2"/>
      <c r="F119" s="6"/>
      <c r="I119" s="3"/>
    </row>
    <row r="120" spans="1:26" ht="15.75" customHeight="1" x14ac:dyDescent="0.25">
      <c r="B120" s="1"/>
      <c r="C120" s="1"/>
      <c r="D120" s="2"/>
      <c r="E120" s="2"/>
      <c r="F120" s="6"/>
      <c r="I120" s="3"/>
    </row>
    <row r="121" spans="1:26" ht="15.75" customHeight="1" x14ac:dyDescent="0.25">
      <c r="A121" s="23" t="s">
        <v>115</v>
      </c>
      <c r="B121" s="43" t="s">
        <v>117</v>
      </c>
    </row>
    <row r="122" spans="1:26" ht="15.75" customHeight="1" x14ac:dyDescent="0.25">
      <c r="A122" s="304" t="s">
        <v>167</v>
      </c>
      <c r="B122" s="297"/>
      <c r="C122" s="297"/>
      <c r="D122" s="297"/>
      <c r="E122" s="298"/>
      <c r="H122" s="3"/>
    </row>
    <row r="123" spans="1:26" ht="15.75" customHeight="1" x14ac:dyDescent="0.2">
      <c r="A123" s="4" t="s">
        <v>0</v>
      </c>
      <c r="B123" s="5" t="s">
        <v>1</v>
      </c>
      <c r="C123" s="5" t="s">
        <v>2</v>
      </c>
      <c r="D123" s="5" t="s">
        <v>43</v>
      </c>
      <c r="E123" s="45" t="s">
        <v>125</v>
      </c>
      <c r="G123" s="296" t="s">
        <v>6</v>
      </c>
      <c r="H123" s="297"/>
      <c r="I123" s="297"/>
      <c r="J123" s="297"/>
      <c r="K123" s="297"/>
      <c r="L123" s="298"/>
    </row>
    <row r="124" spans="1:26" ht="15.75" customHeight="1" x14ac:dyDescent="0.2">
      <c r="A124" s="9" t="s">
        <v>7</v>
      </c>
      <c r="B124" s="302" t="s">
        <v>9</v>
      </c>
      <c r="C124" s="47">
        <v>28.1</v>
      </c>
      <c r="D124" s="47">
        <v>28</v>
      </c>
      <c r="E124" s="47">
        <v>43</v>
      </c>
      <c r="G124" s="296" t="s">
        <v>106</v>
      </c>
      <c r="H124" s="297"/>
      <c r="I124" s="298"/>
      <c r="J124" s="296" t="s">
        <v>107</v>
      </c>
      <c r="K124" s="297"/>
      <c r="L124" s="298"/>
    </row>
    <row r="125" spans="1:26" ht="15.75" customHeight="1" x14ac:dyDescent="0.2">
      <c r="A125" s="9" t="s">
        <v>17</v>
      </c>
      <c r="B125" s="300"/>
      <c r="C125" s="47">
        <v>63.911000000000001</v>
      </c>
      <c r="D125" s="47">
        <v>67</v>
      </c>
      <c r="E125" s="47">
        <v>89</v>
      </c>
      <c r="G125" s="13" t="s">
        <v>13</v>
      </c>
      <c r="H125" s="39">
        <f>+H127+H127*0.1</f>
        <v>801.9</v>
      </c>
      <c r="I125" s="17" t="s">
        <v>179</v>
      </c>
      <c r="J125" s="13" t="s">
        <v>13</v>
      </c>
      <c r="K125" s="39">
        <f>+K127+K127*0.1</f>
        <v>730.4</v>
      </c>
      <c r="L125" s="17" t="s">
        <v>180</v>
      </c>
    </row>
    <row r="126" spans="1:26" ht="15.75" customHeight="1" x14ac:dyDescent="0.2">
      <c r="A126" s="9" t="s">
        <v>26</v>
      </c>
      <c r="B126" s="300"/>
      <c r="C126" s="47">
        <v>69.921999999999997</v>
      </c>
      <c r="D126" s="47">
        <v>70</v>
      </c>
      <c r="E126" s="47">
        <v>99</v>
      </c>
      <c r="G126" s="13" t="s">
        <v>19</v>
      </c>
      <c r="H126" s="40">
        <f>+H127-H127*0.1</f>
        <v>656.1</v>
      </c>
      <c r="I126" s="17" t="s">
        <v>181</v>
      </c>
      <c r="J126" s="13" t="s">
        <v>19</v>
      </c>
      <c r="K126" s="40">
        <f>+K127-K127*0.1</f>
        <v>597.6</v>
      </c>
      <c r="L126" s="17" t="s">
        <v>182</v>
      </c>
    </row>
    <row r="127" spans="1:26" ht="15.75" customHeight="1" x14ac:dyDescent="0.2">
      <c r="A127" s="9" t="s">
        <v>32</v>
      </c>
      <c r="B127" s="300"/>
      <c r="C127" s="47">
        <v>96.744</v>
      </c>
      <c r="D127" s="47">
        <v>98</v>
      </c>
      <c r="E127" s="47">
        <v>102</v>
      </c>
      <c r="G127" s="13" t="s">
        <v>27</v>
      </c>
      <c r="H127" s="20">
        <v>729</v>
      </c>
      <c r="I127" s="17" t="s">
        <v>184</v>
      </c>
      <c r="J127" s="13" t="s">
        <v>27</v>
      </c>
      <c r="K127" s="20">
        <v>664</v>
      </c>
      <c r="L127" s="17" t="s">
        <v>185</v>
      </c>
    </row>
    <row r="128" spans="1:26" ht="15.75" customHeight="1" x14ac:dyDescent="0.2">
      <c r="A128" s="49" t="s">
        <v>33</v>
      </c>
      <c r="B128" s="300"/>
      <c r="C128" s="50">
        <v>128.11000000000001</v>
      </c>
      <c r="D128" s="50">
        <v>128</v>
      </c>
      <c r="E128" s="50">
        <v>131</v>
      </c>
      <c r="G128" s="13" t="s">
        <v>121</v>
      </c>
      <c r="H128" s="20">
        <v>729</v>
      </c>
      <c r="I128" s="17" t="s">
        <v>186</v>
      </c>
      <c r="J128" s="13" t="s">
        <v>121</v>
      </c>
      <c r="K128" s="20">
        <v>663</v>
      </c>
      <c r="L128" s="17" t="s">
        <v>187</v>
      </c>
    </row>
    <row r="129" spans="1:8" ht="15.75" customHeight="1" x14ac:dyDescent="0.25">
      <c r="A129" s="41"/>
      <c r="B129" s="42"/>
      <c r="C129" s="69"/>
      <c r="D129" s="75"/>
      <c r="E129" s="71"/>
      <c r="H129" s="3"/>
    </row>
    <row r="130" spans="1:8" ht="15.75" customHeight="1" x14ac:dyDescent="0.25">
      <c r="A130" s="9" t="s">
        <v>35</v>
      </c>
      <c r="B130" s="299" t="s">
        <v>36</v>
      </c>
      <c r="C130" s="47">
        <v>207.78</v>
      </c>
      <c r="D130" s="47">
        <v>245</v>
      </c>
      <c r="E130" s="47">
        <v>276</v>
      </c>
      <c r="H130" s="3">
        <v>695</v>
      </c>
    </row>
    <row r="131" spans="1:8" ht="15.75" customHeight="1" x14ac:dyDescent="0.25">
      <c r="A131" s="9" t="s">
        <v>37</v>
      </c>
      <c r="B131" s="300"/>
      <c r="C131" s="47">
        <v>444.11</v>
      </c>
      <c r="D131" s="47">
        <v>383</v>
      </c>
      <c r="E131" s="47">
        <v>408</v>
      </c>
      <c r="H131" s="3"/>
    </row>
    <row r="132" spans="1:8" ht="15.75" customHeight="1" x14ac:dyDescent="0.25">
      <c r="A132" s="9" t="s">
        <v>38</v>
      </c>
      <c r="B132" s="300"/>
      <c r="C132" s="47">
        <v>579.55999999999995</v>
      </c>
      <c r="D132" s="47">
        <v>588</v>
      </c>
      <c r="E132" s="47">
        <v>665</v>
      </c>
      <c r="H132" s="3"/>
    </row>
    <row r="133" spans="1:8" ht="15.75" customHeight="1" x14ac:dyDescent="0.25">
      <c r="A133" s="9" t="s">
        <v>39</v>
      </c>
      <c r="B133" s="300"/>
      <c r="C133" s="47">
        <v>746.22</v>
      </c>
      <c r="D133" s="47">
        <v>741</v>
      </c>
      <c r="E133" s="47">
        <v>778</v>
      </c>
      <c r="H133" s="3"/>
    </row>
    <row r="134" spans="1:8" ht="15.75" customHeight="1" x14ac:dyDescent="0.25">
      <c r="A134" s="49" t="s">
        <v>41</v>
      </c>
      <c r="B134" s="300"/>
      <c r="C134" s="50">
        <v>869.5</v>
      </c>
      <c r="D134" s="50">
        <v>867</v>
      </c>
      <c r="E134" s="50">
        <v>926</v>
      </c>
      <c r="H134" s="3"/>
    </row>
    <row r="135" spans="1:8" ht="15.75" customHeight="1" x14ac:dyDescent="0.25">
      <c r="A135" s="79"/>
      <c r="B135" s="81"/>
      <c r="C135" s="83"/>
      <c r="D135" s="83"/>
      <c r="E135" s="85"/>
      <c r="H135" s="3"/>
    </row>
    <row r="136" spans="1:8" ht="15.75" customHeight="1" x14ac:dyDescent="0.25">
      <c r="A136" s="9" t="s">
        <v>46</v>
      </c>
      <c r="B136" s="299" t="s">
        <v>47</v>
      </c>
      <c r="C136" s="47">
        <v>88.4</v>
      </c>
      <c r="D136" s="47">
        <v>87</v>
      </c>
      <c r="E136" s="47">
        <v>102</v>
      </c>
      <c r="H136" s="3"/>
    </row>
    <row r="137" spans="1:8" ht="15.75" customHeight="1" x14ac:dyDescent="0.25">
      <c r="A137" s="49" t="s">
        <v>48</v>
      </c>
      <c r="B137" s="300"/>
      <c r="C137" s="50">
        <v>94.6</v>
      </c>
      <c r="D137" s="50">
        <v>91</v>
      </c>
      <c r="E137" s="50">
        <v>105</v>
      </c>
      <c r="H137" s="3"/>
    </row>
    <row r="138" spans="1:8" ht="15.75" customHeight="1" x14ac:dyDescent="0.25">
      <c r="A138" s="41"/>
      <c r="B138" s="42"/>
      <c r="C138" s="69"/>
      <c r="D138" s="75"/>
      <c r="E138" s="71"/>
      <c r="H138" s="3"/>
    </row>
    <row r="139" spans="1:8" ht="15.75" customHeight="1" x14ac:dyDescent="0.25">
      <c r="A139" s="9" t="s">
        <v>50</v>
      </c>
      <c r="B139" s="299" t="s">
        <v>51</v>
      </c>
      <c r="C139" s="47">
        <v>271.44</v>
      </c>
      <c r="D139" s="47">
        <v>336</v>
      </c>
      <c r="E139" s="47">
        <v>433</v>
      </c>
      <c r="H139" s="3"/>
    </row>
    <row r="140" spans="1:8" ht="15.75" customHeight="1" x14ac:dyDescent="0.25">
      <c r="A140" s="9" t="s">
        <v>54</v>
      </c>
      <c r="B140" s="300"/>
      <c r="C140" s="47">
        <v>550.22199999999998</v>
      </c>
      <c r="D140" s="47">
        <v>434</v>
      </c>
      <c r="E140" s="47">
        <v>474</v>
      </c>
      <c r="H140" s="3"/>
    </row>
    <row r="141" spans="1:8" ht="15.75" customHeight="1" x14ac:dyDescent="0.25">
      <c r="A141" s="9" t="s">
        <v>55</v>
      </c>
      <c r="B141" s="300"/>
      <c r="C141" s="47">
        <v>609</v>
      </c>
      <c r="D141" s="47">
        <v>607</v>
      </c>
      <c r="E141" s="47">
        <v>565</v>
      </c>
      <c r="H141" s="3"/>
    </row>
    <row r="142" spans="1:8" ht="15.75" customHeight="1" x14ac:dyDescent="0.25">
      <c r="A142" s="9" t="s">
        <v>56</v>
      </c>
      <c r="B142" s="300"/>
      <c r="C142" s="47">
        <v>768.33333333333337</v>
      </c>
      <c r="D142" s="47">
        <v>767</v>
      </c>
      <c r="E142" s="47">
        <v>846</v>
      </c>
      <c r="H142" s="3"/>
    </row>
    <row r="143" spans="1:8" ht="15.75" customHeight="1" x14ac:dyDescent="0.25">
      <c r="A143" s="49" t="s">
        <v>57</v>
      </c>
      <c r="B143" s="300"/>
      <c r="C143" s="50">
        <v>746</v>
      </c>
      <c r="D143" s="50">
        <v>730</v>
      </c>
      <c r="E143" s="50">
        <v>884</v>
      </c>
      <c r="H143" s="3"/>
    </row>
    <row r="144" spans="1:8" ht="15.75" customHeight="1" x14ac:dyDescent="0.25">
      <c r="A144" s="79"/>
      <c r="B144" s="81"/>
      <c r="C144" s="83"/>
      <c r="D144" s="83"/>
      <c r="E144" s="85"/>
      <c r="H144" s="3"/>
    </row>
    <row r="145" spans="1:8" ht="15.75" customHeight="1" x14ac:dyDescent="0.25">
      <c r="A145" s="9" t="s">
        <v>60</v>
      </c>
      <c r="B145" s="299" t="s">
        <v>62</v>
      </c>
      <c r="C145" s="47">
        <v>19.741666666666667</v>
      </c>
      <c r="D145" s="88">
        <v>20</v>
      </c>
      <c r="E145" s="88">
        <v>27</v>
      </c>
      <c r="H145" s="3"/>
    </row>
    <row r="146" spans="1:8" ht="15.75" customHeight="1" x14ac:dyDescent="0.25">
      <c r="A146" s="9" t="s">
        <v>65</v>
      </c>
      <c r="B146" s="300"/>
      <c r="C146" s="47">
        <v>42</v>
      </c>
      <c r="D146" s="54">
        <v>39</v>
      </c>
      <c r="E146" s="54">
        <v>61</v>
      </c>
      <c r="H146" s="3"/>
    </row>
    <row r="147" spans="1:8" ht="15.75" customHeight="1" x14ac:dyDescent="0.25">
      <c r="A147" s="9" t="s">
        <v>64</v>
      </c>
      <c r="B147" s="301"/>
      <c r="C147" s="47">
        <v>42</v>
      </c>
      <c r="D147" s="55">
        <v>41</v>
      </c>
      <c r="E147" s="55">
        <v>53</v>
      </c>
      <c r="H147" s="3"/>
    </row>
    <row r="148" spans="1:8" ht="15.75" customHeight="1" x14ac:dyDescent="0.25">
      <c r="A148" s="41"/>
      <c r="B148" s="42"/>
      <c r="C148" s="69"/>
      <c r="D148" s="47"/>
      <c r="E148" s="47"/>
      <c r="H148" s="3"/>
    </row>
    <row r="149" spans="1:8" ht="15.75" customHeight="1" x14ac:dyDescent="0.25">
      <c r="A149" s="9" t="s">
        <v>66</v>
      </c>
      <c r="B149" s="302" t="s">
        <v>68</v>
      </c>
      <c r="C149" s="47">
        <v>204.5</v>
      </c>
      <c r="D149" s="47">
        <v>205</v>
      </c>
      <c r="E149" s="47">
        <v>221</v>
      </c>
      <c r="H149" s="3"/>
    </row>
    <row r="150" spans="1:8" ht="15.75" customHeight="1" x14ac:dyDescent="0.25">
      <c r="A150" s="49" t="s">
        <v>69</v>
      </c>
      <c r="B150" s="300"/>
      <c r="C150" s="50">
        <v>277.7</v>
      </c>
      <c r="D150" s="50">
        <v>275</v>
      </c>
      <c r="E150" s="50">
        <v>301</v>
      </c>
      <c r="H150" s="3"/>
    </row>
    <row r="151" spans="1:8" ht="15.75" customHeight="1" x14ac:dyDescent="0.25">
      <c r="A151" s="44"/>
      <c r="B151" s="46"/>
      <c r="C151" s="83"/>
      <c r="D151" s="83"/>
      <c r="E151" s="85"/>
      <c r="H151" s="3"/>
    </row>
    <row r="152" spans="1:8" ht="15.75" customHeight="1" x14ac:dyDescent="0.25">
      <c r="A152" s="56" t="s">
        <v>69</v>
      </c>
      <c r="B152" s="303" t="s">
        <v>71</v>
      </c>
      <c r="C152" s="47">
        <v>12</v>
      </c>
      <c r="D152" s="47">
        <v>11</v>
      </c>
      <c r="E152" s="47">
        <v>14</v>
      </c>
      <c r="H152" s="3"/>
    </row>
    <row r="153" spans="1:8" ht="15.75" customHeight="1" x14ac:dyDescent="0.25">
      <c r="A153" s="56" t="s">
        <v>72</v>
      </c>
      <c r="B153" s="300"/>
      <c r="C153" s="47">
        <v>14</v>
      </c>
      <c r="D153" s="47">
        <v>13</v>
      </c>
      <c r="E153" s="47">
        <v>16</v>
      </c>
      <c r="H153" s="3"/>
    </row>
    <row r="154" spans="1:8" ht="15.75" customHeight="1" x14ac:dyDescent="0.25">
      <c r="A154" s="57" t="s">
        <v>73</v>
      </c>
      <c r="B154" s="300"/>
      <c r="C154" s="50">
        <v>17.43333333333333</v>
      </c>
      <c r="D154" s="50">
        <v>17</v>
      </c>
      <c r="E154" s="50">
        <v>21</v>
      </c>
      <c r="H154" s="3"/>
    </row>
    <row r="155" spans="1:8" ht="15.75" customHeight="1" x14ac:dyDescent="0.25">
      <c r="A155" s="92"/>
      <c r="B155" s="69"/>
      <c r="C155" s="69"/>
      <c r="D155" s="69"/>
      <c r="E155" s="71"/>
      <c r="H155" s="3"/>
    </row>
    <row r="156" spans="1:8" ht="15.75" customHeight="1" x14ac:dyDescent="0.25">
      <c r="A156" s="56" t="s">
        <v>80</v>
      </c>
      <c r="B156" s="303" t="s">
        <v>77</v>
      </c>
      <c r="C156" s="47">
        <v>117</v>
      </c>
      <c r="D156" s="47">
        <v>124</v>
      </c>
      <c r="E156" s="47">
        <v>134</v>
      </c>
      <c r="H156" s="3"/>
    </row>
    <row r="157" spans="1:8" ht="15.75" customHeight="1" x14ac:dyDescent="0.25">
      <c r="A157" s="56" t="s">
        <v>78</v>
      </c>
      <c r="B157" s="300"/>
      <c r="C157" s="47">
        <v>188</v>
      </c>
      <c r="D157" s="47">
        <v>152</v>
      </c>
      <c r="E157" s="47">
        <v>199</v>
      </c>
      <c r="H157" s="3"/>
    </row>
    <row r="158" spans="1:8" ht="15.75" customHeight="1" x14ac:dyDescent="0.25">
      <c r="A158" s="56" t="s">
        <v>76</v>
      </c>
      <c r="B158" s="300"/>
      <c r="C158" s="47">
        <v>218</v>
      </c>
      <c r="D158" s="47">
        <v>179</v>
      </c>
      <c r="E158" s="47">
        <v>222</v>
      </c>
      <c r="H158" s="3"/>
    </row>
    <row r="159" spans="1:8" ht="15.75" customHeight="1" x14ac:dyDescent="0.25">
      <c r="A159" s="57" t="s">
        <v>79</v>
      </c>
      <c r="B159" s="300"/>
      <c r="C159" s="50">
        <v>239</v>
      </c>
      <c r="D159" s="50">
        <v>229</v>
      </c>
      <c r="E159" s="50">
        <v>245</v>
      </c>
      <c r="H159" s="3"/>
    </row>
    <row r="160" spans="1:8" ht="15.75" customHeight="1" x14ac:dyDescent="0.25">
      <c r="A160" s="44"/>
      <c r="B160" s="46"/>
      <c r="C160" s="83"/>
      <c r="D160" s="83"/>
      <c r="E160" s="85"/>
      <c r="H160" s="3"/>
    </row>
    <row r="161" spans="1:8" ht="15.75" customHeight="1" x14ac:dyDescent="0.25">
      <c r="A161" s="9" t="s">
        <v>81</v>
      </c>
      <c r="B161" s="299" t="s">
        <v>82</v>
      </c>
      <c r="C161" s="47">
        <v>2</v>
      </c>
      <c r="D161" s="47">
        <v>1</v>
      </c>
      <c r="E161" s="47">
        <v>1</v>
      </c>
      <c r="H161" s="3"/>
    </row>
    <row r="162" spans="1:8" ht="15.75" customHeight="1" x14ac:dyDescent="0.25">
      <c r="A162" s="9" t="s">
        <v>83</v>
      </c>
      <c r="B162" s="300"/>
      <c r="C162" s="47">
        <v>7.133</v>
      </c>
      <c r="D162" s="47">
        <v>1</v>
      </c>
      <c r="E162" s="47">
        <v>18</v>
      </c>
      <c r="H162" s="3"/>
    </row>
    <row r="163" spans="1:8" ht="15.75" customHeight="1" x14ac:dyDescent="0.25">
      <c r="A163" s="9" t="s">
        <v>155</v>
      </c>
      <c r="B163" s="301"/>
      <c r="C163" s="47">
        <v>3</v>
      </c>
      <c r="D163" s="47">
        <v>1</v>
      </c>
      <c r="E163" s="47">
        <v>12</v>
      </c>
      <c r="H163" s="3"/>
    </row>
    <row r="164" spans="1:8" ht="15.75" customHeight="1" x14ac:dyDescent="0.25">
      <c r="A164" s="41"/>
      <c r="B164" s="42"/>
      <c r="C164" s="69"/>
      <c r="D164" s="69"/>
      <c r="E164" s="98"/>
      <c r="H164" s="3"/>
    </row>
    <row r="165" spans="1:8" ht="15.75" customHeight="1" x14ac:dyDescent="0.25">
      <c r="A165" s="9" t="s">
        <v>86</v>
      </c>
      <c r="B165" s="302" t="s">
        <v>87</v>
      </c>
      <c r="C165" s="47">
        <v>19</v>
      </c>
      <c r="D165" s="47">
        <v>18</v>
      </c>
      <c r="E165" s="47">
        <v>23</v>
      </c>
      <c r="H165" s="3"/>
    </row>
    <row r="166" spans="1:8" ht="15.75" customHeight="1" x14ac:dyDescent="0.25">
      <c r="A166" s="49" t="s">
        <v>88</v>
      </c>
      <c r="B166" s="300"/>
      <c r="C166" s="50">
        <v>20</v>
      </c>
      <c r="D166" s="50">
        <v>18</v>
      </c>
      <c r="E166" s="50">
        <v>24</v>
      </c>
      <c r="H166" s="3"/>
    </row>
    <row r="167" spans="1:8" ht="15.75" customHeight="1" x14ac:dyDescent="0.25">
      <c r="A167" s="44"/>
      <c r="B167" s="46"/>
      <c r="C167" s="83"/>
      <c r="D167" s="83"/>
      <c r="E167" s="85"/>
      <c r="H167" s="3"/>
    </row>
    <row r="168" spans="1:8" ht="15.75" customHeight="1" x14ac:dyDescent="0.25">
      <c r="A168" s="12" t="s">
        <v>89</v>
      </c>
      <c r="B168" s="302" t="s">
        <v>90</v>
      </c>
      <c r="C168" s="71">
        <v>6</v>
      </c>
      <c r="D168" s="71">
        <v>6</v>
      </c>
      <c r="E168" s="71">
        <v>22</v>
      </c>
      <c r="H168" s="3"/>
    </row>
    <row r="169" spans="1:8" ht="15.75" customHeight="1" x14ac:dyDescent="0.25">
      <c r="A169" s="9" t="s">
        <v>91</v>
      </c>
      <c r="B169" s="300"/>
      <c r="C169" s="47">
        <v>17</v>
      </c>
      <c r="D169" s="47">
        <v>15</v>
      </c>
      <c r="E169" s="47">
        <v>22</v>
      </c>
      <c r="H169" s="3"/>
    </row>
    <row r="170" spans="1:8" ht="15.75" customHeight="1" x14ac:dyDescent="0.25">
      <c r="A170" s="49" t="s">
        <v>92</v>
      </c>
      <c r="B170" s="300"/>
      <c r="C170" s="50"/>
      <c r="D170" s="50"/>
      <c r="E170" s="50"/>
      <c r="H170" s="3"/>
    </row>
    <row r="171" spans="1:8" ht="15.75" customHeight="1" x14ac:dyDescent="0.25">
      <c r="A171" s="41"/>
      <c r="B171" s="42"/>
      <c r="C171" s="69"/>
      <c r="D171" s="69"/>
      <c r="E171" s="98"/>
      <c r="H171" s="3"/>
    </row>
    <row r="172" spans="1:8" ht="15.75" customHeight="1" x14ac:dyDescent="0.25">
      <c r="A172" s="9" t="s">
        <v>94</v>
      </c>
      <c r="B172" s="299" t="s">
        <v>95</v>
      </c>
      <c r="C172" s="47">
        <v>49.666666666666664</v>
      </c>
      <c r="D172" s="47">
        <v>52</v>
      </c>
      <c r="E172" s="47">
        <v>114</v>
      </c>
      <c r="H172" s="3"/>
    </row>
    <row r="173" spans="1:8" ht="15.75" customHeight="1" x14ac:dyDescent="0.25">
      <c r="A173" s="9" t="s">
        <v>96</v>
      </c>
      <c r="B173" s="300"/>
      <c r="C173" s="47">
        <v>122</v>
      </c>
      <c r="D173" s="47">
        <v>115</v>
      </c>
      <c r="E173" s="47">
        <v>145</v>
      </c>
      <c r="H173" s="3"/>
    </row>
    <row r="174" spans="1:8" ht="15.75" customHeight="1" x14ac:dyDescent="0.25">
      <c r="A174" s="9" t="s">
        <v>97</v>
      </c>
      <c r="B174" s="300"/>
      <c r="C174" s="47">
        <v>142.33333333333334</v>
      </c>
      <c r="D174" s="47">
        <v>241</v>
      </c>
      <c r="E174" s="47">
        <v>215</v>
      </c>
      <c r="H174" s="3"/>
    </row>
    <row r="175" spans="1:8" ht="15.75" customHeight="1" x14ac:dyDescent="0.25">
      <c r="A175" s="9" t="s">
        <v>98</v>
      </c>
      <c r="B175" s="300"/>
      <c r="C175" s="47">
        <v>130.33333333333334</v>
      </c>
      <c r="D175" s="47">
        <v>266</v>
      </c>
      <c r="E175" s="47">
        <v>161</v>
      </c>
      <c r="H175" s="3"/>
    </row>
    <row r="176" spans="1:8" ht="15.75" customHeight="1" x14ac:dyDescent="0.25">
      <c r="A176" s="9" t="s">
        <v>99</v>
      </c>
      <c r="B176" s="301"/>
      <c r="C176" s="47">
        <v>146</v>
      </c>
      <c r="D176" s="47">
        <v>226</v>
      </c>
      <c r="E176" s="47">
        <v>162</v>
      </c>
      <c r="H176" s="3"/>
    </row>
    <row r="177" spans="2:9" ht="15.75" customHeight="1" x14ac:dyDescent="0.25">
      <c r="B177" s="1"/>
      <c r="C177" s="1"/>
      <c r="D177" s="2"/>
      <c r="E177" s="2"/>
      <c r="F177" s="6"/>
      <c r="I177" s="3"/>
    </row>
    <row r="178" spans="2:9" ht="15.75" customHeight="1" x14ac:dyDescent="0.2"/>
    <row r="179" spans="2:9" ht="15.75" customHeight="1" x14ac:dyDescent="0.2"/>
    <row r="180" spans="2:9" ht="15.75" customHeight="1" x14ac:dyDescent="0.2"/>
    <row r="181" spans="2:9" ht="15.75" customHeight="1" x14ac:dyDescent="0.2"/>
    <row r="182" spans="2:9" ht="15.75" customHeight="1" x14ac:dyDescent="0.2"/>
    <row r="183" spans="2:9" ht="15.75" customHeight="1" x14ac:dyDescent="0.2"/>
    <row r="184" spans="2:9" ht="15.75" customHeight="1" x14ac:dyDescent="0.2"/>
    <row r="185" spans="2:9" ht="15.75" customHeight="1" x14ac:dyDescent="0.2"/>
    <row r="186" spans="2:9" ht="15.75" customHeight="1" x14ac:dyDescent="0.2"/>
    <row r="187" spans="2:9" ht="15.75" customHeight="1" x14ac:dyDescent="0.2"/>
    <row r="188" spans="2:9" ht="15.75" customHeight="1" x14ac:dyDescent="0.2"/>
    <row r="189" spans="2:9" ht="15.75" customHeight="1" x14ac:dyDescent="0.2"/>
    <row r="190" spans="2:9" ht="15.75" customHeight="1" x14ac:dyDescent="0.2"/>
    <row r="191" spans="2:9" ht="15.75" customHeight="1" x14ac:dyDescent="0.2"/>
    <row r="192" spans="2:9"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7">
    <mergeCell ref="B130:B134"/>
    <mergeCell ref="B136:B137"/>
    <mergeCell ref="B91:B93"/>
    <mergeCell ref="B95:B98"/>
    <mergeCell ref="B100:B102"/>
    <mergeCell ref="B104:B105"/>
    <mergeCell ref="B107:B109"/>
    <mergeCell ref="A77:D77"/>
    <mergeCell ref="A83:E83"/>
    <mergeCell ref="A87:D87"/>
    <mergeCell ref="A90:E90"/>
    <mergeCell ref="B69:B73"/>
    <mergeCell ref="B75:B76"/>
    <mergeCell ref="B78:B82"/>
    <mergeCell ref="B84:B86"/>
    <mergeCell ref="B88:B89"/>
    <mergeCell ref="B44:F44"/>
    <mergeCell ref="B47:F47"/>
    <mergeCell ref="B51:F51"/>
    <mergeCell ref="A68:D68"/>
    <mergeCell ref="A74:E74"/>
    <mergeCell ref="G62:L62"/>
    <mergeCell ref="G63:I63"/>
    <mergeCell ref="J63:L63"/>
    <mergeCell ref="B28:F28"/>
    <mergeCell ref="C29:C30"/>
    <mergeCell ref="B31:F31"/>
    <mergeCell ref="B35:F35"/>
    <mergeCell ref="B40:F40"/>
    <mergeCell ref="C32:C34"/>
    <mergeCell ref="C36:C39"/>
    <mergeCell ref="C41:C43"/>
    <mergeCell ref="C45:C46"/>
    <mergeCell ref="C48:C50"/>
    <mergeCell ref="C52:C56"/>
    <mergeCell ref="B63:B67"/>
    <mergeCell ref="A61:E61"/>
    <mergeCell ref="C15:C17"/>
    <mergeCell ref="B18:F18"/>
    <mergeCell ref="C19:C23"/>
    <mergeCell ref="B24:F24"/>
    <mergeCell ref="C25:C27"/>
    <mergeCell ref="H2:J2"/>
    <mergeCell ref="C3:C7"/>
    <mergeCell ref="B8:F8"/>
    <mergeCell ref="C9:C13"/>
    <mergeCell ref="B14:F14"/>
    <mergeCell ref="B168:B170"/>
    <mergeCell ref="B172:B176"/>
    <mergeCell ref="B139:B143"/>
    <mergeCell ref="B145:B147"/>
    <mergeCell ref="B149:B150"/>
    <mergeCell ref="B152:B154"/>
    <mergeCell ref="B156:B159"/>
    <mergeCell ref="B161:B163"/>
    <mergeCell ref="B165:B166"/>
    <mergeCell ref="G124:I124"/>
    <mergeCell ref="J124:L124"/>
    <mergeCell ref="A94:D94"/>
    <mergeCell ref="A99:E99"/>
    <mergeCell ref="A103:E103"/>
    <mergeCell ref="A106:E106"/>
    <mergeCell ref="A110:E110"/>
    <mergeCell ref="A122:E122"/>
    <mergeCell ref="G123:L123"/>
    <mergeCell ref="B111:B115"/>
    <mergeCell ref="B124:B128"/>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00"/>
  <sheetViews>
    <sheetView workbookViewId="0"/>
  </sheetViews>
  <sheetFormatPr baseColWidth="10" defaultColWidth="12.625" defaultRowHeight="15" customHeight="1" x14ac:dyDescent="0.2"/>
  <cols>
    <col min="1" max="1" width="10" customWidth="1"/>
    <col min="2" max="2" width="23.5" customWidth="1"/>
    <col min="3" max="3" width="13.875" customWidth="1"/>
    <col min="4" max="4" width="12.625" customWidth="1"/>
    <col min="5" max="5" width="10.125" customWidth="1"/>
    <col min="6" max="6" width="13.375" customWidth="1"/>
    <col min="7" max="12" width="10" customWidth="1"/>
    <col min="13" max="13" width="7" customWidth="1"/>
    <col min="14" max="15" width="10" customWidth="1"/>
    <col min="16" max="16" width="7.125" customWidth="1"/>
    <col min="17" max="17" width="5.375" customWidth="1"/>
    <col min="18" max="20" width="10" customWidth="1"/>
    <col min="21" max="21" width="13.875" customWidth="1"/>
    <col min="22" max="22" width="13.375" customWidth="1"/>
    <col min="23" max="25" width="10" customWidth="1"/>
    <col min="26" max="26" width="14.375" customWidth="1"/>
    <col min="27" max="27" width="15.25" customWidth="1"/>
    <col min="28" max="28" width="12.625" customWidth="1"/>
    <col min="29" max="29" width="14" customWidth="1"/>
    <col min="30" max="30" width="14.625" customWidth="1"/>
  </cols>
  <sheetData>
    <row r="1" spans="2:11" x14ac:dyDescent="0.2">
      <c r="C1" s="2"/>
    </row>
    <row r="2" spans="2:11" ht="24" x14ac:dyDescent="0.2">
      <c r="B2" s="4" t="s">
        <v>0</v>
      </c>
      <c r="C2" s="5" t="s">
        <v>1</v>
      </c>
      <c r="D2" s="5" t="s">
        <v>2</v>
      </c>
      <c r="E2" s="5" t="s">
        <v>3</v>
      </c>
      <c r="F2" s="7" t="s">
        <v>4</v>
      </c>
      <c r="G2" s="5" t="s">
        <v>5</v>
      </c>
      <c r="I2" s="296" t="s">
        <v>6</v>
      </c>
      <c r="J2" s="297"/>
      <c r="K2" s="298"/>
    </row>
    <row r="3" spans="2:11" ht="14.25" x14ac:dyDescent="0.2">
      <c r="B3" s="310" t="s">
        <v>8</v>
      </c>
      <c r="C3" s="297"/>
      <c r="D3" s="297"/>
      <c r="E3" s="297"/>
      <c r="F3" s="297"/>
      <c r="G3" s="298"/>
      <c r="I3" s="305" t="s">
        <v>10</v>
      </c>
      <c r="J3" s="297"/>
      <c r="K3" s="298"/>
    </row>
    <row r="4" spans="2:11" ht="14.25" x14ac:dyDescent="0.2">
      <c r="B4" s="9" t="s">
        <v>11</v>
      </c>
      <c r="C4" s="12" t="s">
        <v>12</v>
      </c>
      <c r="D4" s="11">
        <v>500</v>
      </c>
      <c r="E4" s="11">
        <v>500</v>
      </c>
      <c r="F4" s="15">
        <f>((D4-E4)/D4)</f>
        <v>0</v>
      </c>
      <c r="G4" s="11"/>
      <c r="I4" s="12" t="s">
        <v>12</v>
      </c>
      <c r="J4" s="11">
        <v>500</v>
      </c>
      <c r="K4" s="17" t="s">
        <v>16</v>
      </c>
    </row>
    <row r="5" spans="2:11" ht="14.25" x14ac:dyDescent="0.2">
      <c r="B5" s="9" t="s">
        <v>11</v>
      </c>
      <c r="C5" s="12" t="s">
        <v>18</v>
      </c>
      <c r="D5" s="11">
        <v>0</v>
      </c>
      <c r="E5" s="11">
        <v>0</v>
      </c>
      <c r="F5" s="15">
        <v>0</v>
      </c>
      <c r="G5" s="11"/>
      <c r="I5" s="12" t="s">
        <v>18</v>
      </c>
      <c r="J5" s="11">
        <v>0</v>
      </c>
      <c r="K5" s="17" t="s">
        <v>20</v>
      </c>
    </row>
    <row r="6" spans="2:11" ht="14.25" x14ac:dyDescent="0.2">
      <c r="B6" s="9" t="s">
        <v>21</v>
      </c>
      <c r="C6" s="12" t="s">
        <v>22</v>
      </c>
      <c r="D6" s="11">
        <v>440</v>
      </c>
      <c r="E6" s="11">
        <v>437</v>
      </c>
      <c r="F6" s="15">
        <f t="shared" ref="F6:F7" si="0">((D6-E6)/D6)</f>
        <v>6.8181818181818179E-3</v>
      </c>
      <c r="G6" s="11"/>
      <c r="I6" s="305" t="s">
        <v>23</v>
      </c>
      <c r="J6" s="297"/>
      <c r="K6" s="298"/>
    </row>
    <row r="7" spans="2:11" ht="15.75" customHeight="1" x14ac:dyDescent="0.2">
      <c r="B7" s="9" t="s">
        <v>21</v>
      </c>
      <c r="C7" s="12" t="s">
        <v>12</v>
      </c>
      <c r="D7" s="11">
        <v>160</v>
      </c>
      <c r="E7" s="11">
        <v>151</v>
      </c>
      <c r="F7" s="15">
        <f t="shared" si="0"/>
        <v>5.6250000000000001E-2</v>
      </c>
      <c r="G7" s="11"/>
      <c r="I7" s="12" t="s">
        <v>12</v>
      </c>
      <c r="J7" s="11">
        <v>480</v>
      </c>
      <c r="K7" s="17" t="s">
        <v>28</v>
      </c>
    </row>
    <row r="8" spans="2:11" ht="14.25" x14ac:dyDescent="0.2">
      <c r="B8" s="310" t="s">
        <v>29</v>
      </c>
      <c r="C8" s="297"/>
      <c r="D8" s="297"/>
      <c r="E8" s="297"/>
      <c r="F8" s="297"/>
      <c r="G8" s="298"/>
      <c r="I8" s="12" t="s">
        <v>18</v>
      </c>
      <c r="J8" s="11">
        <v>0</v>
      </c>
      <c r="K8" s="17" t="s">
        <v>31</v>
      </c>
    </row>
    <row r="9" spans="2:11" ht="14.25" x14ac:dyDescent="0.2">
      <c r="B9" s="9" t="s">
        <v>11</v>
      </c>
      <c r="C9" s="12" t="s">
        <v>12</v>
      </c>
      <c r="D9" s="11">
        <v>480</v>
      </c>
      <c r="E9" s="11">
        <v>480</v>
      </c>
      <c r="F9" s="15">
        <f>((D9-E9)/D9)</f>
        <v>0</v>
      </c>
      <c r="G9" s="11"/>
    </row>
    <row r="10" spans="2:11" ht="14.25" x14ac:dyDescent="0.2">
      <c r="B10" s="9" t="s">
        <v>11</v>
      </c>
      <c r="C10" s="12" t="s">
        <v>18</v>
      </c>
      <c r="D10" s="11">
        <v>0</v>
      </c>
      <c r="E10" s="11">
        <v>0</v>
      </c>
      <c r="F10" s="15">
        <v>0</v>
      </c>
      <c r="G10" s="11"/>
    </row>
    <row r="11" spans="2:11" ht="14.25" x14ac:dyDescent="0.2">
      <c r="B11" s="9" t="s">
        <v>21</v>
      </c>
      <c r="C11" s="12" t="s">
        <v>22</v>
      </c>
      <c r="D11" s="11">
        <v>430</v>
      </c>
      <c r="E11" s="11">
        <v>406</v>
      </c>
      <c r="F11" s="15">
        <f t="shared" ref="F11:F12" si="1">((D11-E11)/D11)</f>
        <v>5.5813953488372092E-2</v>
      </c>
      <c r="G11" s="11"/>
    </row>
    <row r="12" spans="2:11" ht="14.25" x14ac:dyDescent="0.2">
      <c r="B12" s="9" t="s">
        <v>21</v>
      </c>
      <c r="C12" s="12" t="s">
        <v>12</v>
      </c>
      <c r="D12" s="11">
        <v>150</v>
      </c>
      <c r="E12" s="11">
        <v>142</v>
      </c>
      <c r="F12" s="15">
        <f t="shared" si="1"/>
        <v>5.3333333333333337E-2</v>
      </c>
      <c r="G12" s="11"/>
    </row>
    <row r="13" spans="2:11" x14ac:dyDescent="0.2">
      <c r="C13" s="2"/>
    </row>
    <row r="14" spans="2:11" x14ac:dyDescent="0.2">
      <c r="C14" s="2"/>
    </row>
    <row r="15" spans="2:11" x14ac:dyDescent="0.2">
      <c r="C15" s="2"/>
    </row>
    <row r="16" spans="2:11" x14ac:dyDescent="0.2">
      <c r="C16" s="2"/>
    </row>
    <row r="17" spans="2:11" x14ac:dyDescent="0.25">
      <c r="B17" s="21" t="s">
        <v>40</v>
      </c>
      <c r="C17" s="2"/>
    </row>
    <row r="18" spans="2:11" x14ac:dyDescent="0.2">
      <c r="C18" s="2"/>
    </row>
    <row r="19" spans="2:11" ht="36.75" customHeight="1" x14ac:dyDescent="0.2">
      <c r="B19" s="4" t="s">
        <v>0</v>
      </c>
      <c r="C19" s="5" t="s">
        <v>1</v>
      </c>
      <c r="D19" s="5" t="s">
        <v>42</v>
      </c>
      <c r="E19" s="5" t="s">
        <v>43</v>
      </c>
      <c r="F19" s="5" t="s">
        <v>44</v>
      </c>
      <c r="H19" s="296" t="s">
        <v>45</v>
      </c>
      <c r="I19" s="297"/>
      <c r="J19" s="297"/>
      <c r="K19" s="298"/>
    </row>
    <row r="20" spans="2:11" ht="15.75" customHeight="1" x14ac:dyDescent="0.2">
      <c r="B20" s="310" t="s">
        <v>8</v>
      </c>
      <c r="C20" s="297"/>
      <c r="D20" s="297"/>
      <c r="E20" s="297"/>
      <c r="F20" s="306"/>
      <c r="H20" s="305" t="s">
        <v>10</v>
      </c>
      <c r="I20" s="297"/>
      <c r="J20" s="297"/>
      <c r="K20" s="298"/>
    </row>
    <row r="21" spans="2:11" ht="15.75" customHeight="1" x14ac:dyDescent="0.2">
      <c r="B21" s="9" t="s">
        <v>11</v>
      </c>
      <c r="C21" s="12" t="s">
        <v>12</v>
      </c>
      <c r="D21" s="11">
        <v>500</v>
      </c>
      <c r="E21" s="22">
        <v>500</v>
      </c>
      <c r="F21" s="11">
        <v>560</v>
      </c>
      <c r="H21" s="12"/>
      <c r="I21" s="12" t="s">
        <v>52</v>
      </c>
      <c r="J21" s="12" t="s">
        <v>53</v>
      </c>
      <c r="K21" s="12"/>
    </row>
    <row r="22" spans="2:11" ht="15.75" customHeight="1" x14ac:dyDescent="0.2">
      <c r="B22" s="9" t="s">
        <v>11</v>
      </c>
      <c r="C22" s="12" t="s">
        <v>18</v>
      </c>
      <c r="D22" s="11">
        <v>0</v>
      </c>
      <c r="E22" s="22">
        <v>0</v>
      </c>
      <c r="F22" s="11">
        <v>0</v>
      </c>
      <c r="H22" s="12" t="s">
        <v>12</v>
      </c>
      <c r="I22" s="17">
        <v>500</v>
      </c>
      <c r="J22" s="11">
        <v>560</v>
      </c>
      <c r="K22" s="17" t="s">
        <v>58</v>
      </c>
    </row>
    <row r="23" spans="2:11" ht="15.75" customHeight="1" x14ac:dyDescent="0.2">
      <c r="B23" s="9" t="s">
        <v>21</v>
      </c>
      <c r="C23" s="12" t="s">
        <v>59</v>
      </c>
      <c r="D23" s="11">
        <v>440</v>
      </c>
      <c r="E23" s="22">
        <v>400</v>
      </c>
      <c r="F23" s="11">
        <v>447</v>
      </c>
      <c r="H23" s="12" t="s">
        <v>18</v>
      </c>
      <c r="I23" s="17">
        <v>0</v>
      </c>
      <c r="J23" s="11">
        <v>0</v>
      </c>
      <c r="K23" s="17" t="s">
        <v>61</v>
      </c>
    </row>
    <row r="24" spans="2:11" ht="15.75" customHeight="1" x14ac:dyDescent="0.2">
      <c r="B24" s="9" t="s">
        <v>21</v>
      </c>
      <c r="C24" s="12" t="s">
        <v>63</v>
      </c>
      <c r="D24" s="11">
        <v>160</v>
      </c>
      <c r="E24" s="22">
        <v>152</v>
      </c>
      <c r="F24" s="11">
        <v>162</v>
      </c>
      <c r="H24" s="305" t="s">
        <v>23</v>
      </c>
      <c r="I24" s="297"/>
      <c r="J24" s="297"/>
      <c r="K24" s="298"/>
    </row>
    <row r="25" spans="2:11" ht="15.75" customHeight="1" x14ac:dyDescent="0.2">
      <c r="B25" s="310" t="s">
        <v>29</v>
      </c>
      <c r="C25" s="297"/>
      <c r="D25" s="297"/>
      <c r="E25" s="297"/>
      <c r="F25" s="306"/>
      <c r="H25" s="12" t="s">
        <v>12</v>
      </c>
      <c r="I25" s="17">
        <v>480</v>
      </c>
      <c r="J25" s="11">
        <v>540</v>
      </c>
      <c r="K25" s="17" t="s">
        <v>67</v>
      </c>
    </row>
    <row r="26" spans="2:11" ht="15.75" customHeight="1" x14ac:dyDescent="0.2">
      <c r="B26" s="9" t="s">
        <v>11</v>
      </c>
      <c r="C26" s="12" t="s">
        <v>12</v>
      </c>
      <c r="D26" s="11">
        <v>480</v>
      </c>
      <c r="E26" s="22">
        <v>480</v>
      </c>
      <c r="F26" s="22">
        <v>540</v>
      </c>
      <c r="H26" s="12" t="s">
        <v>18</v>
      </c>
      <c r="I26" s="17">
        <v>0</v>
      </c>
      <c r="J26" s="11">
        <v>0</v>
      </c>
      <c r="K26" s="17" t="s">
        <v>70</v>
      </c>
    </row>
    <row r="27" spans="2:11" ht="15.75" customHeight="1" x14ac:dyDescent="0.2">
      <c r="B27" s="9" t="s">
        <v>11</v>
      </c>
      <c r="C27" s="12" t="s">
        <v>18</v>
      </c>
      <c r="D27" s="11">
        <v>0</v>
      </c>
      <c r="E27" s="22">
        <v>0</v>
      </c>
      <c r="F27" s="22">
        <v>0</v>
      </c>
    </row>
    <row r="28" spans="2:11" ht="15.75" customHeight="1" x14ac:dyDescent="0.2">
      <c r="B28" s="9" t="s">
        <v>21</v>
      </c>
      <c r="C28" s="12" t="s">
        <v>59</v>
      </c>
      <c r="D28" s="11">
        <v>430</v>
      </c>
      <c r="E28" s="22">
        <v>380</v>
      </c>
      <c r="F28" s="22">
        <v>433</v>
      </c>
    </row>
    <row r="29" spans="2:11" ht="15.75" customHeight="1" x14ac:dyDescent="0.2">
      <c r="B29" s="9" t="s">
        <v>21</v>
      </c>
      <c r="C29" s="12" t="s">
        <v>63</v>
      </c>
      <c r="D29" s="11">
        <v>150</v>
      </c>
      <c r="E29" s="22">
        <v>130</v>
      </c>
      <c r="F29" s="22">
        <v>159</v>
      </c>
    </row>
    <row r="30" spans="2:11" ht="15.75" customHeight="1" x14ac:dyDescent="0.2">
      <c r="C30" s="2"/>
    </row>
    <row r="31" spans="2:11" ht="15.75" customHeight="1" x14ac:dyDescent="0.2">
      <c r="C31" s="2"/>
    </row>
    <row r="32" spans="2:11" ht="15.75" customHeight="1" x14ac:dyDescent="0.2">
      <c r="C32" s="2"/>
    </row>
    <row r="33" spans="1:17" ht="15.75" customHeight="1" x14ac:dyDescent="0.2">
      <c r="C33" s="2"/>
    </row>
    <row r="34" spans="1:17" ht="15.75" customHeight="1" x14ac:dyDescent="0.2">
      <c r="C34" s="2"/>
    </row>
    <row r="35" spans="1:17" ht="15.75" customHeight="1" x14ac:dyDescent="0.25">
      <c r="B35" s="21" t="s">
        <v>74</v>
      </c>
      <c r="C35" s="2"/>
    </row>
    <row r="36" spans="1:17" ht="15.75" customHeight="1" x14ac:dyDescent="0.25">
      <c r="B36" s="23" t="s">
        <v>75</v>
      </c>
      <c r="C36" s="2"/>
    </row>
    <row r="37" spans="1:17" ht="15.75" customHeight="1" x14ac:dyDescent="0.2">
      <c r="C37" s="2"/>
    </row>
    <row r="38" spans="1:17" ht="15.75" customHeight="1" x14ac:dyDescent="0.2">
      <c r="C38" s="2"/>
    </row>
    <row r="39" spans="1:17" ht="15.75" customHeight="1" x14ac:dyDescent="0.2">
      <c r="B39" s="4" t="s">
        <v>0</v>
      </c>
      <c r="C39" s="5" t="s">
        <v>1</v>
      </c>
      <c r="D39" s="5" t="s">
        <v>42</v>
      </c>
      <c r="E39" s="5" t="s">
        <v>43</v>
      </c>
      <c r="F39" s="5" t="s">
        <v>44</v>
      </c>
      <c r="H39" s="296" t="s">
        <v>45</v>
      </c>
      <c r="I39" s="297"/>
      <c r="J39" s="297"/>
      <c r="K39" s="298"/>
    </row>
    <row r="40" spans="1:17" ht="15.75" customHeight="1" x14ac:dyDescent="0.2">
      <c r="B40" s="310" t="s">
        <v>8</v>
      </c>
      <c r="C40" s="297"/>
      <c r="D40" s="297"/>
      <c r="E40" s="297"/>
      <c r="F40" s="306"/>
      <c r="H40" s="305" t="s">
        <v>10</v>
      </c>
      <c r="I40" s="297"/>
      <c r="J40" s="297"/>
      <c r="K40" s="298"/>
    </row>
    <row r="41" spans="1:17" ht="15.75" customHeight="1" x14ac:dyDescent="0.2">
      <c r="B41" s="9" t="s">
        <v>11</v>
      </c>
      <c r="C41" s="12" t="s">
        <v>12</v>
      </c>
      <c r="D41" s="11">
        <v>700</v>
      </c>
      <c r="E41" s="22">
        <v>700</v>
      </c>
      <c r="F41" s="11">
        <v>820</v>
      </c>
      <c r="H41" s="12"/>
      <c r="I41" s="12" t="s">
        <v>52</v>
      </c>
      <c r="J41" s="12" t="s">
        <v>53</v>
      </c>
      <c r="K41" s="12"/>
    </row>
    <row r="42" spans="1:17" ht="15.75" customHeight="1" x14ac:dyDescent="0.2">
      <c r="B42" s="9" t="s">
        <v>11</v>
      </c>
      <c r="C42" s="12" t="s">
        <v>18</v>
      </c>
      <c r="D42" s="11">
        <v>0</v>
      </c>
      <c r="E42" s="22">
        <v>0</v>
      </c>
      <c r="F42" s="11">
        <v>0</v>
      </c>
      <c r="H42" s="12" t="s">
        <v>12</v>
      </c>
      <c r="I42" s="17">
        <v>700</v>
      </c>
      <c r="J42" s="11">
        <v>820</v>
      </c>
      <c r="K42" s="17" t="s">
        <v>85</v>
      </c>
    </row>
    <row r="43" spans="1:17" ht="15.75" customHeight="1" x14ac:dyDescent="0.2">
      <c r="B43" s="9" t="s">
        <v>21</v>
      </c>
      <c r="C43" s="12" t="s">
        <v>59</v>
      </c>
      <c r="D43" s="11">
        <v>440</v>
      </c>
      <c r="E43" s="22">
        <v>490</v>
      </c>
      <c r="F43" s="11">
        <v>445</v>
      </c>
      <c r="H43" s="12" t="s">
        <v>18</v>
      </c>
      <c r="I43" s="24">
        <v>0</v>
      </c>
      <c r="J43" s="25">
        <v>0</v>
      </c>
      <c r="K43" s="24" t="s">
        <v>93</v>
      </c>
    </row>
    <row r="44" spans="1:17" ht="15.75" customHeight="1" x14ac:dyDescent="0.25">
      <c r="B44" s="12" t="s">
        <v>21</v>
      </c>
      <c r="C44" s="12" t="s">
        <v>63</v>
      </c>
      <c r="D44" s="25">
        <v>160</v>
      </c>
      <c r="E44" s="26">
        <v>170</v>
      </c>
      <c r="F44" s="25">
        <v>164</v>
      </c>
      <c r="H44" s="330"/>
      <c r="I44" s="315"/>
      <c r="J44" s="315"/>
      <c r="K44" s="315"/>
      <c r="L44" s="28"/>
    </row>
    <row r="45" spans="1:17" ht="15.75" customHeight="1" x14ac:dyDescent="0.25">
      <c r="A45" s="28"/>
      <c r="B45" s="329"/>
      <c r="C45" s="315"/>
      <c r="D45" s="315"/>
      <c r="E45" s="315"/>
      <c r="F45" s="315"/>
      <c r="G45" s="28"/>
      <c r="H45" s="27"/>
      <c r="I45" s="27"/>
      <c r="J45" s="31"/>
      <c r="K45" s="27"/>
      <c r="L45" s="28"/>
    </row>
    <row r="46" spans="1:17" ht="15.75" customHeight="1" x14ac:dyDescent="0.25">
      <c r="A46" s="29"/>
      <c r="B46" s="33"/>
      <c r="C46" s="33"/>
      <c r="D46" s="35"/>
      <c r="E46" s="36"/>
      <c r="F46" s="36"/>
      <c r="G46" s="29"/>
      <c r="H46" s="33"/>
      <c r="I46" s="33"/>
      <c r="J46" s="35"/>
      <c r="K46" s="33"/>
      <c r="L46" s="29"/>
      <c r="M46" s="29"/>
      <c r="N46" s="29"/>
      <c r="O46" s="29"/>
      <c r="P46" s="29"/>
      <c r="Q46" s="29"/>
    </row>
    <row r="47" spans="1:17" ht="15.75" customHeight="1" x14ac:dyDescent="0.25">
      <c r="A47" s="28"/>
      <c r="B47" s="27"/>
      <c r="C47" s="27"/>
      <c r="D47" s="31"/>
      <c r="E47" s="38"/>
      <c r="F47" s="38"/>
    </row>
    <row r="48" spans="1:17" ht="15.75" customHeight="1" x14ac:dyDescent="0.25">
      <c r="A48" s="28"/>
      <c r="B48" s="21" t="s">
        <v>101</v>
      </c>
      <c r="C48" s="2"/>
    </row>
    <row r="49" spans="1:11" ht="15.75" customHeight="1" x14ac:dyDescent="0.25">
      <c r="A49" s="28"/>
      <c r="B49" s="23" t="s">
        <v>102</v>
      </c>
      <c r="C49" s="2"/>
    </row>
    <row r="50" spans="1:11" ht="15.75" customHeight="1" x14ac:dyDescent="0.25">
      <c r="A50" s="28"/>
      <c r="C50" s="2"/>
    </row>
    <row r="51" spans="1:11" ht="15.75" customHeight="1" x14ac:dyDescent="0.2">
      <c r="C51" s="2"/>
    </row>
    <row r="52" spans="1:11" ht="24.75" customHeight="1" x14ac:dyDescent="0.2">
      <c r="B52" s="4" t="s">
        <v>0</v>
      </c>
      <c r="C52" s="5" t="s">
        <v>1</v>
      </c>
      <c r="D52" s="5" t="s">
        <v>42</v>
      </c>
      <c r="E52" s="5" t="s">
        <v>43</v>
      </c>
      <c r="F52" s="5" t="s">
        <v>44</v>
      </c>
      <c r="H52" s="296" t="s">
        <v>45</v>
      </c>
      <c r="I52" s="297"/>
      <c r="J52" s="297"/>
      <c r="K52" s="298"/>
    </row>
    <row r="53" spans="1:11" ht="15.75" customHeight="1" x14ac:dyDescent="0.2">
      <c r="B53" s="310" t="s">
        <v>8</v>
      </c>
      <c r="C53" s="297"/>
      <c r="D53" s="297"/>
      <c r="E53" s="297"/>
      <c r="F53" s="306"/>
      <c r="H53" s="305" t="s">
        <v>10</v>
      </c>
      <c r="I53" s="297"/>
      <c r="J53" s="297"/>
      <c r="K53" s="298"/>
    </row>
    <row r="54" spans="1:11" ht="15.75" customHeight="1" x14ac:dyDescent="0.2">
      <c r="B54" s="9" t="s">
        <v>11</v>
      </c>
      <c r="C54" s="12" t="s">
        <v>12</v>
      </c>
      <c r="D54" s="11">
        <v>750</v>
      </c>
      <c r="E54" s="22">
        <v>792</v>
      </c>
      <c r="F54" s="11">
        <v>745</v>
      </c>
      <c r="H54" s="12"/>
      <c r="I54" s="12" t="s">
        <v>52</v>
      </c>
      <c r="J54" s="12" t="s">
        <v>53</v>
      </c>
      <c r="K54" s="12"/>
    </row>
    <row r="55" spans="1:11" ht="15.75" customHeight="1" x14ac:dyDescent="0.2">
      <c r="B55" s="9" t="s">
        <v>11</v>
      </c>
      <c r="C55" s="12" t="s">
        <v>18</v>
      </c>
      <c r="D55" s="11">
        <v>0</v>
      </c>
      <c r="E55" s="22">
        <v>0</v>
      </c>
      <c r="F55" s="11">
        <v>0</v>
      </c>
      <c r="H55" s="12" t="s">
        <v>12</v>
      </c>
      <c r="I55" s="17">
        <v>750</v>
      </c>
      <c r="J55" s="11">
        <v>745</v>
      </c>
      <c r="K55" s="17" t="s">
        <v>103</v>
      </c>
    </row>
    <row r="56" spans="1:11" ht="15.75" customHeight="1" x14ac:dyDescent="0.2">
      <c r="B56" s="9" t="s">
        <v>21</v>
      </c>
      <c r="C56" s="12" t="s">
        <v>59</v>
      </c>
      <c r="D56" s="11">
        <v>440</v>
      </c>
      <c r="E56" s="22">
        <v>512</v>
      </c>
      <c r="F56" s="11">
        <v>438</v>
      </c>
      <c r="H56" s="12" t="s">
        <v>18</v>
      </c>
      <c r="I56" s="17">
        <v>0</v>
      </c>
      <c r="J56" s="11">
        <v>0</v>
      </c>
      <c r="K56" s="17" t="s">
        <v>104</v>
      </c>
    </row>
    <row r="57" spans="1:11" ht="15.75" customHeight="1" x14ac:dyDescent="0.2">
      <c r="B57" s="9" t="s">
        <v>21</v>
      </c>
      <c r="C57" s="12" t="s">
        <v>63</v>
      </c>
      <c r="D57" s="11">
        <v>160</v>
      </c>
      <c r="E57" s="22">
        <v>230</v>
      </c>
      <c r="F57" s="11">
        <v>159</v>
      </c>
      <c r="H57" s="305" t="s">
        <v>23</v>
      </c>
      <c r="I57" s="297"/>
      <c r="J57" s="297"/>
      <c r="K57" s="298"/>
    </row>
    <row r="58" spans="1:11" ht="15.75" customHeight="1" x14ac:dyDescent="0.2">
      <c r="B58" s="310" t="s">
        <v>29</v>
      </c>
      <c r="C58" s="297"/>
      <c r="D58" s="297"/>
      <c r="E58" s="297"/>
      <c r="F58" s="306"/>
      <c r="H58" s="12" t="s">
        <v>12</v>
      </c>
      <c r="I58" s="17">
        <v>700</v>
      </c>
      <c r="J58" s="11">
        <v>725</v>
      </c>
      <c r="K58" s="17" t="s">
        <v>105</v>
      </c>
    </row>
    <row r="59" spans="1:11" ht="15.75" customHeight="1" x14ac:dyDescent="0.2">
      <c r="B59" s="9" t="s">
        <v>11</v>
      </c>
      <c r="C59" s="12" t="s">
        <v>12</v>
      </c>
      <c r="D59" s="11">
        <v>700</v>
      </c>
      <c r="E59" s="22">
        <v>751</v>
      </c>
      <c r="F59" s="22">
        <v>725</v>
      </c>
      <c r="H59" s="12" t="s">
        <v>18</v>
      </c>
      <c r="I59" s="17">
        <v>0</v>
      </c>
      <c r="J59" s="11">
        <v>0</v>
      </c>
      <c r="K59" s="17" t="s">
        <v>108</v>
      </c>
    </row>
    <row r="60" spans="1:11" ht="15.75" customHeight="1" x14ac:dyDescent="0.2">
      <c r="B60" s="9" t="s">
        <v>11</v>
      </c>
      <c r="C60" s="12" t="s">
        <v>18</v>
      </c>
      <c r="D60" s="11">
        <v>0</v>
      </c>
      <c r="E60" s="22">
        <v>0</v>
      </c>
      <c r="F60" s="22">
        <v>0</v>
      </c>
    </row>
    <row r="61" spans="1:11" ht="15.75" customHeight="1" x14ac:dyDescent="0.2">
      <c r="B61" s="9" t="s">
        <v>21</v>
      </c>
      <c r="C61" s="12" t="s">
        <v>59</v>
      </c>
      <c r="D61" s="11">
        <v>430</v>
      </c>
      <c r="E61" s="22">
        <v>467</v>
      </c>
      <c r="F61" s="22">
        <v>425</v>
      </c>
    </row>
    <row r="62" spans="1:11" ht="15.75" customHeight="1" x14ac:dyDescent="0.2">
      <c r="B62" s="9" t="s">
        <v>21</v>
      </c>
      <c r="C62" s="12" t="s">
        <v>63</v>
      </c>
      <c r="D62" s="11">
        <v>150</v>
      </c>
      <c r="E62" s="22">
        <v>212</v>
      </c>
      <c r="F62" s="22">
        <v>151</v>
      </c>
    </row>
    <row r="63" spans="1:11" ht="15.75" customHeight="1" x14ac:dyDescent="0.2">
      <c r="C63" s="2"/>
    </row>
    <row r="64" spans="1:11" ht="15.75" customHeight="1" x14ac:dyDescent="0.2">
      <c r="C64" s="2"/>
    </row>
    <row r="65" spans="1:17" ht="15.75" customHeight="1" x14ac:dyDescent="0.2">
      <c r="B65" s="27" t="s">
        <v>109</v>
      </c>
      <c r="C65" s="2"/>
    </row>
    <row r="66" spans="1:17" ht="15.75" customHeight="1" x14ac:dyDescent="0.25">
      <c r="C66" s="2"/>
      <c r="F66" s="21">
        <v>941.1</v>
      </c>
    </row>
    <row r="67" spans="1:17" ht="15.75" customHeight="1" x14ac:dyDescent="0.25">
      <c r="A67" s="29"/>
      <c r="B67" s="29"/>
      <c r="C67" s="32"/>
      <c r="D67" s="29"/>
      <c r="E67" s="29"/>
      <c r="F67" s="29"/>
      <c r="G67" s="29"/>
      <c r="H67" s="29"/>
      <c r="I67" s="29"/>
      <c r="J67" s="29"/>
      <c r="K67" s="29"/>
      <c r="L67" s="29"/>
      <c r="M67" s="29"/>
      <c r="N67" s="29"/>
      <c r="O67" s="29"/>
      <c r="P67" s="29"/>
      <c r="Q67" s="29"/>
    </row>
    <row r="68" spans="1:17" ht="15.75" customHeight="1" x14ac:dyDescent="0.2">
      <c r="C68" s="2"/>
    </row>
    <row r="69" spans="1:17" ht="15.75" customHeight="1" x14ac:dyDescent="0.25">
      <c r="B69" s="21" t="s">
        <v>111</v>
      </c>
      <c r="C69" s="2"/>
    </row>
    <row r="70" spans="1:17" ht="15.75" customHeight="1" x14ac:dyDescent="0.25">
      <c r="B70" s="23" t="s">
        <v>75</v>
      </c>
      <c r="C70" s="2"/>
    </row>
    <row r="71" spans="1:17" ht="15.75" customHeight="1" x14ac:dyDescent="0.2">
      <c r="C71" s="2"/>
    </row>
    <row r="72" spans="1:17" ht="15.75" customHeight="1" x14ac:dyDescent="0.2">
      <c r="B72" s="4" t="s">
        <v>0</v>
      </c>
      <c r="C72" s="5" t="s">
        <v>1</v>
      </c>
      <c r="D72" s="5" t="s">
        <v>42</v>
      </c>
      <c r="E72" s="5" t="s">
        <v>43</v>
      </c>
      <c r="F72" s="5" t="s">
        <v>44</v>
      </c>
      <c r="H72" s="296" t="s">
        <v>45</v>
      </c>
      <c r="I72" s="297"/>
      <c r="J72" s="297"/>
      <c r="K72" s="298"/>
    </row>
    <row r="73" spans="1:17" ht="15.75" customHeight="1" x14ac:dyDescent="0.2">
      <c r="B73" s="310" t="s">
        <v>8</v>
      </c>
      <c r="C73" s="297"/>
      <c r="D73" s="297"/>
      <c r="E73" s="297"/>
      <c r="F73" s="306"/>
      <c r="H73" s="305" t="s">
        <v>10</v>
      </c>
      <c r="I73" s="297"/>
      <c r="J73" s="297"/>
      <c r="K73" s="298"/>
    </row>
    <row r="74" spans="1:17" ht="15.75" customHeight="1" x14ac:dyDescent="0.2">
      <c r="B74" s="9" t="s">
        <v>11</v>
      </c>
      <c r="C74" s="12" t="s">
        <v>12</v>
      </c>
      <c r="D74" s="11">
        <v>820</v>
      </c>
      <c r="E74" s="22">
        <v>821</v>
      </c>
      <c r="F74" s="11">
        <v>820</v>
      </c>
      <c r="H74" s="12"/>
      <c r="I74" s="12" t="s">
        <v>52</v>
      </c>
      <c r="J74" s="12" t="s">
        <v>53</v>
      </c>
      <c r="K74" s="12"/>
    </row>
    <row r="75" spans="1:17" ht="15.75" customHeight="1" x14ac:dyDescent="0.2">
      <c r="B75" s="9" t="s">
        <v>11</v>
      </c>
      <c r="C75" s="12" t="s">
        <v>18</v>
      </c>
      <c r="D75" s="11">
        <v>0</v>
      </c>
      <c r="E75" s="22">
        <v>0</v>
      </c>
      <c r="F75" s="11">
        <v>0</v>
      </c>
      <c r="H75" s="12" t="s">
        <v>12</v>
      </c>
      <c r="I75" s="17">
        <v>820</v>
      </c>
      <c r="J75" s="11">
        <v>820</v>
      </c>
      <c r="K75" s="17" t="s">
        <v>120</v>
      </c>
    </row>
    <row r="76" spans="1:17" ht="15.75" customHeight="1" x14ac:dyDescent="0.2">
      <c r="B76" s="9" t="s">
        <v>21</v>
      </c>
      <c r="C76" s="12" t="s">
        <v>59</v>
      </c>
      <c r="D76" s="11">
        <v>440</v>
      </c>
      <c r="E76" s="22">
        <v>567</v>
      </c>
      <c r="F76" s="11">
        <v>441</v>
      </c>
      <c r="H76" s="12" t="s">
        <v>18</v>
      </c>
      <c r="I76" s="17">
        <v>0</v>
      </c>
      <c r="J76" s="11">
        <v>0</v>
      </c>
      <c r="K76" s="17" t="s">
        <v>123</v>
      </c>
    </row>
    <row r="77" spans="1:17" ht="15.75" customHeight="1" x14ac:dyDescent="0.2">
      <c r="B77" s="9" t="s">
        <v>21</v>
      </c>
      <c r="C77" s="12" t="s">
        <v>63</v>
      </c>
      <c r="D77" s="11">
        <v>160</v>
      </c>
      <c r="E77" s="22">
        <v>204</v>
      </c>
      <c r="F77" s="11">
        <v>161</v>
      </c>
    </row>
    <row r="78" spans="1:17" ht="15.75" customHeight="1" x14ac:dyDescent="0.2">
      <c r="C78" s="2"/>
    </row>
    <row r="79" spans="1:17" ht="15.75" customHeight="1" x14ac:dyDescent="0.2">
      <c r="B79" s="27" t="s">
        <v>126</v>
      </c>
      <c r="C79" s="2"/>
    </row>
    <row r="80" spans="1:17" ht="15.75" customHeight="1" x14ac:dyDescent="0.2">
      <c r="C80" s="2"/>
    </row>
    <row r="81" spans="1:17" ht="15.75" customHeight="1" x14ac:dyDescent="0.25">
      <c r="A81" s="29"/>
      <c r="B81" s="29"/>
      <c r="C81" s="32"/>
      <c r="D81" s="29"/>
      <c r="E81" s="29"/>
      <c r="F81" s="29"/>
      <c r="G81" s="29"/>
      <c r="H81" s="29"/>
      <c r="I81" s="29"/>
      <c r="J81" s="29"/>
      <c r="K81" s="29"/>
      <c r="L81" s="29"/>
      <c r="M81" s="29"/>
      <c r="N81" s="29"/>
      <c r="O81" s="29"/>
      <c r="P81" s="29"/>
      <c r="Q81" s="29"/>
    </row>
    <row r="82" spans="1:17" ht="15.75" customHeight="1" x14ac:dyDescent="0.2">
      <c r="C82" s="2"/>
    </row>
    <row r="83" spans="1:17" ht="15.75" customHeight="1" x14ac:dyDescent="0.25">
      <c r="B83" s="21" t="s">
        <v>127</v>
      </c>
      <c r="C83" s="2"/>
    </row>
    <row r="84" spans="1:17" ht="15.75" customHeight="1" x14ac:dyDescent="0.25">
      <c r="B84" s="23" t="s">
        <v>75</v>
      </c>
      <c r="C84" s="2"/>
    </row>
    <row r="85" spans="1:17" ht="15.75" customHeight="1" x14ac:dyDescent="0.2">
      <c r="C85" s="2"/>
    </row>
    <row r="86" spans="1:17" ht="15.75" customHeight="1" x14ac:dyDescent="0.2">
      <c r="B86" s="4" t="s">
        <v>0</v>
      </c>
      <c r="C86" s="5" t="s">
        <v>1</v>
      </c>
      <c r="D86" s="5" t="s">
        <v>42</v>
      </c>
      <c r="E86" s="5" t="s">
        <v>43</v>
      </c>
      <c r="F86" s="5" t="s">
        <v>44</v>
      </c>
      <c r="H86" s="296" t="s">
        <v>45</v>
      </c>
      <c r="I86" s="297"/>
      <c r="J86" s="297"/>
      <c r="K86" s="298"/>
      <c r="M86" s="324" t="s">
        <v>128</v>
      </c>
      <c r="N86" s="315"/>
      <c r="O86" s="315"/>
      <c r="P86" s="315"/>
    </row>
    <row r="87" spans="1:17" ht="15.75" customHeight="1" x14ac:dyDescent="0.2">
      <c r="B87" s="310" t="s">
        <v>8</v>
      </c>
      <c r="C87" s="297"/>
      <c r="D87" s="297"/>
      <c r="E87" s="297"/>
      <c r="F87" s="306"/>
      <c r="H87" s="305" t="s">
        <v>10</v>
      </c>
      <c r="I87" s="297"/>
      <c r="J87" s="297"/>
      <c r="K87" s="298"/>
      <c r="M87" s="315"/>
      <c r="N87" s="315"/>
      <c r="O87" s="315"/>
      <c r="P87" s="315"/>
    </row>
    <row r="88" spans="1:17" ht="15.75" customHeight="1" x14ac:dyDescent="0.2">
      <c r="B88" s="9" t="s">
        <v>11</v>
      </c>
      <c r="C88" s="12" t="s">
        <v>12</v>
      </c>
      <c r="D88" s="11">
        <v>825</v>
      </c>
      <c r="E88" s="22"/>
      <c r="F88" s="11">
        <v>825</v>
      </c>
      <c r="H88" s="12"/>
      <c r="I88" s="12" t="s">
        <v>52</v>
      </c>
      <c r="J88" s="12" t="s">
        <v>53</v>
      </c>
      <c r="K88" s="12"/>
      <c r="M88" s="315"/>
      <c r="N88" s="315"/>
      <c r="O88" s="315"/>
      <c r="P88" s="315"/>
    </row>
    <row r="89" spans="1:17" ht="15.75" customHeight="1" x14ac:dyDescent="0.2">
      <c r="B89" s="9" t="s">
        <v>11</v>
      </c>
      <c r="C89" s="12" t="s">
        <v>18</v>
      </c>
      <c r="D89" s="11">
        <v>0</v>
      </c>
      <c r="E89" s="22"/>
      <c r="F89" s="11">
        <v>0</v>
      </c>
      <c r="H89" s="12" t="s">
        <v>12</v>
      </c>
      <c r="I89" s="11">
        <v>820</v>
      </c>
      <c r="J89" s="11">
        <v>825</v>
      </c>
      <c r="K89" s="17" t="s">
        <v>131</v>
      </c>
      <c r="M89" s="315"/>
      <c r="N89" s="315"/>
      <c r="O89" s="315"/>
      <c r="P89" s="315"/>
    </row>
    <row r="90" spans="1:17" ht="15.75" customHeight="1" x14ac:dyDescent="0.2">
      <c r="B90" s="9" t="s">
        <v>21</v>
      </c>
      <c r="C90" s="12" t="s">
        <v>59</v>
      </c>
      <c r="D90" s="11">
        <v>440</v>
      </c>
      <c r="E90" s="22"/>
      <c r="F90" s="11">
        <v>446</v>
      </c>
      <c r="H90" s="12" t="s">
        <v>18</v>
      </c>
      <c r="I90" s="11">
        <v>0</v>
      </c>
      <c r="J90" s="11">
        <v>0</v>
      </c>
      <c r="K90" s="17" t="s">
        <v>133</v>
      </c>
      <c r="M90" s="315"/>
      <c r="N90" s="315"/>
      <c r="O90" s="315"/>
      <c r="P90" s="315"/>
    </row>
    <row r="91" spans="1:17" ht="15.75" customHeight="1" x14ac:dyDescent="0.2">
      <c r="B91" s="9" t="s">
        <v>21</v>
      </c>
      <c r="C91" s="12" t="s">
        <v>63</v>
      </c>
      <c r="D91" s="11">
        <v>160</v>
      </c>
      <c r="E91" s="22"/>
      <c r="F91" s="11">
        <v>164</v>
      </c>
    </row>
    <row r="92" spans="1:17" ht="15.75" customHeight="1" x14ac:dyDescent="0.2">
      <c r="C92" s="2"/>
    </row>
    <row r="93" spans="1:17" ht="15.75" customHeight="1" x14ac:dyDescent="0.25">
      <c r="A93" s="29"/>
      <c r="B93" s="29"/>
      <c r="C93" s="32"/>
      <c r="D93" s="29"/>
      <c r="E93" s="29"/>
      <c r="F93" s="29"/>
      <c r="G93" s="29"/>
      <c r="H93" s="29"/>
      <c r="I93" s="29"/>
      <c r="J93" s="29"/>
      <c r="K93" s="29"/>
      <c r="L93" s="29"/>
      <c r="M93" s="29"/>
      <c r="N93" s="29"/>
      <c r="O93" s="29"/>
      <c r="P93" s="29"/>
      <c r="Q93" s="29"/>
    </row>
    <row r="94" spans="1:17" ht="15.75" customHeight="1" x14ac:dyDescent="0.2">
      <c r="C94" s="2"/>
    </row>
    <row r="95" spans="1:17" ht="15.75" customHeight="1" x14ac:dyDescent="0.25">
      <c r="B95" s="21" t="s">
        <v>127</v>
      </c>
      <c r="C95" s="2"/>
    </row>
    <row r="96" spans="1:17" ht="15.75" customHeight="1" x14ac:dyDescent="0.25">
      <c r="B96" s="23" t="s">
        <v>137</v>
      </c>
      <c r="C96" s="2"/>
    </row>
    <row r="97" spans="1:18" ht="15.75" customHeight="1" x14ac:dyDescent="0.2">
      <c r="C97" s="2"/>
    </row>
    <row r="98" spans="1:18" ht="15.75" customHeight="1" x14ac:dyDescent="0.2">
      <c r="C98" s="2"/>
    </row>
    <row r="99" spans="1:18" ht="15.75" customHeight="1" x14ac:dyDescent="0.2">
      <c r="B99" s="4" t="s">
        <v>0</v>
      </c>
      <c r="C99" s="5" t="s">
        <v>1</v>
      </c>
      <c r="D99" s="5" t="s">
        <v>42</v>
      </c>
      <c r="E99" s="5" t="s">
        <v>43</v>
      </c>
      <c r="F99" s="5" t="s">
        <v>44</v>
      </c>
      <c r="H99" s="296" t="s">
        <v>45</v>
      </c>
      <c r="I99" s="297"/>
      <c r="J99" s="297"/>
      <c r="K99" s="298"/>
      <c r="M99" s="331" t="s">
        <v>139</v>
      </c>
      <c r="N99" s="315"/>
      <c r="O99" s="315"/>
    </row>
    <row r="100" spans="1:18" ht="15.75" customHeight="1" x14ac:dyDescent="0.2">
      <c r="B100" s="310" t="s">
        <v>8</v>
      </c>
      <c r="C100" s="297"/>
      <c r="D100" s="297"/>
      <c r="E100" s="297"/>
      <c r="F100" s="306"/>
      <c r="H100" s="305" t="s">
        <v>10</v>
      </c>
      <c r="I100" s="297"/>
      <c r="J100" s="297"/>
      <c r="K100" s="298"/>
      <c r="M100" s="315"/>
      <c r="N100" s="315"/>
      <c r="O100" s="315"/>
    </row>
    <row r="101" spans="1:18" ht="15.75" customHeight="1" x14ac:dyDescent="0.2">
      <c r="B101" s="9" t="s">
        <v>11</v>
      </c>
      <c r="C101" s="12" t="s">
        <v>12</v>
      </c>
      <c r="D101" s="11">
        <v>560</v>
      </c>
      <c r="E101" s="22">
        <v>560</v>
      </c>
      <c r="F101" s="11">
        <v>507</v>
      </c>
      <c r="H101" s="12"/>
      <c r="I101" s="12" t="s">
        <v>52</v>
      </c>
      <c r="J101" s="12" t="s">
        <v>53</v>
      </c>
      <c r="K101" s="12"/>
      <c r="M101" s="315"/>
      <c r="N101" s="315"/>
      <c r="O101" s="315"/>
    </row>
    <row r="102" spans="1:18" ht="15.75" customHeight="1" x14ac:dyDescent="0.2">
      <c r="B102" s="9" t="s">
        <v>11</v>
      </c>
      <c r="C102" s="12" t="s">
        <v>18</v>
      </c>
      <c r="D102" s="11">
        <v>0</v>
      </c>
      <c r="E102" s="22">
        <v>0</v>
      </c>
      <c r="F102" s="11">
        <v>0</v>
      </c>
      <c r="H102" s="12" t="s">
        <v>12</v>
      </c>
      <c r="I102" s="17">
        <f>D101</f>
        <v>560</v>
      </c>
      <c r="J102" s="17">
        <v>500</v>
      </c>
      <c r="K102" s="17" t="s">
        <v>141</v>
      </c>
    </row>
    <row r="103" spans="1:18" ht="15.75" customHeight="1" x14ac:dyDescent="0.2">
      <c r="B103" s="9" t="s">
        <v>21</v>
      </c>
      <c r="C103" s="12" t="s">
        <v>59</v>
      </c>
      <c r="D103" s="11">
        <v>440</v>
      </c>
      <c r="E103" s="22">
        <v>560</v>
      </c>
      <c r="F103" s="11">
        <v>437</v>
      </c>
      <c r="H103" s="12" t="s">
        <v>18</v>
      </c>
      <c r="I103" s="17">
        <v>0</v>
      </c>
      <c r="J103" s="17">
        <v>0</v>
      </c>
      <c r="K103" s="17" t="s">
        <v>142</v>
      </c>
    </row>
    <row r="104" spans="1:18" ht="15.75" customHeight="1" x14ac:dyDescent="0.2">
      <c r="B104" s="9" t="s">
        <v>21</v>
      </c>
      <c r="C104" s="12" t="s">
        <v>63</v>
      </c>
      <c r="D104" s="11">
        <v>160</v>
      </c>
      <c r="E104" s="22">
        <v>387</v>
      </c>
      <c r="F104" s="11">
        <v>162</v>
      </c>
      <c r="H104" s="305" t="s">
        <v>23</v>
      </c>
      <c r="I104" s="297"/>
      <c r="J104" s="297"/>
      <c r="K104" s="298"/>
    </row>
    <row r="105" spans="1:18" ht="15.75" customHeight="1" x14ac:dyDescent="0.2">
      <c r="B105" s="310" t="s">
        <v>29</v>
      </c>
      <c r="C105" s="297"/>
      <c r="D105" s="297"/>
      <c r="E105" s="297"/>
      <c r="F105" s="306"/>
      <c r="H105" s="12" t="s">
        <v>12</v>
      </c>
      <c r="I105" s="17">
        <f>D106</f>
        <v>540</v>
      </c>
      <c r="J105" s="17">
        <v>480</v>
      </c>
      <c r="K105" s="17" t="s">
        <v>143</v>
      </c>
    </row>
    <row r="106" spans="1:18" ht="15.75" customHeight="1" x14ac:dyDescent="0.2">
      <c r="B106" s="9" t="s">
        <v>11</v>
      </c>
      <c r="C106" s="12" t="s">
        <v>12</v>
      </c>
      <c r="D106" s="11">
        <v>540</v>
      </c>
      <c r="E106" s="22">
        <v>540</v>
      </c>
      <c r="F106" s="22">
        <v>486</v>
      </c>
      <c r="H106" s="12" t="s">
        <v>18</v>
      </c>
      <c r="I106" s="17">
        <v>0</v>
      </c>
      <c r="J106" s="17">
        <v>0</v>
      </c>
      <c r="K106" s="17" t="s">
        <v>144</v>
      </c>
    </row>
    <row r="107" spans="1:18" ht="15.75" customHeight="1" x14ac:dyDescent="0.2">
      <c r="B107" s="9" t="s">
        <v>11</v>
      </c>
      <c r="C107" s="12" t="s">
        <v>18</v>
      </c>
      <c r="D107" s="11">
        <v>0</v>
      </c>
      <c r="E107" s="22">
        <v>0</v>
      </c>
      <c r="F107" s="22">
        <v>0</v>
      </c>
    </row>
    <row r="108" spans="1:18" ht="15.75" customHeight="1" x14ac:dyDescent="0.2">
      <c r="B108" s="9" t="s">
        <v>21</v>
      </c>
      <c r="C108" s="12" t="s">
        <v>59</v>
      </c>
      <c r="D108" s="11">
        <v>430</v>
      </c>
      <c r="E108" s="22">
        <v>540</v>
      </c>
      <c r="F108" s="22">
        <v>420</v>
      </c>
    </row>
    <row r="109" spans="1:18" ht="15.75" customHeight="1" x14ac:dyDescent="0.2">
      <c r="B109" s="9" t="s">
        <v>21</v>
      </c>
      <c r="C109" s="12" t="s">
        <v>63</v>
      </c>
      <c r="D109" s="11">
        <v>150</v>
      </c>
      <c r="E109" s="22">
        <v>403</v>
      </c>
      <c r="F109" s="22">
        <v>151</v>
      </c>
    </row>
    <row r="110" spans="1:18" ht="15.75" customHeight="1" x14ac:dyDescent="0.2">
      <c r="C110" s="2"/>
    </row>
    <row r="111" spans="1:18" ht="15.75" customHeight="1" x14ac:dyDescent="0.25">
      <c r="A111" s="326"/>
      <c r="B111" s="327"/>
      <c r="C111" s="327"/>
      <c r="D111" s="327"/>
      <c r="E111" s="327"/>
      <c r="F111" s="327"/>
      <c r="G111" s="327"/>
      <c r="H111" s="327"/>
      <c r="I111" s="327"/>
      <c r="J111" s="327"/>
      <c r="K111" s="327"/>
      <c r="L111" s="327"/>
      <c r="M111" s="327"/>
      <c r="N111" s="327"/>
      <c r="O111" s="327"/>
      <c r="P111" s="327"/>
      <c r="Q111" s="327"/>
      <c r="R111" s="328"/>
    </row>
    <row r="112" spans="1:18" ht="15.75" customHeight="1" x14ac:dyDescent="0.25">
      <c r="A112" s="28"/>
      <c r="B112" s="27"/>
      <c r="C112" s="27"/>
      <c r="D112" s="31"/>
      <c r="E112" s="38"/>
      <c r="F112" s="38"/>
    </row>
    <row r="113" spans="1:17" ht="15.75" customHeight="1" x14ac:dyDescent="0.25">
      <c r="A113" s="28"/>
      <c r="B113" s="21" t="s">
        <v>145</v>
      </c>
      <c r="C113" s="2"/>
    </row>
    <row r="114" spans="1:17" ht="15.75" customHeight="1" x14ac:dyDescent="0.25">
      <c r="A114" s="28"/>
      <c r="B114" s="23" t="s">
        <v>102</v>
      </c>
      <c r="C114" s="2"/>
    </row>
    <row r="115" spans="1:17" ht="15.75" customHeight="1" x14ac:dyDescent="0.25">
      <c r="A115" s="28"/>
      <c r="C115" s="2"/>
    </row>
    <row r="116" spans="1:17" ht="15.75" customHeight="1" x14ac:dyDescent="0.2">
      <c r="C116" s="2"/>
    </row>
    <row r="117" spans="1:17" ht="15.75" customHeight="1" x14ac:dyDescent="0.2">
      <c r="B117" s="4" t="s">
        <v>0</v>
      </c>
      <c r="C117" s="5" t="s">
        <v>1</v>
      </c>
      <c r="D117" s="5" t="s">
        <v>42</v>
      </c>
      <c r="E117" s="5" t="s">
        <v>43</v>
      </c>
      <c r="F117" s="5" t="s">
        <v>44</v>
      </c>
      <c r="H117" s="296" t="s">
        <v>45</v>
      </c>
      <c r="I117" s="297"/>
      <c r="J117" s="297"/>
      <c r="K117" s="298"/>
      <c r="M117" s="324" t="s">
        <v>146</v>
      </c>
      <c r="N117" s="315"/>
      <c r="O117" s="315"/>
      <c r="P117" s="315"/>
      <c r="Q117" s="315"/>
    </row>
    <row r="118" spans="1:17" ht="15.75" customHeight="1" x14ac:dyDescent="0.2">
      <c r="B118" s="310" t="s">
        <v>8</v>
      </c>
      <c r="C118" s="297"/>
      <c r="D118" s="297"/>
      <c r="E118" s="297"/>
      <c r="F118" s="306"/>
      <c r="H118" s="305" t="s">
        <v>10</v>
      </c>
      <c r="I118" s="297"/>
      <c r="J118" s="297"/>
      <c r="K118" s="298"/>
      <c r="M118" s="315"/>
      <c r="N118" s="315"/>
      <c r="O118" s="315"/>
      <c r="P118" s="315"/>
      <c r="Q118" s="315"/>
    </row>
    <row r="119" spans="1:17" ht="15.75" customHeight="1" x14ac:dyDescent="0.2">
      <c r="B119" s="9" t="s">
        <v>11</v>
      </c>
      <c r="C119" s="12" t="s">
        <v>12</v>
      </c>
      <c r="D119" s="11">
        <v>780</v>
      </c>
      <c r="E119" s="22">
        <v>745</v>
      </c>
      <c r="F119" s="11">
        <v>779</v>
      </c>
      <c r="H119" s="12"/>
      <c r="I119" s="12" t="s">
        <v>52</v>
      </c>
      <c r="J119" s="12" t="s">
        <v>53</v>
      </c>
      <c r="K119" s="12"/>
      <c r="M119" s="315"/>
      <c r="N119" s="315"/>
      <c r="O119" s="315"/>
      <c r="P119" s="315"/>
      <c r="Q119" s="315"/>
    </row>
    <row r="120" spans="1:17" ht="15.75" customHeight="1" x14ac:dyDescent="0.2">
      <c r="B120" s="9" t="s">
        <v>11</v>
      </c>
      <c r="C120" s="12" t="s">
        <v>18</v>
      </c>
      <c r="D120" s="11">
        <v>0</v>
      </c>
      <c r="E120" s="22">
        <v>0</v>
      </c>
      <c r="F120" s="11">
        <v>0</v>
      </c>
      <c r="H120" s="12" t="s">
        <v>12</v>
      </c>
      <c r="I120" s="17">
        <v>750</v>
      </c>
      <c r="J120" s="11">
        <v>780</v>
      </c>
      <c r="K120" s="17" t="s">
        <v>147</v>
      </c>
      <c r="M120" s="315"/>
      <c r="N120" s="315"/>
      <c r="O120" s="315"/>
      <c r="P120" s="315"/>
      <c r="Q120" s="315"/>
    </row>
    <row r="121" spans="1:17" ht="15.75" customHeight="1" x14ac:dyDescent="0.2">
      <c r="B121" s="9" t="s">
        <v>21</v>
      </c>
      <c r="C121" s="12" t="s">
        <v>59</v>
      </c>
      <c r="D121" s="11">
        <v>440</v>
      </c>
      <c r="E121" s="22">
        <v>737</v>
      </c>
      <c r="F121" s="11">
        <v>439</v>
      </c>
      <c r="H121" s="12" t="s">
        <v>18</v>
      </c>
      <c r="I121" s="17">
        <v>0</v>
      </c>
      <c r="J121" s="11">
        <v>0</v>
      </c>
      <c r="K121" s="17" t="s">
        <v>148</v>
      </c>
      <c r="M121" s="315"/>
      <c r="N121" s="315"/>
      <c r="O121" s="315"/>
      <c r="P121" s="315"/>
      <c r="Q121" s="315"/>
    </row>
    <row r="122" spans="1:17" ht="15.75" customHeight="1" x14ac:dyDescent="0.2">
      <c r="B122" s="9" t="s">
        <v>21</v>
      </c>
      <c r="C122" s="12" t="s">
        <v>63</v>
      </c>
      <c r="D122" s="11">
        <v>160</v>
      </c>
      <c r="E122" s="22">
        <v>256</v>
      </c>
      <c r="F122" s="11">
        <v>156</v>
      </c>
      <c r="H122" s="305" t="s">
        <v>23</v>
      </c>
      <c r="I122" s="297"/>
      <c r="J122" s="297"/>
      <c r="K122" s="298"/>
      <c r="M122" s="315"/>
      <c r="N122" s="315"/>
      <c r="O122" s="315"/>
      <c r="P122" s="315"/>
      <c r="Q122" s="315"/>
    </row>
    <row r="123" spans="1:17" ht="15.75" customHeight="1" x14ac:dyDescent="0.2">
      <c r="B123" s="310" t="s">
        <v>29</v>
      </c>
      <c r="C123" s="297"/>
      <c r="D123" s="297"/>
      <c r="E123" s="297"/>
      <c r="F123" s="306"/>
      <c r="H123" s="12" t="s">
        <v>12</v>
      </c>
      <c r="I123" s="17">
        <v>700</v>
      </c>
      <c r="J123" s="11">
        <v>760</v>
      </c>
      <c r="K123" s="17" t="s">
        <v>149</v>
      </c>
      <c r="M123" s="315"/>
      <c r="N123" s="315"/>
      <c r="O123" s="315"/>
      <c r="P123" s="315"/>
      <c r="Q123" s="315"/>
    </row>
    <row r="124" spans="1:17" ht="15.75" customHeight="1" x14ac:dyDescent="0.2">
      <c r="B124" s="9" t="s">
        <v>11</v>
      </c>
      <c r="C124" s="12" t="s">
        <v>12</v>
      </c>
      <c r="D124" s="11">
        <v>760</v>
      </c>
      <c r="E124" s="22">
        <v>725</v>
      </c>
      <c r="F124" s="22">
        <v>765</v>
      </c>
      <c r="H124" s="12" t="s">
        <v>18</v>
      </c>
      <c r="I124" s="17">
        <v>0</v>
      </c>
      <c r="J124" s="11">
        <v>0</v>
      </c>
      <c r="K124" s="17" t="s">
        <v>150</v>
      </c>
      <c r="M124" s="315"/>
      <c r="N124" s="315"/>
      <c r="O124" s="315"/>
      <c r="P124" s="315"/>
      <c r="Q124" s="315"/>
    </row>
    <row r="125" spans="1:17" ht="15.75" customHeight="1" x14ac:dyDescent="0.2">
      <c r="B125" s="9" t="s">
        <v>11</v>
      </c>
      <c r="C125" s="12" t="s">
        <v>18</v>
      </c>
      <c r="D125" s="11">
        <v>0</v>
      </c>
      <c r="E125" s="22">
        <v>0</v>
      </c>
      <c r="F125" s="22">
        <v>0</v>
      </c>
      <c r="M125" s="315"/>
      <c r="N125" s="315"/>
      <c r="O125" s="315"/>
      <c r="P125" s="315"/>
      <c r="Q125" s="315"/>
    </row>
    <row r="126" spans="1:17" ht="15.75" customHeight="1" x14ac:dyDescent="0.2">
      <c r="B126" s="9" t="s">
        <v>21</v>
      </c>
      <c r="C126" s="12" t="s">
        <v>59</v>
      </c>
      <c r="D126" s="11">
        <v>430</v>
      </c>
      <c r="E126" s="22">
        <v>725</v>
      </c>
      <c r="F126" s="22">
        <v>415</v>
      </c>
    </row>
    <row r="127" spans="1:17" ht="15.75" customHeight="1" x14ac:dyDescent="0.2">
      <c r="B127" s="9" t="s">
        <v>21</v>
      </c>
      <c r="C127" s="12" t="s">
        <v>63</v>
      </c>
      <c r="D127" s="11">
        <v>150</v>
      </c>
      <c r="E127" s="22">
        <v>249</v>
      </c>
      <c r="F127" s="22">
        <v>143</v>
      </c>
    </row>
    <row r="128" spans="1:17" ht="15.75" customHeight="1" x14ac:dyDescent="0.2">
      <c r="C128" s="2"/>
    </row>
    <row r="129" spans="1:30" ht="15.75" customHeight="1" x14ac:dyDescent="0.2">
      <c r="C129" s="2"/>
    </row>
    <row r="130" spans="1:30" ht="15.75" customHeight="1" x14ac:dyDescent="0.25">
      <c r="A130" s="326"/>
      <c r="B130" s="327"/>
      <c r="C130" s="327"/>
      <c r="D130" s="327"/>
      <c r="E130" s="327"/>
      <c r="F130" s="327"/>
      <c r="G130" s="327"/>
      <c r="H130" s="327"/>
      <c r="I130" s="327"/>
      <c r="J130" s="327"/>
      <c r="K130" s="327"/>
      <c r="L130" s="327"/>
      <c r="M130" s="327"/>
      <c r="N130" s="327"/>
      <c r="O130" s="327"/>
      <c r="P130" s="327"/>
      <c r="Q130" s="327"/>
      <c r="R130" s="328"/>
    </row>
    <row r="131" spans="1:30" ht="15.75" customHeight="1" x14ac:dyDescent="0.25">
      <c r="A131" s="28"/>
      <c r="B131" s="27"/>
      <c r="C131" s="27"/>
      <c r="D131" s="31"/>
      <c r="E131" s="38"/>
      <c r="F131" s="38"/>
    </row>
    <row r="132" spans="1:30" ht="15.75" customHeight="1" x14ac:dyDescent="0.25">
      <c r="A132" s="28"/>
      <c r="B132" s="21" t="s">
        <v>152</v>
      </c>
      <c r="C132" s="2"/>
    </row>
    <row r="133" spans="1:30" ht="15.75" customHeight="1" x14ac:dyDescent="0.25">
      <c r="A133" s="28"/>
      <c r="B133" s="23" t="s">
        <v>102</v>
      </c>
      <c r="C133" s="2"/>
    </row>
    <row r="134" spans="1:30" ht="15.75" customHeight="1" x14ac:dyDescent="0.25">
      <c r="A134" s="28"/>
      <c r="C134" s="2"/>
    </row>
    <row r="135" spans="1:30" ht="15.75" customHeight="1" x14ac:dyDescent="0.3">
      <c r="C135" s="2"/>
      <c r="S135" s="320" t="s">
        <v>153</v>
      </c>
      <c r="T135" s="297"/>
      <c r="U135" s="297"/>
      <c r="V135" s="297"/>
      <c r="W135" s="297"/>
      <c r="X135" s="298"/>
      <c r="Z135" s="321" t="s">
        <v>154</v>
      </c>
      <c r="AA135" s="322"/>
      <c r="AB135" s="322"/>
      <c r="AC135" s="322"/>
      <c r="AD135" s="323"/>
    </row>
    <row r="136" spans="1:30" ht="15.75" customHeight="1" x14ac:dyDescent="0.2">
      <c r="B136" s="4" t="s">
        <v>0</v>
      </c>
      <c r="C136" s="5" t="s">
        <v>1</v>
      </c>
      <c r="D136" s="5" t="s">
        <v>42</v>
      </c>
      <c r="E136" s="5" t="s">
        <v>43</v>
      </c>
      <c r="F136" s="5" t="s">
        <v>44</v>
      </c>
      <c r="H136" s="296" t="s">
        <v>45</v>
      </c>
      <c r="I136" s="297"/>
      <c r="J136" s="297"/>
      <c r="K136" s="298"/>
      <c r="M136" s="324" t="s">
        <v>156</v>
      </c>
      <c r="N136" s="315"/>
      <c r="O136" s="315"/>
      <c r="P136" s="315"/>
      <c r="Q136" s="315"/>
      <c r="S136" s="311" t="s">
        <v>157</v>
      </c>
      <c r="T136" s="312"/>
      <c r="U136" s="312"/>
      <c r="V136" s="312"/>
      <c r="W136" s="312"/>
      <c r="X136" s="313"/>
      <c r="Z136" s="325" t="s">
        <v>157</v>
      </c>
      <c r="AA136" s="297"/>
      <c r="AB136" s="297"/>
      <c r="AC136" s="297"/>
      <c r="AD136" s="298"/>
    </row>
    <row r="137" spans="1:30" ht="15.75" customHeight="1" x14ac:dyDescent="0.2">
      <c r="B137" s="310" t="s">
        <v>8</v>
      </c>
      <c r="C137" s="297"/>
      <c r="D137" s="297"/>
      <c r="E137" s="297"/>
      <c r="F137" s="306"/>
      <c r="H137" s="305" t="s">
        <v>10</v>
      </c>
      <c r="I137" s="297"/>
      <c r="J137" s="297"/>
      <c r="K137" s="298"/>
      <c r="M137" s="315"/>
      <c r="N137" s="315"/>
      <c r="O137" s="315"/>
      <c r="P137" s="315"/>
      <c r="Q137" s="315"/>
      <c r="S137" s="317"/>
      <c r="T137" s="318"/>
      <c r="U137" s="318"/>
      <c r="V137" s="318"/>
      <c r="W137" s="318"/>
      <c r="X137" s="319"/>
      <c r="Z137" s="58" t="s">
        <v>160</v>
      </c>
      <c r="AA137" s="59" t="s">
        <v>161</v>
      </c>
      <c r="AB137" s="59" t="s">
        <v>162</v>
      </c>
      <c r="AC137" s="61" t="s">
        <v>163</v>
      </c>
      <c r="AD137" s="62" t="s">
        <v>165</v>
      </c>
    </row>
    <row r="138" spans="1:30" ht="15.75" customHeight="1" x14ac:dyDescent="0.25">
      <c r="B138" s="9" t="s">
        <v>11</v>
      </c>
      <c r="C138" s="12" t="s">
        <v>12</v>
      </c>
      <c r="D138" s="11"/>
      <c r="E138" s="22">
        <v>65536</v>
      </c>
      <c r="F138" s="11">
        <v>840</v>
      </c>
      <c r="H138" s="12"/>
      <c r="I138" s="12" t="s">
        <v>52</v>
      </c>
      <c r="J138" s="12" t="s">
        <v>53</v>
      </c>
      <c r="K138" s="12"/>
      <c r="M138" s="315"/>
      <c r="N138" s="315"/>
      <c r="O138" s="315"/>
      <c r="P138" s="315"/>
      <c r="Q138" s="315"/>
      <c r="S138" s="63" t="s">
        <v>168</v>
      </c>
      <c r="T138" s="64" t="s">
        <v>169</v>
      </c>
      <c r="U138" s="64" t="s">
        <v>171</v>
      </c>
      <c r="V138" s="64" t="s">
        <v>172</v>
      </c>
      <c r="W138" s="65" t="s">
        <v>173</v>
      </c>
      <c r="X138" s="66" t="s">
        <v>175</v>
      </c>
      <c r="Z138" s="63" t="s">
        <v>176</v>
      </c>
      <c r="AA138" s="67">
        <v>0.38</v>
      </c>
      <c r="AB138" s="68">
        <v>1.264</v>
      </c>
      <c r="AC138" s="70">
        <f t="shared" ref="AC138:AC142" si="2">+AB138/AA138</f>
        <v>3.3263157894736843</v>
      </c>
      <c r="AD138" s="72"/>
    </row>
    <row r="139" spans="1:30" ht="15.75" customHeight="1" x14ac:dyDescent="0.25">
      <c r="B139" s="9" t="s">
        <v>11</v>
      </c>
      <c r="C139" s="12" t="s">
        <v>18</v>
      </c>
      <c r="D139" s="11">
        <v>0</v>
      </c>
      <c r="E139" s="22">
        <v>65536</v>
      </c>
      <c r="F139" s="11">
        <v>0</v>
      </c>
      <c r="H139" s="12" t="s">
        <v>12</v>
      </c>
      <c r="I139" s="17">
        <v>780</v>
      </c>
      <c r="J139" s="11">
        <v>840</v>
      </c>
      <c r="K139" s="17" t="s">
        <v>183</v>
      </c>
      <c r="M139" s="315"/>
      <c r="N139" s="315"/>
      <c r="O139" s="315"/>
      <c r="P139" s="315"/>
      <c r="Q139" s="315"/>
      <c r="S139" s="73">
        <v>440</v>
      </c>
      <c r="T139" s="74">
        <v>20</v>
      </c>
      <c r="U139" s="74">
        <f>+AB138</f>
        <v>1.264</v>
      </c>
      <c r="V139" s="76">
        <f>+AB141</f>
        <v>0</v>
      </c>
      <c r="W139" s="77">
        <f>+AB139</f>
        <v>2.1749999999999998</v>
      </c>
      <c r="X139" s="78">
        <f>(S139-T139)*(U139-V139)/(W139-V139)+T139</f>
        <v>264.08275862068967</v>
      </c>
      <c r="Z139" s="80" t="s">
        <v>188</v>
      </c>
      <c r="AA139" s="74">
        <v>0.66700000000000004</v>
      </c>
      <c r="AB139" s="82">
        <v>2.1749999999999998</v>
      </c>
      <c r="AC139" s="84">
        <f t="shared" si="2"/>
        <v>3.2608695652173907</v>
      </c>
      <c r="AD139" s="86">
        <f>(AB139-AB141)/(AB138-AB141)</f>
        <v>1.7207278481012656</v>
      </c>
    </row>
    <row r="140" spans="1:30" ht="15.75" customHeight="1" x14ac:dyDescent="0.25">
      <c r="B140" s="9" t="s">
        <v>21</v>
      </c>
      <c r="C140" s="12" t="s">
        <v>59</v>
      </c>
      <c r="D140" s="11">
        <v>440</v>
      </c>
      <c r="E140" s="22">
        <v>65536</v>
      </c>
      <c r="F140" s="11">
        <v>442</v>
      </c>
      <c r="H140" s="12" t="s">
        <v>18</v>
      </c>
      <c r="I140" s="17">
        <v>0</v>
      </c>
      <c r="J140" s="11">
        <v>0</v>
      </c>
      <c r="K140" s="17" t="s">
        <v>189</v>
      </c>
      <c r="M140" s="315"/>
      <c r="N140" s="315"/>
      <c r="O140" s="315"/>
      <c r="P140" s="315"/>
      <c r="Q140" s="315"/>
      <c r="S140" s="73" t="s">
        <v>168</v>
      </c>
      <c r="T140" s="74" t="s">
        <v>171</v>
      </c>
      <c r="U140" s="74" t="s">
        <v>190</v>
      </c>
      <c r="V140" s="74" t="s">
        <v>191</v>
      </c>
      <c r="W140" s="77" t="s">
        <v>173</v>
      </c>
      <c r="X140" s="87" t="s">
        <v>192</v>
      </c>
      <c r="Z140" s="80" t="s">
        <v>193</v>
      </c>
      <c r="AA140" s="74">
        <v>0.26</v>
      </c>
      <c r="AB140" s="82">
        <v>183</v>
      </c>
      <c r="AC140" s="84">
        <f t="shared" si="2"/>
        <v>703.84615384615381</v>
      </c>
      <c r="AD140" s="86">
        <f>(AB140-AB141)/(AB138-AB141)</f>
        <v>144.77848101265823</v>
      </c>
    </row>
    <row r="141" spans="1:30" ht="15.75" customHeight="1" x14ac:dyDescent="0.25">
      <c r="B141" s="9" t="s">
        <v>21</v>
      </c>
      <c r="C141" s="12" t="s">
        <v>63</v>
      </c>
      <c r="D141" s="11">
        <v>160</v>
      </c>
      <c r="E141" s="22">
        <v>65536</v>
      </c>
      <c r="F141" s="11">
        <v>166</v>
      </c>
      <c r="H141" s="305" t="s">
        <v>23</v>
      </c>
      <c r="I141" s="297"/>
      <c r="J141" s="297"/>
      <c r="K141" s="298"/>
      <c r="M141" s="315"/>
      <c r="N141" s="315"/>
      <c r="O141" s="315"/>
      <c r="P141" s="315"/>
      <c r="Q141" s="315"/>
      <c r="S141" s="73">
        <v>160</v>
      </c>
      <c r="T141" s="74">
        <f>+AB138</f>
        <v>1.264</v>
      </c>
      <c r="U141" s="76">
        <f>+AB141</f>
        <v>0</v>
      </c>
      <c r="V141" s="89">
        <f>+X139</f>
        <v>264.08275862068967</v>
      </c>
      <c r="W141" s="77">
        <f>+AB140</f>
        <v>183</v>
      </c>
      <c r="X141" s="90">
        <f>(S141*(T141-U141)-V141*(W141-U141))/(T141-W141)</f>
        <v>264.80666916618731</v>
      </c>
      <c r="Z141" s="80" t="s">
        <v>194</v>
      </c>
      <c r="AA141" s="74">
        <v>0.222</v>
      </c>
      <c r="AB141" s="91">
        <v>0</v>
      </c>
      <c r="AC141" s="84">
        <f t="shared" si="2"/>
        <v>0</v>
      </c>
      <c r="AD141" s="86"/>
    </row>
    <row r="142" spans="1:30" ht="15.75" customHeight="1" x14ac:dyDescent="0.25">
      <c r="B142" s="310" t="s">
        <v>29</v>
      </c>
      <c r="C142" s="297"/>
      <c r="D142" s="297"/>
      <c r="E142" s="297"/>
      <c r="F142" s="306"/>
      <c r="H142" s="12" t="s">
        <v>12</v>
      </c>
      <c r="I142" s="17">
        <v>760</v>
      </c>
      <c r="J142" s="11">
        <v>810</v>
      </c>
      <c r="K142" s="17" t="s">
        <v>195</v>
      </c>
      <c r="M142" s="315"/>
      <c r="N142" s="315"/>
      <c r="O142" s="315"/>
      <c r="P142" s="315"/>
      <c r="Q142" s="315"/>
      <c r="S142" s="80" t="s">
        <v>196</v>
      </c>
      <c r="T142" s="93"/>
      <c r="U142" s="93"/>
      <c r="V142" s="93"/>
      <c r="W142" s="94"/>
      <c r="X142" s="95"/>
      <c r="Z142" s="96" t="s">
        <v>197</v>
      </c>
      <c r="AA142" s="97">
        <v>0.40699999999999997</v>
      </c>
      <c r="AB142" s="99">
        <v>0.26200000000000001</v>
      </c>
      <c r="AC142" s="100">
        <f t="shared" si="2"/>
        <v>0.64373464373464384</v>
      </c>
      <c r="AD142" s="101">
        <f>+(AB142-AB141)/(AB138-AB141)</f>
        <v>0.20727848101265822</v>
      </c>
    </row>
    <row r="143" spans="1:30" ht="15.75" customHeight="1" x14ac:dyDescent="0.2">
      <c r="B143" s="9" t="s">
        <v>11</v>
      </c>
      <c r="C143" s="12" t="s">
        <v>12</v>
      </c>
      <c r="D143" s="11"/>
      <c r="E143" s="22">
        <v>65536</v>
      </c>
      <c r="F143" s="22">
        <v>810</v>
      </c>
      <c r="H143" s="12" t="s">
        <v>18</v>
      </c>
      <c r="I143" s="17">
        <v>0</v>
      </c>
      <c r="J143" s="11">
        <v>0</v>
      </c>
      <c r="K143" s="17" t="s">
        <v>198</v>
      </c>
      <c r="M143" s="315"/>
      <c r="N143" s="315"/>
      <c r="O143" s="315"/>
      <c r="P143" s="315"/>
      <c r="Q143" s="315"/>
      <c r="S143" s="80" t="s">
        <v>199</v>
      </c>
      <c r="T143" s="93" t="s">
        <v>169</v>
      </c>
      <c r="U143" s="93" t="s">
        <v>200</v>
      </c>
      <c r="V143" s="93" t="s">
        <v>201</v>
      </c>
      <c r="W143" s="94" t="s">
        <v>191</v>
      </c>
      <c r="X143" s="87" t="s">
        <v>202</v>
      </c>
      <c r="Z143" s="311" t="s">
        <v>203</v>
      </c>
      <c r="AA143" s="312"/>
      <c r="AB143" s="312"/>
      <c r="AC143" s="312"/>
      <c r="AD143" s="313"/>
    </row>
    <row r="144" spans="1:30" ht="15.75" customHeight="1" x14ac:dyDescent="0.2">
      <c r="B144" s="9" t="s">
        <v>11</v>
      </c>
      <c r="C144" s="12" t="s">
        <v>18</v>
      </c>
      <c r="D144" s="11">
        <v>0</v>
      </c>
      <c r="E144" s="22">
        <v>65536</v>
      </c>
      <c r="F144" s="22">
        <v>0</v>
      </c>
      <c r="M144" s="315"/>
      <c r="N144" s="315"/>
      <c r="O144" s="315"/>
      <c r="P144" s="315"/>
      <c r="Q144" s="315"/>
      <c r="S144" s="102">
        <f>+AB142</f>
        <v>0.26200000000000001</v>
      </c>
      <c r="T144" s="103">
        <f>+X141</f>
        <v>264.80666916618731</v>
      </c>
      <c r="U144" s="97">
        <f>+AB138</f>
        <v>1.264</v>
      </c>
      <c r="V144" s="104">
        <f>+AB141</f>
        <v>0</v>
      </c>
      <c r="W144" s="105">
        <f>+X139</f>
        <v>264.08275862068967</v>
      </c>
      <c r="X144" s="106">
        <f>T144+(W144-T144)*(S144-V144)/(U144-V144)</f>
        <v>264.65661808792748</v>
      </c>
      <c r="Z144" s="314"/>
      <c r="AA144" s="315"/>
      <c r="AB144" s="315"/>
      <c r="AC144" s="315"/>
      <c r="AD144" s="316"/>
    </row>
    <row r="145" spans="1:30" ht="15.75" customHeight="1" x14ac:dyDescent="0.2">
      <c r="B145" s="9" t="s">
        <v>21</v>
      </c>
      <c r="C145" s="12" t="s">
        <v>59</v>
      </c>
      <c r="D145" s="11">
        <v>430</v>
      </c>
      <c r="E145" s="22">
        <v>65536</v>
      </c>
      <c r="F145" s="22">
        <v>415</v>
      </c>
      <c r="S145" s="311" t="s">
        <v>204</v>
      </c>
      <c r="T145" s="312"/>
      <c r="U145" s="312"/>
      <c r="V145" s="312"/>
      <c r="W145" s="312"/>
      <c r="X145" s="313"/>
      <c r="Z145" s="317"/>
      <c r="AA145" s="318"/>
      <c r="AB145" s="318"/>
      <c r="AC145" s="318"/>
      <c r="AD145" s="319"/>
    </row>
    <row r="146" spans="1:30" ht="15.75" customHeight="1" x14ac:dyDescent="0.2">
      <c r="B146" s="9" t="s">
        <v>21</v>
      </c>
      <c r="C146" s="12" t="s">
        <v>63</v>
      </c>
      <c r="D146" s="11">
        <v>150</v>
      </c>
      <c r="E146" s="22">
        <v>65536</v>
      </c>
      <c r="F146" s="22">
        <v>143</v>
      </c>
      <c r="S146" s="317"/>
      <c r="T146" s="318"/>
      <c r="U146" s="318"/>
      <c r="V146" s="318"/>
      <c r="W146" s="318"/>
      <c r="X146" s="319"/>
      <c r="Z146" s="58" t="s">
        <v>160</v>
      </c>
      <c r="AA146" s="59" t="s">
        <v>161</v>
      </c>
      <c r="AB146" s="59" t="s">
        <v>162</v>
      </c>
      <c r="AC146" s="61" t="s">
        <v>163</v>
      </c>
      <c r="AD146" s="62" t="s">
        <v>165</v>
      </c>
    </row>
    <row r="147" spans="1:30" ht="15.75" customHeight="1" x14ac:dyDescent="0.25">
      <c r="C147" s="2"/>
      <c r="S147" s="63" t="s">
        <v>168</v>
      </c>
      <c r="T147" s="64" t="s">
        <v>169</v>
      </c>
      <c r="U147" s="64" t="s">
        <v>171</v>
      </c>
      <c r="V147" s="64" t="s">
        <v>172</v>
      </c>
      <c r="W147" s="65" t="s">
        <v>173</v>
      </c>
      <c r="X147" s="66" t="s">
        <v>175</v>
      </c>
      <c r="Z147" s="63" t="s">
        <v>176</v>
      </c>
      <c r="AA147" s="67">
        <v>0.68899999999999995</v>
      </c>
      <c r="AB147" s="68">
        <v>4.0679999999999996</v>
      </c>
      <c r="AC147" s="70">
        <f t="shared" ref="AC147:AC151" si="3">+AB147/AA147</f>
        <v>5.9042089985486212</v>
      </c>
      <c r="AD147" s="107"/>
    </row>
    <row r="148" spans="1:30" ht="15.75" customHeight="1" x14ac:dyDescent="0.25">
      <c r="C148" s="2"/>
      <c r="S148" s="73">
        <v>420</v>
      </c>
      <c r="T148" s="74">
        <v>20</v>
      </c>
      <c r="U148" s="74">
        <f>+AB147</f>
        <v>4.0679999999999996</v>
      </c>
      <c r="V148" s="76">
        <f>+AB150</f>
        <v>8.1000000000000003E-2</v>
      </c>
      <c r="W148" s="77">
        <f>+AB148</f>
        <v>1.2729999999999999</v>
      </c>
      <c r="X148" s="108">
        <f>(S148-T148)*(U148-V148)/(W148-V148)+T148</f>
        <v>1357.9194630872482</v>
      </c>
      <c r="Z148" s="80" t="s">
        <v>188</v>
      </c>
      <c r="AA148" s="74">
        <v>0.54900000000000004</v>
      </c>
      <c r="AB148" s="82">
        <v>1.2729999999999999</v>
      </c>
      <c r="AC148" s="84">
        <f t="shared" si="3"/>
        <v>2.3187613843351547</v>
      </c>
      <c r="AD148" s="86">
        <f>(AB148-AB150)/(AB147-AB150)</f>
        <v>0.29897165788813646</v>
      </c>
    </row>
    <row r="149" spans="1:30" ht="15.75" customHeight="1" x14ac:dyDescent="0.25">
      <c r="C149" s="2"/>
      <c r="S149" s="73" t="s">
        <v>168</v>
      </c>
      <c r="T149" s="74" t="s">
        <v>171</v>
      </c>
      <c r="U149" s="74" t="s">
        <v>190</v>
      </c>
      <c r="V149" s="74" t="s">
        <v>191</v>
      </c>
      <c r="W149" s="77" t="s">
        <v>173</v>
      </c>
      <c r="X149" s="87" t="s">
        <v>192</v>
      </c>
      <c r="Z149" s="80" t="s">
        <v>193</v>
      </c>
      <c r="AA149" s="74">
        <v>0.443</v>
      </c>
      <c r="AB149" s="91">
        <v>0.54500000000000004</v>
      </c>
      <c r="AC149" s="84">
        <f t="shared" si="3"/>
        <v>1.2302483069977428</v>
      </c>
      <c r="AD149" s="86">
        <f>(AB149-AB150)/(AB147-AB150)</f>
        <v>0.11637822924504641</v>
      </c>
    </row>
    <row r="150" spans="1:30" ht="15.75" customHeight="1" x14ac:dyDescent="0.25">
      <c r="C150" s="2"/>
      <c r="S150" s="73">
        <v>140</v>
      </c>
      <c r="T150" s="74">
        <f>+AB147</f>
        <v>4.0679999999999996</v>
      </c>
      <c r="U150" s="76">
        <f>+AB150</f>
        <v>8.1000000000000003E-2</v>
      </c>
      <c r="V150" s="74">
        <f>+X148</f>
        <v>1357.9194630872482</v>
      </c>
      <c r="W150" s="109">
        <f>+AB149</f>
        <v>0.54500000000000004</v>
      </c>
      <c r="X150" s="78">
        <f>(S150*(T150-U150)-V150*(W150-U150))/(T150-W150)</f>
        <v>-20.407218527528606</v>
      </c>
      <c r="Z150" s="80" t="s">
        <v>194</v>
      </c>
      <c r="AA150" s="74">
        <v>0.28599999999999998</v>
      </c>
      <c r="AB150" s="91">
        <v>8.1000000000000003E-2</v>
      </c>
      <c r="AC150" s="84">
        <f t="shared" si="3"/>
        <v>0.28321678321678323</v>
      </c>
      <c r="AD150" s="86"/>
    </row>
    <row r="151" spans="1:30" ht="15.75" customHeight="1" x14ac:dyDescent="0.25">
      <c r="C151" s="2"/>
      <c r="S151" s="80" t="s">
        <v>196</v>
      </c>
      <c r="T151" s="93"/>
      <c r="U151" s="93"/>
      <c r="V151" s="93"/>
      <c r="W151" s="94"/>
      <c r="X151" s="95"/>
      <c r="Z151" s="111" t="s">
        <v>197</v>
      </c>
      <c r="AA151" s="112">
        <v>0.40600000000000003</v>
      </c>
      <c r="AB151" s="113">
        <v>0.23699999999999999</v>
      </c>
      <c r="AC151" s="114">
        <f t="shared" si="3"/>
        <v>0.58374384236453192</v>
      </c>
      <c r="AD151" s="115">
        <f>+(AB151-AB150)/(AB147-AB150)</f>
        <v>3.9127163280662146E-2</v>
      </c>
    </row>
    <row r="152" spans="1:30" ht="15.75" customHeight="1" x14ac:dyDescent="0.2">
      <c r="C152" s="2"/>
      <c r="S152" s="80" t="s">
        <v>199</v>
      </c>
      <c r="T152" s="93" t="s">
        <v>169</v>
      </c>
      <c r="U152" s="93" t="s">
        <v>200</v>
      </c>
      <c r="V152" s="93" t="s">
        <v>201</v>
      </c>
      <c r="W152" s="94" t="s">
        <v>191</v>
      </c>
      <c r="X152" s="87" t="s">
        <v>202</v>
      </c>
    </row>
    <row r="153" spans="1:30" ht="15.75" customHeight="1" x14ac:dyDescent="0.2">
      <c r="C153" s="2"/>
      <c r="S153" s="116">
        <f>+AB151</f>
        <v>0.23699999999999999</v>
      </c>
      <c r="T153" s="117">
        <f>+X150</f>
        <v>-20.407218527528606</v>
      </c>
      <c r="U153" s="112">
        <f>+AB147</f>
        <v>4.0679999999999996</v>
      </c>
      <c r="V153" s="118">
        <f>+AB150</f>
        <v>8.1000000000000003E-2</v>
      </c>
      <c r="W153" s="119">
        <f>+X148</f>
        <v>1357.9194630872482</v>
      </c>
      <c r="X153" s="78">
        <f>T153+(W153-T153)*(S153-V153)/(U153-V153)</f>
        <v>33.522794598106003</v>
      </c>
      <c r="AA153" s="121"/>
    </row>
    <row r="154" spans="1:30" ht="15.75" customHeight="1" x14ac:dyDescent="0.2">
      <c r="C154" s="2"/>
    </row>
    <row r="155" spans="1:30" ht="15.75" customHeight="1" x14ac:dyDescent="0.2">
      <c r="C155" s="2"/>
    </row>
    <row r="156" spans="1:30" ht="15.75" customHeight="1" x14ac:dyDescent="0.2">
      <c r="C156" s="2"/>
    </row>
    <row r="157" spans="1:30" ht="15.75" customHeight="1" x14ac:dyDescent="0.2">
      <c r="C157" s="2"/>
    </row>
    <row r="158" spans="1:30" ht="15.75" customHeight="1" x14ac:dyDescent="0.25">
      <c r="A158" s="29"/>
      <c r="B158" s="29"/>
      <c r="C158" s="32"/>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row>
    <row r="159" spans="1:30" ht="15.75" customHeight="1" x14ac:dyDescent="0.2">
      <c r="C159" s="2"/>
    </row>
    <row r="160" spans="1:30" ht="15.75" customHeight="1" x14ac:dyDescent="0.2">
      <c r="C160" s="2"/>
    </row>
    <row r="161" spans="1:30" ht="15.75" customHeight="1" x14ac:dyDescent="0.25">
      <c r="A161" s="28"/>
      <c r="B161" s="28" t="s">
        <v>211</v>
      </c>
      <c r="C161" s="2"/>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row>
    <row r="162" spans="1:30" ht="15.75" customHeight="1" x14ac:dyDescent="0.25">
      <c r="A162" s="28"/>
      <c r="B162" s="23" t="s">
        <v>75</v>
      </c>
      <c r="C162" s="2"/>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row>
    <row r="163" spans="1:30" ht="15.75" customHeight="1" x14ac:dyDescent="0.25">
      <c r="A163" s="28"/>
      <c r="B163" s="28"/>
      <c r="C163" s="2"/>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row>
    <row r="164" spans="1:30" ht="15.75" customHeight="1" x14ac:dyDescent="0.25">
      <c r="A164" s="28"/>
      <c r="B164" s="4" t="s">
        <v>0</v>
      </c>
      <c r="C164" s="5" t="s">
        <v>1</v>
      </c>
      <c r="D164" s="5" t="s">
        <v>42</v>
      </c>
      <c r="E164" s="5" t="s">
        <v>43</v>
      </c>
      <c r="F164" s="5" t="s">
        <v>44</v>
      </c>
      <c r="G164" s="28"/>
      <c r="H164" s="296" t="s">
        <v>45</v>
      </c>
      <c r="I164" s="297"/>
      <c r="J164" s="297"/>
      <c r="K164" s="298"/>
      <c r="L164" s="28"/>
      <c r="M164" s="324"/>
      <c r="N164" s="315"/>
      <c r="O164" s="315"/>
      <c r="P164" s="315"/>
      <c r="Q164" s="28"/>
      <c r="R164" s="28"/>
      <c r="S164" s="28"/>
      <c r="T164" s="28"/>
      <c r="U164" s="28"/>
      <c r="V164" s="28"/>
      <c r="W164" s="28"/>
      <c r="X164" s="28"/>
      <c r="Y164" s="28"/>
      <c r="Z164" s="28"/>
      <c r="AA164" s="28"/>
      <c r="AB164" s="28"/>
      <c r="AC164" s="28"/>
      <c r="AD164" s="28"/>
    </row>
    <row r="165" spans="1:30" ht="15.75" customHeight="1" x14ac:dyDescent="0.25">
      <c r="A165" s="28"/>
      <c r="B165" s="310" t="s">
        <v>8</v>
      </c>
      <c r="C165" s="297"/>
      <c r="D165" s="297"/>
      <c r="E165" s="297"/>
      <c r="F165" s="306"/>
      <c r="G165" s="28"/>
      <c r="H165" s="305" t="s">
        <v>10</v>
      </c>
      <c r="I165" s="297"/>
      <c r="J165" s="297"/>
      <c r="K165" s="298"/>
      <c r="L165" s="28"/>
      <c r="M165" s="315"/>
      <c r="N165" s="315"/>
      <c r="O165" s="315"/>
      <c r="P165" s="315"/>
      <c r="Q165" s="28"/>
      <c r="R165" s="28"/>
      <c r="S165" s="28"/>
      <c r="T165" s="28"/>
      <c r="U165" s="28"/>
      <c r="V165" s="28"/>
      <c r="W165" s="28"/>
      <c r="X165" s="28"/>
      <c r="Y165" s="28"/>
      <c r="Z165" s="28"/>
      <c r="AA165" s="28"/>
      <c r="AB165" s="28"/>
      <c r="AC165" s="28"/>
      <c r="AD165" s="28"/>
    </row>
    <row r="166" spans="1:30" ht="15.75" customHeight="1" x14ac:dyDescent="0.25">
      <c r="A166" s="28"/>
      <c r="B166" s="9" t="s">
        <v>11</v>
      </c>
      <c r="C166" s="12" t="s">
        <v>12</v>
      </c>
      <c r="D166" s="11">
        <v>825</v>
      </c>
      <c r="E166" s="22">
        <v>825</v>
      </c>
      <c r="F166" s="11">
        <v>800</v>
      </c>
      <c r="G166" s="28"/>
      <c r="H166" s="12"/>
      <c r="I166" s="12" t="s">
        <v>52</v>
      </c>
      <c r="J166" s="12" t="s">
        <v>53</v>
      </c>
      <c r="K166" s="12"/>
      <c r="L166" s="28"/>
      <c r="M166" s="315"/>
      <c r="N166" s="315"/>
      <c r="O166" s="315"/>
      <c r="P166" s="315"/>
      <c r="Q166" s="28"/>
      <c r="R166" s="28"/>
      <c r="S166" s="28"/>
      <c r="T166" s="28"/>
      <c r="U166" s="28"/>
      <c r="V166" s="28"/>
      <c r="W166" s="28"/>
      <c r="X166" s="28"/>
      <c r="Y166" s="28"/>
      <c r="Z166" s="28"/>
      <c r="AA166" s="28"/>
      <c r="AB166" s="28"/>
      <c r="AC166" s="28"/>
      <c r="AD166" s="28"/>
    </row>
    <row r="167" spans="1:30" ht="15.75" customHeight="1" x14ac:dyDescent="0.25">
      <c r="A167" s="28"/>
      <c r="B167" s="9" t="s">
        <v>11</v>
      </c>
      <c r="C167" s="12" t="s">
        <v>18</v>
      </c>
      <c r="D167" s="11">
        <v>0</v>
      </c>
      <c r="E167" s="22">
        <v>0</v>
      </c>
      <c r="F167" s="11">
        <v>0</v>
      </c>
      <c r="G167" s="28"/>
      <c r="H167" s="12" t="s">
        <v>12</v>
      </c>
      <c r="I167" s="11">
        <v>825</v>
      </c>
      <c r="J167" s="11">
        <v>800</v>
      </c>
      <c r="K167" s="17" t="s">
        <v>216</v>
      </c>
      <c r="L167" s="28"/>
      <c r="M167" s="315"/>
      <c r="N167" s="315"/>
      <c r="O167" s="315"/>
      <c r="P167" s="315"/>
      <c r="Q167" s="28"/>
      <c r="R167" s="28"/>
      <c r="S167" s="28"/>
      <c r="T167" s="28"/>
      <c r="U167" s="28"/>
      <c r="V167" s="28"/>
      <c r="W167" s="28"/>
      <c r="X167" s="28"/>
      <c r="Y167" s="28"/>
      <c r="Z167" s="28"/>
      <c r="AA167" s="28"/>
      <c r="AB167" s="28"/>
      <c r="AC167" s="28"/>
      <c r="AD167" s="28"/>
    </row>
    <row r="168" spans="1:30" ht="15.75" customHeight="1" x14ac:dyDescent="0.25">
      <c r="A168" s="28"/>
      <c r="B168" s="9" t="s">
        <v>21</v>
      </c>
      <c r="C168" s="12" t="s">
        <v>59</v>
      </c>
      <c r="D168" s="11">
        <v>440</v>
      </c>
      <c r="E168" s="22">
        <v>469</v>
      </c>
      <c r="F168" s="11">
        <v>446</v>
      </c>
      <c r="G168" s="28"/>
      <c r="H168" s="12" t="s">
        <v>18</v>
      </c>
      <c r="I168" s="11">
        <v>0</v>
      </c>
      <c r="J168" s="11">
        <v>0</v>
      </c>
      <c r="K168" s="17" t="s">
        <v>217</v>
      </c>
      <c r="L168" s="28"/>
      <c r="M168" s="315"/>
      <c r="N168" s="315"/>
      <c r="O168" s="315"/>
      <c r="P168" s="315"/>
      <c r="Q168" s="28"/>
      <c r="R168" s="28"/>
      <c r="S168" s="28"/>
      <c r="T168" s="28"/>
      <c r="U168" s="28"/>
      <c r="V168" s="28"/>
      <c r="W168" s="28"/>
      <c r="X168" s="28"/>
      <c r="Y168" s="28"/>
      <c r="Z168" s="28"/>
      <c r="AA168" s="28"/>
      <c r="AB168" s="28"/>
      <c r="AC168" s="28"/>
      <c r="AD168" s="28"/>
    </row>
    <row r="169" spans="1:30" ht="15.75" customHeight="1" x14ac:dyDescent="0.25">
      <c r="A169" s="28"/>
      <c r="B169" s="9" t="s">
        <v>21</v>
      </c>
      <c r="C169" s="12" t="s">
        <v>63</v>
      </c>
      <c r="D169" s="11">
        <v>160</v>
      </c>
      <c r="E169" s="22">
        <v>175</v>
      </c>
      <c r="F169" s="11">
        <v>161</v>
      </c>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row>
    <row r="170" spans="1:30" ht="15.75" customHeight="1" x14ac:dyDescent="0.2">
      <c r="B170" s="9" t="s">
        <v>21</v>
      </c>
      <c r="C170" s="12" t="s">
        <v>218</v>
      </c>
      <c r="D170" s="11">
        <v>0</v>
      </c>
      <c r="E170" s="22">
        <v>0</v>
      </c>
      <c r="F170" s="11">
        <v>0</v>
      </c>
    </row>
    <row r="171" spans="1:30" ht="15.75" customHeight="1" x14ac:dyDescent="0.2">
      <c r="C171" s="2"/>
    </row>
    <row r="172" spans="1:30" ht="15.75" customHeight="1" x14ac:dyDescent="0.2">
      <c r="C172" s="2"/>
    </row>
    <row r="173" spans="1:30" ht="15.75" customHeight="1" x14ac:dyDescent="0.2">
      <c r="C173" s="2"/>
    </row>
    <row r="174" spans="1:30" ht="15.75" customHeight="1" x14ac:dyDescent="0.25">
      <c r="A174" s="29"/>
      <c r="B174" s="33"/>
      <c r="C174" s="33"/>
      <c r="D174" s="35"/>
      <c r="E174" s="36"/>
      <c r="F174" s="36"/>
      <c r="G174" s="29"/>
      <c r="H174" s="33"/>
      <c r="I174" s="33"/>
      <c r="J174" s="35"/>
      <c r="K174" s="33"/>
      <c r="L174" s="29"/>
      <c r="M174" s="29"/>
      <c r="N174" s="29"/>
      <c r="O174" s="29"/>
      <c r="P174" s="29"/>
      <c r="Q174" s="29"/>
      <c r="R174" s="28"/>
      <c r="S174" s="28"/>
      <c r="T174" s="28"/>
      <c r="U174" s="28"/>
      <c r="V174" s="28"/>
      <c r="W174" s="28"/>
      <c r="X174" s="28"/>
      <c r="Y174" s="28"/>
      <c r="Z174" s="28"/>
      <c r="AA174" s="28"/>
      <c r="AB174" s="28"/>
      <c r="AC174" s="28"/>
      <c r="AD174" s="28"/>
    </row>
    <row r="175" spans="1:30" ht="15.75" customHeight="1" x14ac:dyDescent="0.25">
      <c r="A175" s="28"/>
      <c r="B175" s="27"/>
      <c r="C175" s="27"/>
      <c r="D175" s="31"/>
      <c r="E175" s="38"/>
      <c r="F175" s="3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row>
    <row r="176" spans="1:30" ht="15.75" customHeight="1" x14ac:dyDescent="0.25">
      <c r="A176" s="28"/>
      <c r="B176" s="124">
        <v>43445</v>
      </c>
      <c r="C176" s="2"/>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row>
    <row r="177" spans="1:30" ht="15.75" customHeight="1" x14ac:dyDescent="0.25">
      <c r="A177" s="28"/>
      <c r="B177" s="23" t="s">
        <v>102</v>
      </c>
      <c r="C177" s="2"/>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row>
    <row r="178" spans="1:30" ht="15.75" customHeight="1" x14ac:dyDescent="0.25">
      <c r="A178" s="28"/>
      <c r="B178" s="28"/>
      <c r="C178" s="2"/>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row>
    <row r="179" spans="1:30" ht="15.75" customHeight="1" x14ac:dyDescent="0.25">
      <c r="A179" s="28"/>
      <c r="B179" s="28"/>
      <c r="C179" s="2"/>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row>
    <row r="180" spans="1:30" ht="24.75" customHeight="1" x14ac:dyDescent="0.25">
      <c r="A180" s="28"/>
      <c r="B180" s="4" t="s">
        <v>0</v>
      </c>
      <c r="C180" s="5" t="s">
        <v>1</v>
      </c>
      <c r="D180" s="5" t="s">
        <v>42</v>
      </c>
      <c r="E180" s="5" t="s">
        <v>43</v>
      </c>
      <c r="F180" s="5" t="s">
        <v>44</v>
      </c>
      <c r="G180" s="28"/>
      <c r="H180" s="296" t="s">
        <v>45</v>
      </c>
      <c r="I180" s="297"/>
      <c r="J180" s="297"/>
      <c r="K180" s="298"/>
      <c r="L180" s="28"/>
      <c r="M180" s="28"/>
      <c r="N180" s="28"/>
      <c r="O180" s="28"/>
      <c r="P180" s="28"/>
      <c r="Q180" s="28"/>
      <c r="R180" s="28"/>
      <c r="S180" s="28"/>
      <c r="T180" s="28"/>
      <c r="U180" s="28"/>
      <c r="V180" s="28"/>
      <c r="W180" s="28"/>
      <c r="X180" s="28"/>
      <c r="Y180" s="28"/>
      <c r="Z180" s="28"/>
      <c r="AA180" s="28"/>
      <c r="AB180" s="28"/>
      <c r="AC180" s="28"/>
      <c r="AD180" s="28"/>
    </row>
    <row r="181" spans="1:30" ht="15.75" customHeight="1" x14ac:dyDescent="0.25">
      <c r="A181" s="28"/>
      <c r="B181" s="310" t="s">
        <v>8</v>
      </c>
      <c r="C181" s="297"/>
      <c r="D181" s="297"/>
      <c r="E181" s="297"/>
      <c r="F181" s="306"/>
      <c r="G181" s="28"/>
      <c r="H181" s="305" t="s">
        <v>10</v>
      </c>
      <c r="I181" s="297"/>
      <c r="J181" s="297"/>
      <c r="K181" s="298"/>
      <c r="L181" s="28"/>
      <c r="M181" s="28"/>
      <c r="N181" s="28"/>
      <c r="O181" s="28"/>
      <c r="P181" s="28"/>
      <c r="Q181" s="28"/>
      <c r="R181" s="28"/>
      <c r="S181" s="28"/>
      <c r="T181" s="28"/>
      <c r="U181" s="28"/>
      <c r="V181" s="28"/>
      <c r="W181" s="28"/>
      <c r="X181" s="28"/>
      <c r="Y181" s="28"/>
      <c r="Z181" s="28"/>
      <c r="AA181" s="28"/>
      <c r="AB181" s="28"/>
      <c r="AC181" s="28"/>
      <c r="AD181" s="28"/>
    </row>
    <row r="182" spans="1:30" ht="15.75" customHeight="1" x14ac:dyDescent="0.25">
      <c r="A182" s="28"/>
      <c r="B182" s="9" t="s">
        <v>11</v>
      </c>
      <c r="C182" s="12" t="s">
        <v>12</v>
      </c>
      <c r="D182" s="11">
        <v>840</v>
      </c>
      <c r="E182" s="22">
        <v>65530</v>
      </c>
      <c r="F182" s="11">
        <v>845</v>
      </c>
      <c r="G182" s="28"/>
      <c r="H182" s="12"/>
      <c r="I182" s="12" t="s">
        <v>52</v>
      </c>
      <c r="J182" s="12" t="s">
        <v>53</v>
      </c>
      <c r="K182" s="12"/>
      <c r="L182" s="28"/>
      <c r="M182" s="28"/>
      <c r="N182" s="28"/>
      <c r="O182" s="28"/>
      <c r="P182" s="28"/>
      <c r="Q182" s="28"/>
      <c r="R182" s="28"/>
      <c r="S182" s="28"/>
      <c r="T182" s="28"/>
      <c r="U182" s="28"/>
      <c r="V182" s="28"/>
      <c r="W182" s="28"/>
      <c r="X182" s="28"/>
      <c r="Y182" s="28"/>
      <c r="Z182" s="28"/>
      <c r="AA182" s="28"/>
      <c r="AB182" s="28"/>
      <c r="AC182" s="28"/>
      <c r="AD182" s="28"/>
    </row>
    <row r="183" spans="1:30" ht="15.75" customHeight="1" x14ac:dyDescent="0.25">
      <c r="A183" s="28"/>
      <c r="B183" s="9" t="s">
        <v>11</v>
      </c>
      <c r="C183" s="12" t="s">
        <v>18</v>
      </c>
      <c r="D183" s="11">
        <v>0</v>
      </c>
      <c r="E183" s="22">
        <v>65530</v>
      </c>
      <c r="F183" s="11">
        <v>0</v>
      </c>
      <c r="G183" s="28"/>
      <c r="H183" s="12" t="s">
        <v>12</v>
      </c>
      <c r="I183" s="17">
        <v>840</v>
      </c>
      <c r="J183" s="11">
        <v>845</v>
      </c>
      <c r="K183" s="17" t="s">
        <v>231</v>
      </c>
      <c r="L183" s="28"/>
      <c r="M183" s="28"/>
      <c r="N183" s="28"/>
      <c r="O183" s="28"/>
      <c r="P183" s="28"/>
      <c r="Q183" s="28"/>
      <c r="R183" s="28"/>
      <c r="S183" s="28"/>
      <c r="T183" s="28"/>
      <c r="U183" s="28"/>
      <c r="V183" s="28"/>
      <c r="W183" s="28"/>
      <c r="X183" s="28"/>
      <c r="Y183" s="28"/>
      <c r="Z183" s="28"/>
      <c r="AA183" s="28"/>
      <c r="AB183" s="28"/>
      <c r="AC183" s="28"/>
      <c r="AD183" s="28"/>
    </row>
    <row r="184" spans="1:30" ht="15.75" customHeight="1" x14ac:dyDescent="0.25">
      <c r="A184" s="28"/>
      <c r="B184" s="9" t="s">
        <v>21</v>
      </c>
      <c r="C184" s="12" t="s">
        <v>59</v>
      </c>
      <c r="D184" s="11">
        <v>440</v>
      </c>
      <c r="E184" s="22">
        <v>65530</v>
      </c>
      <c r="F184" s="11">
        <v>438</v>
      </c>
      <c r="G184" s="28"/>
      <c r="H184" s="12" t="s">
        <v>18</v>
      </c>
      <c r="I184" s="17">
        <v>0</v>
      </c>
      <c r="J184" s="11">
        <v>0</v>
      </c>
      <c r="K184" s="17" t="s">
        <v>233</v>
      </c>
      <c r="L184" s="28"/>
      <c r="M184" s="28"/>
      <c r="N184" s="28"/>
      <c r="O184" s="28"/>
      <c r="P184" s="28"/>
      <c r="Q184" s="28"/>
      <c r="R184" s="28"/>
      <c r="S184" s="28"/>
      <c r="T184" s="28"/>
      <c r="U184" s="28"/>
      <c r="V184" s="28"/>
      <c r="W184" s="28"/>
      <c r="X184" s="28"/>
      <c r="Y184" s="28"/>
      <c r="Z184" s="28"/>
      <c r="AA184" s="28"/>
      <c r="AB184" s="28"/>
      <c r="AC184" s="28"/>
      <c r="AD184" s="28"/>
    </row>
    <row r="185" spans="1:30" ht="15.75" customHeight="1" x14ac:dyDescent="0.25">
      <c r="A185" s="28"/>
      <c r="B185" s="9" t="s">
        <v>21</v>
      </c>
      <c r="C185" s="12" t="s">
        <v>63</v>
      </c>
      <c r="D185" s="11">
        <v>160</v>
      </c>
      <c r="E185" s="22">
        <v>65530</v>
      </c>
      <c r="F185" s="11">
        <v>162</v>
      </c>
      <c r="G185" s="28"/>
      <c r="H185" s="305" t="s">
        <v>23</v>
      </c>
      <c r="I185" s="297"/>
      <c r="J185" s="297"/>
      <c r="K185" s="298"/>
      <c r="L185" s="28"/>
      <c r="M185" s="28"/>
      <c r="N185" s="28"/>
      <c r="O185" s="28"/>
      <c r="P185" s="28"/>
      <c r="Q185" s="28"/>
      <c r="R185" s="28"/>
      <c r="S185" s="28"/>
      <c r="T185" s="28"/>
      <c r="U185" s="28"/>
      <c r="V185" s="28"/>
      <c r="W185" s="28"/>
      <c r="X185" s="28"/>
      <c r="Y185" s="28"/>
      <c r="Z185" s="28"/>
      <c r="AA185" s="28"/>
      <c r="AB185" s="28"/>
      <c r="AC185" s="28"/>
      <c r="AD185" s="28"/>
    </row>
    <row r="186" spans="1:30" ht="15.75" customHeight="1" x14ac:dyDescent="0.25">
      <c r="A186" s="28"/>
      <c r="B186" s="9" t="s">
        <v>21</v>
      </c>
      <c r="C186" s="12" t="s">
        <v>218</v>
      </c>
      <c r="D186" s="11">
        <v>0</v>
      </c>
      <c r="E186" s="22">
        <v>65530</v>
      </c>
      <c r="F186" s="11">
        <v>0</v>
      </c>
      <c r="G186" s="28"/>
      <c r="H186" s="12" t="s">
        <v>12</v>
      </c>
      <c r="I186" s="17">
        <v>810</v>
      </c>
      <c r="J186" s="11">
        <v>810</v>
      </c>
      <c r="K186" s="17" t="s">
        <v>237</v>
      </c>
      <c r="L186" s="28"/>
      <c r="M186" s="28"/>
      <c r="N186" s="28"/>
      <c r="O186" s="28"/>
      <c r="P186" s="28"/>
      <c r="Q186" s="28"/>
      <c r="R186" s="28"/>
      <c r="S186" s="28"/>
      <c r="T186" s="28"/>
      <c r="U186" s="28"/>
      <c r="V186" s="28"/>
      <c r="W186" s="28"/>
      <c r="X186" s="28"/>
      <c r="Y186" s="28"/>
      <c r="Z186" s="28"/>
      <c r="AA186" s="28"/>
      <c r="AB186" s="28"/>
      <c r="AC186" s="28"/>
      <c r="AD186" s="28"/>
    </row>
    <row r="187" spans="1:30" ht="15.75" customHeight="1" x14ac:dyDescent="0.25">
      <c r="A187" s="28"/>
      <c r="B187" s="310" t="s">
        <v>29</v>
      </c>
      <c r="C187" s="297"/>
      <c r="D187" s="297"/>
      <c r="E187" s="297"/>
      <c r="F187" s="306"/>
      <c r="G187" s="28"/>
      <c r="H187" s="12" t="s">
        <v>18</v>
      </c>
      <c r="I187" s="17">
        <v>0</v>
      </c>
      <c r="J187" s="11">
        <v>0</v>
      </c>
      <c r="K187" s="17" t="s">
        <v>240</v>
      </c>
      <c r="L187" s="28"/>
      <c r="M187" s="28"/>
      <c r="N187" s="28"/>
      <c r="O187" s="28"/>
      <c r="P187" s="28"/>
      <c r="Q187" s="28"/>
      <c r="R187" s="28"/>
      <c r="S187" s="28"/>
      <c r="T187" s="28"/>
      <c r="U187" s="28"/>
      <c r="V187" s="28"/>
      <c r="W187" s="28"/>
      <c r="X187" s="28"/>
      <c r="Y187" s="28"/>
      <c r="Z187" s="28"/>
      <c r="AA187" s="28"/>
      <c r="AB187" s="28"/>
      <c r="AC187" s="28"/>
      <c r="AD187" s="28"/>
    </row>
    <row r="188" spans="1:30" ht="15.75" customHeight="1" x14ac:dyDescent="0.25">
      <c r="A188" s="28"/>
      <c r="B188" s="9" t="s">
        <v>11</v>
      </c>
      <c r="C188" s="12" t="s">
        <v>12</v>
      </c>
      <c r="D188" s="11">
        <v>810</v>
      </c>
      <c r="E188" s="22">
        <v>65530</v>
      </c>
      <c r="F188" s="22">
        <v>810</v>
      </c>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row>
    <row r="189" spans="1:30" ht="15.75" customHeight="1" x14ac:dyDescent="0.25">
      <c r="A189" s="28"/>
      <c r="B189" s="9" t="s">
        <v>11</v>
      </c>
      <c r="C189" s="12" t="s">
        <v>18</v>
      </c>
      <c r="D189" s="11">
        <v>0</v>
      </c>
      <c r="E189" s="22">
        <v>65530</v>
      </c>
      <c r="F189" s="22">
        <v>0</v>
      </c>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row>
    <row r="190" spans="1:30" ht="15.75" customHeight="1" x14ac:dyDescent="0.25">
      <c r="A190" s="28"/>
      <c r="B190" s="9" t="s">
        <v>21</v>
      </c>
      <c r="C190" s="12" t="s">
        <v>59</v>
      </c>
      <c r="D190" s="11">
        <v>430</v>
      </c>
      <c r="E190" s="22">
        <v>65530</v>
      </c>
      <c r="F190" s="22">
        <v>425</v>
      </c>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row>
    <row r="191" spans="1:30" ht="15.75" customHeight="1" x14ac:dyDescent="0.2">
      <c r="B191" s="9" t="s">
        <v>21</v>
      </c>
      <c r="C191" s="12" t="s">
        <v>63</v>
      </c>
      <c r="D191" s="11">
        <v>150</v>
      </c>
      <c r="E191" s="22">
        <v>65530</v>
      </c>
      <c r="F191" s="22">
        <v>151</v>
      </c>
    </row>
    <row r="192" spans="1:30" ht="15.75" customHeight="1" x14ac:dyDescent="0.2">
      <c r="B192" s="9" t="s">
        <v>21</v>
      </c>
      <c r="C192" s="12" t="s">
        <v>218</v>
      </c>
      <c r="D192" s="11">
        <v>0</v>
      </c>
      <c r="E192" s="22">
        <v>65530</v>
      </c>
      <c r="F192" s="11">
        <v>0</v>
      </c>
    </row>
    <row r="193" spans="3:3" ht="15.75" customHeight="1" x14ac:dyDescent="0.2">
      <c r="C193" s="2"/>
    </row>
    <row r="194" spans="3:3" ht="15.75" customHeight="1" x14ac:dyDescent="0.2">
      <c r="C194" s="2"/>
    </row>
    <row r="195" spans="3:3" ht="15.75" customHeight="1" x14ac:dyDescent="0.2">
      <c r="C195" s="2"/>
    </row>
    <row r="196" spans="3:3" ht="15.75" customHeight="1" x14ac:dyDescent="0.2">
      <c r="C196" s="2"/>
    </row>
    <row r="197" spans="3:3" ht="15.75" customHeight="1" x14ac:dyDescent="0.2">
      <c r="C197" s="2"/>
    </row>
    <row r="198" spans="3:3" ht="15.75" customHeight="1" x14ac:dyDescent="0.2">
      <c r="C198" s="2"/>
    </row>
    <row r="199" spans="3:3" ht="15.75" customHeight="1" x14ac:dyDescent="0.2">
      <c r="C199" s="2"/>
    </row>
    <row r="200" spans="3:3" ht="15.75" customHeight="1" x14ac:dyDescent="0.2">
      <c r="C200" s="2"/>
    </row>
    <row r="201" spans="3:3" ht="15.75" customHeight="1" x14ac:dyDescent="0.2">
      <c r="C201" s="2"/>
    </row>
    <row r="202" spans="3:3" ht="15.75" customHeight="1" x14ac:dyDescent="0.2">
      <c r="C202" s="2"/>
    </row>
    <row r="203" spans="3:3" ht="15.75" customHeight="1" x14ac:dyDescent="0.2">
      <c r="C203" s="2"/>
    </row>
    <row r="204" spans="3:3" ht="15.75" customHeight="1" x14ac:dyDescent="0.2">
      <c r="C204" s="2"/>
    </row>
    <row r="205" spans="3:3" ht="15.75" customHeight="1" x14ac:dyDescent="0.2">
      <c r="C205" s="2"/>
    </row>
    <row r="206" spans="3:3" ht="15.75" customHeight="1" x14ac:dyDescent="0.2">
      <c r="C206" s="2"/>
    </row>
    <row r="207" spans="3:3" ht="15.75" customHeight="1" x14ac:dyDescent="0.2">
      <c r="C207" s="2"/>
    </row>
    <row r="208" spans="3:3" ht="15.75" customHeight="1" x14ac:dyDescent="0.2">
      <c r="C208" s="2"/>
    </row>
    <row r="209" spans="3:3" ht="15.75" customHeight="1" x14ac:dyDescent="0.2">
      <c r="C209" s="2"/>
    </row>
    <row r="210" spans="3:3" ht="15.75" customHeight="1" x14ac:dyDescent="0.2">
      <c r="C210" s="2"/>
    </row>
    <row r="211" spans="3:3" ht="15.75" customHeight="1" x14ac:dyDescent="0.2">
      <c r="C211" s="2"/>
    </row>
    <row r="212" spans="3:3" ht="15.75" customHeight="1" x14ac:dyDescent="0.2">
      <c r="C212" s="2"/>
    </row>
    <row r="213" spans="3:3" ht="15.75" customHeight="1" x14ac:dyDescent="0.2">
      <c r="C213" s="2"/>
    </row>
    <row r="214" spans="3:3" ht="15.75" customHeight="1" x14ac:dyDescent="0.2">
      <c r="C214" s="2"/>
    </row>
    <row r="215" spans="3:3" ht="15.75" customHeight="1" x14ac:dyDescent="0.2">
      <c r="C215" s="2"/>
    </row>
    <row r="216" spans="3:3" ht="15.75" customHeight="1" x14ac:dyDescent="0.2">
      <c r="C216" s="2"/>
    </row>
    <row r="217" spans="3:3" ht="15.75" customHeight="1" x14ac:dyDescent="0.2">
      <c r="C217" s="2"/>
    </row>
    <row r="218" spans="3:3" ht="15.75" customHeight="1" x14ac:dyDescent="0.2">
      <c r="C218" s="2"/>
    </row>
    <row r="219" spans="3:3" ht="15.75" customHeight="1" x14ac:dyDescent="0.2">
      <c r="C219" s="2"/>
    </row>
    <row r="220" spans="3:3" ht="15.75" customHeight="1" x14ac:dyDescent="0.2">
      <c r="C220" s="2"/>
    </row>
    <row r="221" spans="3:3" ht="15.75" customHeight="1" x14ac:dyDescent="0.2">
      <c r="C221" s="2"/>
    </row>
    <row r="222" spans="3:3" ht="15.75" customHeight="1" x14ac:dyDescent="0.2">
      <c r="C222" s="2"/>
    </row>
    <row r="223" spans="3:3" ht="15.75" customHeight="1" x14ac:dyDescent="0.2">
      <c r="C223" s="2"/>
    </row>
    <row r="224" spans="3:3" ht="15.75" customHeight="1" x14ac:dyDescent="0.2">
      <c r="C224" s="2"/>
    </row>
    <row r="225" spans="3:3" ht="15.75" customHeight="1" x14ac:dyDescent="0.2">
      <c r="C225" s="2"/>
    </row>
    <row r="226" spans="3:3" ht="15.75" customHeight="1" x14ac:dyDescent="0.2">
      <c r="C226" s="2"/>
    </row>
    <row r="227" spans="3:3" ht="15.75" customHeight="1" x14ac:dyDescent="0.2">
      <c r="C227" s="2"/>
    </row>
    <row r="228" spans="3:3" ht="15.75" customHeight="1" x14ac:dyDescent="0.2">
      <c r="C228" s="2"/>
    </row>
    <row r="229" spans="3:3" ht="15.75" customHeight="1" x14ac:dyDescent="0.2">
      <c r="C229" s="2"/>
    </row>
    <row r="230" spans="3:3" ht="15.75" customHeight="1" x14ac:dyDescent="0.2">
      <c r="C230" s="2"/>
    </row>
    <row r="231" spans="3:3" ht="15.75" customHeight="1" x14ac:dyDescent="0.2">
      <c r="C231" s="2"/>
    </row>
    <row r="232" spans="3:3" ht="15.75" customHeight="1" x14ac:dyDescent="0.2">
      <c r="C232" s="2"/>
    </row>
    <row r="233" spans="3:3" ht="15.75" customHeight="1" x14ac:dyDescent="0.2">
      <c r="C233" s="2"/>
    </row>
    <row r="234" spans="3:3" ht="15.75" customHeight="1" x14ac:dyDescent="0.2">
      <c r="C234" s="2"/>
    </row>
    <row r="235" spans="3:3" ht="15.75" customHeight="1" x14ac:dyDescent="0.2">
      <c r="C235" s="2"/>
    </row>
    <row r="236" spans="3:3" ht="15.75" customHeight="1" x14ac:dyDescent="0.2">
      <c r="C236" s="2"/>
    </row>
    <row r="237" spans="3:3" ht="15.75" customHeight="1" x14ac:dyDescent="0.2">
      <c r="C237" s="2"/>
    </row>
    <row r="238" spans="3:3" ht="15.75" customHeight="1" x14ac:dyDescent="0.2">
      <c r="C238" s="2"/>
    </row>
    <row r="239" spans="3:3" ht="15.75" customHeight="1" x14ac:dyDescent="0.2">
      <c r="C239" s="2"/>
    </row>
    <row r="240" spans="3:3" ht="15.75" customHeight="1" x14ac:dyDescent="0.2">
      <c r="C240" s="2"/>
    </row>
    <row r="241" spans="3:3" ht="15.75" customHeight="1" x14ac:dyDescent="0.2">
      <c r="C241" s="2"/>
    </row>
    <row r="242" spans="3:3" ht="15.75" customHeight="1" x14ac:dyDescent="0.2">
      <c r="C242" s="2"/>
    </row>
    <row r="243" spans="3:3" ht="15.75" customHeight="1" x14ac:dyDescent="0.2">
      <c r="C243" s="2"/>
    </row>
    <row r="244" spans="3:3" ht="15.75" customHeight="1" x14ac:dyDescent="0.2">
      <c r="C244" s="2"/>
    </row>
    <row r="245" spans="3:3" ht="15.75" customHeight="1" x14ac:dyDescent="0.2">
      <c r="C245" s="2"/>
    </row>
    <row r="246" spans="3:3" ht="15.75" customHeight="1" x14ac:dyDescent="0.2">
      <c r="C246" s="2"/>
    </row>
    <row r="247" spans="3:3" ht="15.75" customHeight="1" x14ac:dyDescent="0.2">
      <c r="C247" s="2"/>
    </row>
    <row r="248" spans="3:3" ht="15.75" customHeight="1" x14ac:dyDescent="0.2">
      <c r="C248" s="2"/>
    </row>
    <row r="249" spans="3:3" ht="15.75" customHeight="1" x14ac:dyDescent="0.2">
      <c r="C249" s="2"/>
    </row>
    <row r="250" spans="3:3" ht="15.75" customHeight="1" x14ac:dyDescent="0.2">
      <c r="C250" s="2"/>
    </row>
    <row r="251" spans="3:3" ht="15.75" customHeight="1" x14ac:dyDescent="0.2">
      <c r="C251" s="2"/>
    </row>
    <row r="252" spans="3:3" ht="15.75" customHeight="1" x14ac:dyDescent="0.2">
      <c r="C252" s="2"/>
    </row>
    <row r="253" spans="3:3" ht="15.75" customHeight="1" x14ac:dyDescent="0.2">
      <c r="C253" s="2"/>
    </row>
    <row r="254" spans="3:3" ht="15.75" customHeight="1" x14ac:dyDescent="0.2">
      <c r="C254" s="2"/>
    </row>
    <row r="255" spans="3:3" ht="15.75" customHeight="1" x14ac:dyDescent="0.2">
      <c r="C255" s="2"/>
    </row>
    <row r="256" spans="3:3" ht="15.75" customHeight="1" x14ac:dyDescent="0.2">
      <c r="C256" s="2"/>
    </row>
    <row r="257" spans="3:3" ht="15.75" customHeight="1" x14ac:dyDescent="0.2">
      <c r="C257" s="2"/>
    </row>
    <row r="258" spans="3:3" ht="15.75" customHeight="1" x14ac:dyDescent="0.2">
      <c r="C258" s="2"/>
    </row>
    <row r="259" spans="3:3" ht="15.75" customHeight="1" x14ac:dyDescent="0.2">
      <c r="C259" s="2"/>
    </row>
    <row r="260" spans="3:3" ht="15.75" customHeight="1" x14ac:dyDescent="0.2">
      <c r="C260" s="2"/>
    </row>
    <row r="261" spans="3:3" ht="15.75" customHeight="1" x14ac:dyDescent="0.2">
      <c r="C261" s="2"/>
    </row>
    <row r="262" spans="3:3" ht="15.75" customHeight="1" x14ac:dyDescent="0.2">
      <c r="C262" s="2"/>
    </row>
    <row r="263" spans="3:3" ht="15.75" customHeight="1" x14ac:dyDescent="0.2">
      <c r="C263" s="2"/>
    </row>
    <row r="264" spans="3:3" ht="15.75" customHeight="1" x14ac:dyDescent="0.2">
      <c r="C264" s="2"/>
    </row>
    <row r="265" spans="3:3" ht="15.75" customHeight="1" x14ac:dyDescent="0.2">
      <c r="C265" s="2"/>
    </row>
    <row r="266" spans="3:3" ht="15.75" customHeight="1" x14ac:dyDescent="0.2">
      <c r="C266" s="2"/>
    </row>
    <row r="267" spans="3:3" ht="15.75" customHeight="1" x14ac:dyDescent="0.2">
      <c r="C267" s="2"/>
    </row>
    <row r="268" spans="3:3" ht="15.75" customHeight="1" x14ac:dyDescent="0.2">
      <c r="C268" s="2"/>
    </row>
    <row r="269" spans="3:3" ht="15.75" customHeight="1" x14ac:dyDescent="0.2">
      <c r="C269" s="2"/>
    </row>
    <row r="270" spans="3:3" ht="15.75" customHeight="1" x14ac:dyDescent="0.2">
      <c r="C270" s="2"/>
    </row>
    <row r="271" spans="3:3" ht="15.75" customHeight="1" x14ac:dyDescent="0.2">
      <c r="C271" s="2"/>
    </row>
    <row r="272" spans="3:3" ht="15.75" customHeight="1" x14ac:dyDescent="0.2">
      <c r="C272" s="2"/>
    </row>
    <row r="273" spans="3:3" ht="15.75" customHeight="1" x14ac:dyDescent="0.2">
      <c r="C273" s="2"/>
    </row>
    <row r="274" spans="3:3" ht="15.75" customHeight="1" x14ac:dyDescent="0.2">
      <c r="C274" s="2"/>
    </row>
    <row r="275" spans="3:3" ht="15.75" customHeight="1" x14ac:dyDescent="0.2">
      <c r="C275" s="2"/>
    </row>
    <row r="276" spans="3:3" ht="15.75" customHeight="1" x14ac:dyDescent="0.2">
      <c r="C276" s="2"/>
    </row>
    <row r="277" spans="3:3" ht="15.75" customHeight="1" x14ac:dyDescent="0.2">
      <c r="C277" s="2"/>
    </row>
    <row r="278" spans="3:3" ht="15.75" customHeight="1" x14ac:dyDescent="0.2">
      <c r="C278" s="2"/>
    </row>
    <row r="279" spans="3:3" ht="15.75" customHeight="1" x14ac:dyDescent="0.2">
      <c r="C279" s="2"/>
    </row>
    <row r="280" spans="3:3" ht="15.75" customHeight="1" x14ac:dyDescent="0.2">
      <c r="C280" s="2"/>
    </row>
    <row r="281" spans="3:3" ht="15.75" customHeight="1" x14ac:dyDescent="0.2">
      <c r="C281" s="2"/>
    </row>
    <row r="282" spans="3:3" ht="15.75" customHeight="1" x14ac:dyDescent="0.2">
      <c r="C282" s="2"/>
    </row>
    <row r="283" spans="3:3" ht="15.75" customHeight="1" x14ac:dyDescent="0.2">
      <c r="C283" s="2"/>
    </row>
    <row r="284" spans="3:3" ht="15.75" customHeight="1" x14ac:dyDescent="0.2">
      <c r="C284" s="2"/>
    </row>
    <row r="285" spans="3:3" ht="15.75" customHeight="1" x14ac:dyDescent="0.2">
      <c r="C285" s="2"/>
    </row>
    <row r="286" spans="3:3" ht="15.75" customHeight="1" x14ac:dyDescent="0.2">
      <c r="C286" s="2"/>
    </row>
    <row r="287" spans="3:3" ht="15.75" customHeight="1" x14ac:dyDescent="0.2">
      <c r="C287" s="2"/>
    </row>
    <row r="288" spans="3:3" ht="15.75" customHeight="1" x14ac:dyDescent="0.2">
      <c r="C288" s="2"/>
    </row>
    <row r="289" spans="3:3" ht="15.75" customHeight="1" x14ac:dyDescent="0.2">
      <c r="C289" s="2"/>
    </row>
    <row r="290" spans="3:3" ht="15.75" customHeight="1" x14ac:dyDescent="0.2">
      <c r="C290" s="2"/>
    </row>
    <row r="291" spans="3:3" ht="15.75" customHeight="1" x14ac:dyDescent="0.2">
      <c r="C291" s="2"/>
    </row>
    <row r="292" spans="3:3" ht="15.75" customHeight="1" x14ac:dyDescent="0.2">
      <c r="C292" s="2"/>
    </row>
    <row r="293" spans="3:3" ht="15.75" customHeight="1" x14ac:dyDescent="0.2">
      <c r="C293" s="2"/>
    </row>
    <row r="294" spans="3:3" ht="15.75" customHeight="1" x14ac:dyDescent="0.2">
      <c r="C294" s="2"/>
    </row>
    <row r="295" spans="3:3" ht="15.75" customHeight="1" x14ac:dyDescent="0.2">
      <c r="C295" s="2"/>
    </row>
    <row r="296" spans="3:3" ht="15.75" customHeight="1" x14ac:dyDescent="0.2">
      <c r="C296" s="2"/>
    </row>
    <row r="297" spans="3:3" ht="15.75" customHeight="1" x14ac:dyDescent="0.2">
      <c r="C297" s="2"/>
    </row>
    <row r="298" spans="3:3" ht="15.75" customHeight="1" x14ac:dyDescent="0.2">
      <c r="C298" s="2"/>
    </row>
    <row r="299" spans="3:3" ht="15.75" customHeight="1" x14ac:dyDescent="0.2">
      <c r="C299" s="2"/>
    </row>
    <row r="300" spans="3:3" ht="15.75" customHeight="1" x14ac:dyDescent="0.2">
      <c r="C300" s="2"/>
    </row>
    <row r="301" spans="3:3" ht="15.75" customHeight="1" x14ac:dyDescent="0.2">
      <c r="C301" s="2"/>
    </row>
    <row r="302" spans="3:3" ht="15.75" customHeight="1" x14ac:dyDescent="0.2">
      <c r="C302" s="2"/>
    </row>
    <row r="303" spans="3:3" ht="15.75" customHeight="1" x14ac:dyDescent="0.2">
      <c r="C303" s="2"/>
    </row>
    <row r="304" spans="3:3" ht="15.75" customHeight="1" x14ac:dyDescent="0.2">
      <c r="C304" s="2"/>
    </row>
    <row r="305" spans="3:3" ht="15.75" customHeight="1" x14ac:dyDescent="0.2">
      <c r="C305" s="2"/>
    </row>
    <row r="306" spans="3:3" ht="15.75" customHeight="1" x14ac:dyDescent="0.2">
      <c r="C306" s="2"/>
    </row>
    <row r="307" spans="3:3" ht="15.75" customHeight="1" x14ac:dyDescent="0.2">
      <c r="C307" s="2"/>
    </row>
    <row r="308" spans="3:3" ht="15.75" customHeight="1" x14ac:dyDescent="0.2">
      <c r="C308" s="2"/>
    </row>
    <row r="309" spans="3:3" ht="15.75" customHeight="1" x14ac:dyDescent="0.2">
      <c r="C309" s="2"/>
    </row>
    <row r="310" spans="3:3" ht="15.75" customHeight="1" x14ac:dyDescent="0.2">
      <c r="C310" s="2"/>
    </row>
    <row r="311" spans="3:3" ht="15.75" customHeight="1" x14ac:dyDescent="0.2">
      <c r="C311" s="2"/>
    </row>
    <row r="312" spans="3:3" ht="15.75" customHeight="1" x14ac:dyDescent="0.2">
      <c r="C312" s="2"/>
    </row>
    <row r="313" spans="3:3" ht="15.75" customHeight="1" x14ac:dyDescent="0.2">
      <c r="C313" s="2"/>
    </row>
    <row r="314" spans="3:3" ht="15.75" customHeight="1" x14ac:dyDescent="0.2">
      <c r="C314" s="2"/>
    </row>
    <row r="315" spans="3:3" ht="15.75" customHeight="1" x14ac:dyDescent="0.2">
      <c r="C315" s="2"/>
    </row>
    <row r="316" spans="3:3" ht="15.75" customHeight="1" x14ac:dyDescent="0.2">
      <c r="C316" s="2"/>
    </row>
    <row r="317" spans="3:3" ht="15.75" customHeight="1" x14ac:dyDescent="0.2">
      <c r="C317" s="2"/>
    </row>
    <row r="318" spans="3:3" ht="15.75" customHeight="1" x14ac:dyDescent="0.2">
      <c r="C318" s="2"/>
    </row>
    <row r="319" spans="3:3" ht="15.75" customHeight="1" x14ac:dyDescent="0.2">
      <c r="C319" s="2"/>
    </row>
    <row r="320" spans="3:3" ht="15.75" customHeight="1" x14ac:dyDescent="0.2">
      <c r="C320" s="2"/>
    </row>
    <row r="321" spans="3:3" ht="15.75" customHeight="1" x14ac:dyDescent="0.2">
      <c r="C321" s="2"/>
    </row>
    <row r="322" spans="3:3" ht="15.75" customHeight="1" x14ac:dyDescent="0.2">
      <c r="C322" s="2"/>
    </row>
    <row r="323" spans="3:3" ht="15.75" customHeight="1" x14ac:dyDescent="0.2">
      <c r="C323" s="2"/>
    </row>
    <row r="324" spans="3:3" ht="15.75" customHeight="1" x14ac:dyDescent="0.2">
      <c r="C324" s="2"/>
    </row>
    <row r="325" spans="3:3" ht="15.75" customHeight="1" x14ac:dyDescent="0.2">
      <c r="C325" s="2"/>
    </row>
    <row r="326" spans="3:3" ht="15.75" customHeight="1" x14ac:dyDescent="0.2">
      <c r="C326" s="2"/>
    </row>
    <row r="327" spans="3:3" ht="15.75" customHeight="1" x14ac:dyDescent="0.2">
      <c r="C327" s="2"/>
    </row>
    <row r="328" spans="3:3" ht="15.75" customHeight="1" x14ac:dyDescent="0.2">
      <c r="C328" s="2"/>
    </row>
    <row r="329" spans="3:3" ht="15.75" customHeight="1" x14ac:dyDescent="0.2">
      <c r="C329" s="2"/>
    </row>
    <row r="330" spans="3:3" ht="15.75" customHeight="1" x14ac:dyDescent="0.2">
      <c r="C330" s="2"/>
    </row>
    <row r="331" spans="3:3" ht="15.75" customHeight="1" x14ac:dyDescent="0.2">
      <c r="C331" s="2"/>
    </row>
    <row r="332" spans="3:3" ht="15.75" customHeight="1" x14ac:dyDescent="0.2">
      <c r="C332" s="2"/>
    </row>
    <row r="333" spans="3:3" ht="15.75" customHeight="1" x14ac:dyDescent="0.2">
      <c r="C333" s="2"/>
    </row>
    <row r="334" spans="3:3" ht="15.75" customHeight="1" x14ac:dyDescent="0.2">
      <c r="C334" s="2"/>
    </row>
    <row r="335" spans="3:3" ht="15.75" customHeight="1" x14ac:dyDescent="0.2">
      <c r="C335" s="2"/>
    </row>
    <row r="336" spans="3:3" ht="15.75" customHeight="1" x14ac:dyDescent="0.2">
      <c r="C336" s="2"/>
    </row>
    <row r="337" spans="3:3" ht="15.75" customHeight="1" x14ac:dyDescent="0.2">
      <c r="C337" s="2"/>
    </row>
    <row r="338" spans="3:3" ht="15.75" customHeight="1" x14ac:dyDescent="0.2">
      <c r="C338" s="2"/>
    </row>
    <row r="339" spans="3:3" ht="15.75" customHeight="1" x14ac:dyDescent="0.2">
      <c r="C339" s="2"/>
    </row>
    <row r="340" spans="3:3" ht="15.75" customHeight="1" x14ac:dyDescent="0.2">
      <c r="C340" s="2"/>
    </row>
    <row r="341" spans="3:3" ht="15.75" customHeight="1" x14ac:dyDescent="0.2">
      <c r="C341" s="2"/>
    </row>
    <row r="342" spans="3:3" ht="15.75" customHeight="1" x14ac:dyDescent="0.2">
      <c r="C342" s="2"/>
    </row>
    <row r="343" spans="3:3" ht="15.75" customHeight="1" x14ac:dyDescent="0.2">
      <c r="C343" s="2"/>
    </row>
    <row r="344" spans="3:3" ht="15.75" customHeight="1" x14ac:dyDescent="0.2">
      <c r="C344" s="2"/>
    </row>
    <row r="345" spans="3:3" ht="15.75" customHeight="1" x14ac:dyDescent="0.2">
      <c r="C345" s="2"/>
    </row>
    <row r="346" spans="3:3" ht="15.75" customHeight="1" x14ac:dyDescent="0.2">
      <c r="C346" s="2"/>
    </row>
    <row r="347" spans="3:3" ht="15.75" customHeight="1" x14ac:dyDescent="0.2">
      <c r="C347" s="2"/>
    </row>
    <row r="348" spans="3:3" ht="15.75" customHeight="1" x14ac:dyDescent="0.2">
      <c r="C348" s="2"/>
    </row>
    <row r="349" spans="3:3" ht="15.75" customHeight="1" x14ac:dyDescent="0.2">
      <c r="C349" s="2"/>
    </row>
    <row r="350" spans="3:3" ht="15.75" customHeight="1" x14ac:dyDescent="0.2">
      <c r="C350" s="2"/>
    </row>
    <row r="351" spans="3:3" ht="15.75" customHeight="1" x14ac:dyDescent="0.2">
      <c r="C351" s="2"/>
    </row>
    <row r="352" spans="3:3" ht="15.75" customHeight="1" x14ac:dyDescent="0.2">
      <c r="C352" s="2"/>
    </row>
    <row r="353" spans="3:3" ht="15.75" customHeight="1" x14ac:dyDescent="0.2">
      <c r="C353" s="2"/>
    </row>
    <row r="354" spans="3:3" ht="15.75" customHeight="1" x14ac:dyDescent="0.2">
      <c r="C354" s="2"/>
    </row>
    <row r="355" spans="3:3" ht="15.75" customHeight="1" x14ac:dyDescent="0.2">
      <c r="C355" s="2"/>
    </row>
    <row r="356" spans="3:3" ht="15.75" customHeight="1" x14ac:dyDescent="0.2">
      <c r="C356" s="2"/>
    </row>
    <row r="357" spans="3:3" ht="15.75" customHeight="1" x14ac:dyDescent="0.2">
      <c r="C357" s="2"/>
    </row>
    <row r="358" spans="3:3" ht="15.75" customHeight="1" x14ac:dyDescent="0.2">
      <c r="C358" s="2"/>
    </row>
    <row r="359" spans="3:3" ht="15.75" customHeight="1" x14ac:dyDescent="0.2">
      <c r="C359" s="2"/>
    </row>
    <row r="360" spans="3:3" ht="15.75" customHeight="1" x14ac:dyDescent="0.2">
      <c r="C360" s="2"/>
    </row>
    <row r="361" spans="3:3" ht="15.75" customHeight="1" x14ac:dyDescent="0.2">
      <c r="C361" s="2"/>
    </row>
    <row r="362" spans="3:3" ht="15.75" customHeight="1" x14ac:dyDescent="0.2">
      <c r="C362" s="2"/>
    </row>
    <row r="363" spans="3:3" ht="15.75" customHeight="1" x14ac:dyDescent="0.2">
      <c r="C363" s="2"/>
    </row>
    <row r="364" spans="3:3" ht="15.75" customHeight="1" x14ac:dyDescent="0.2">
      <c r="C364" s="2"/>
    </row>
    <row r="365" spans="3:3" ht="15.75" customHeight="1" x14ac:dyDescent="0.2">
      <c r="C365" s="2"/>
    </row>
    <row r="366" spans="3:3" ht="15.75" customHeight="1" x14ac:dyDescent="0.2">
      <c r="C366" s="2"/>
    </row>
    <row r="367" spans="3:3" ht="15.75" customHeight="1" x14ac:dyDescent="0.2">
      <c r="C367" s="2"/>
    </row>
    <row r="368" spans="3:3" ht="15.75" customHeight="1" x14ac:dyDescent="0.2">
      <c r="C368" s="2"/>
    </row>
    <row r="369" spans="3:3" ht="15.75" customHeight="1" x14ac:dyDescent="0.2">
      <c r="C369" s="2"/>
    </row>
    <row r="370" spans="3:3" ht="15.75" customHeight="1" x14ac:dyDescent="0.2">
      <c r="C370" s="2"/>
    </row>
    <row r="371" spans="3:3" ht="15.75" customHeight="1" x14ac:dyDescent="0.2">
      <c r="C371" s="2"/>
    </row>
    <row r="372" spans="3:3" ht="15.75" customHeight="1" x14ac:dyDescent="0.2">
      <c r="C372" s="2"/>
    </row>
    <row r="373" spans="3:3" ht="15.75" customHeight="1" x14ac:dyDescent="0.2">
      <c r="C373" s="2"/>
    </row>
    <row r="374" spans="3:3" ht="15.75" customHeight="1" x14ac:dyDescent="0.2">
      <c r="C374" s="2"/>
    </row>
    <row r="375" spans="3:3" ht="15.75" customHeight="1" x14ac:dyDescent="0.2">
      <c r="C375" s="2"/>
    </row>
    <row r="376" spans="3:3" ht="15.75" customHeight="1" x14ac:dyDescent="0.2">
      <c r="C376" s="2"/>
    </row>
    <row r="377" spans="3:3" ht="15.75" customHeight="1" x14ac:dyDescent="0.2">
      <c r="C377" s="2"/>
    </row>
    <row r="378" spans="3:3" ht="15.75" customHeight="1" x14ac:dyDescent="0.2">
      <c r="C378" s="2"/>
    </row>
    <row r="379" spans="3:3" ht="15.75" customHeight="1" x14ac:dyDescent="0.2">
      <c r="C379" s="2"/>
    </row>
    <row r="380" spans="3:3" ht="15.75" customHeight="1" x14ac:dyDescent="0.2">
      <c r="C380" s="2"/>
    </row>
    <row r="381" spans="3:3" ht="15.75" customHeight="1" x14ac:dyDescent="0.2">
      <c r="C381" s="2"/>
    </row>
    <row r="382" spans="3:3" ht="15.75" customHeight="1" x14ac:dyDescent="0.2">
      <c r="C382" s="2"/>
    </row>
    <row r="383" spans="3:3" ht="15.75" customHeight="1" x14ac:dyDescent="0.2">
      <c r="C383" s="2"/>
    </row>
    <row r="384" spans="3:3" ht="15.75" customHeight="1" x14ac:dyDescent="0.2">
      <c r="C384" s="2"/>
    </row>
    <row r="385" spans="3:3" ht="15.75" customHeight="1" x14ac:dyDescent="0.2">
      <c r="C385" s="2"/>
    </row>
    <row r="386" spans="3:3" ht="15.75" customHeight="1" x14ac:dyDescent="0.2">
      <c r="C386" s="2"/>
    </row>
    <row r="387" spans="3:3" ht="15.75" customHeight="1" x14ac:dyDescent="0.2">
      <c r="C387" s="2"/>
    </row>
    <row r="388" spans="3:3" ht="15.75" customHeight="1" x14ac:dyDescent="0.2">
      <c r="C388" s="2"/>
    </row>
    <row r="389" spans="3:3" ht="15.75" customHeight="1" x14ac:dyDescent="0.2">
      <c r="C389" s="2"/>
    </row>
    <row r="390" spans="3:3" ht="15.75" customHeight="1" x14ac:dyDescent="0.2">
      <c r="C390" s="2"/>
    </row>
    <row r="391" spans="3:3" ht="15.75" customHeight="1" x14ac:dyDescent="0.2">
      <c r="C391" s="2"/>
    </row>
    <row r="392" spans="3:3" ht="15.75" customHeight="1" x14ac:dyDescent="0.2">
      <c r="C392" s="2"/>
    </row>
    <row r="393" spans="3:3" ht="15.75" customHeight="1" x14ac:dyDescent="0.2">
      <c r="C393" s="2"/>
    </row>
    <row r="394" spans="3:3" ht="15.75" customHeight="1" x14ac:dyDescent="0.2">
      <c r="C394" s="2"/>
    </row>
    <row r="395" spans="3:3" ht="15.75" customHeight="1" x14ac:dyDescent="0.2">
      <c r="C395" s="2"/>
    </row>
    <row r="396" spans="3:3" ht="15.75" customHeight="1" x14ac:dyDescent="0.2">
      <c r="C396" s="2"/>
    </row>
    <row r="397" spans="3:3" ht="15.75" customHeight="1" x14ac:dyDescent="0.2">
      <c r="C397" s="2"/>
    </row>
    <row r="398" spans="3:3" ht="15.75" customHeight="1" x14ac:dyDescent="0.2">
      <c r="C398" s="2"/>
    </row>
    <row r="399" spans="3:3" ht="15.75" customHeight="1" x14ac:dyDescent="0.2">
      <c r="C399" s="2"/>
    </row>
    <row r="400" spans="3:3" ht="15.75" customHeight="1" x14ac:dyDescent="0.2">
      <c r="C400" s="2"/>
    </row>
    <row r="401" spans="3:3" ht="15.75" customHeight="1" x14ac:dyDescent="0.2">
      <c r="C401" s="2"/>
    </row>
    <row r="402" spans="3:3" ht="15.75" customHeight="1" x14ac:dyDescent="0.2">
      <c r="C402" s="2"/>
    </row>
    <row r="403" spans="3:3" ht="15.75" customHeight="1" x14ac:dyDescent="0.2">
      <c r="C403" s="2"/>
    </row>
    <row r="404" spans="3:3" ht="15.75" customHeight="1" x14ac:dyDescent="0.2">
      <c r="C404" s="2"/>
    </row>
    <row r="405" spans="3:3" ht="15.75" customHeight="1" x14ac:dyDescent="0.2">
      <c r="C405" s="2"/>
    </row>
    <row r="406" spans="3:3" ht="15.75" customHeight="1" x14ac:dyDescent="0.2">
      <c r="C406" s="2"/>
    </row>
    <row r="407" spans="3:3" ht="15.75" customHeight="1" x14ac:dyDescent="0.2">
      <c r="C407" s="2"/>
    </row>
    <row r="408" spans="3:3" ht="15.75" customHeight="1" x14ac:dyDescent="0.2">
      <c r="C408" s="2"/>
    </row>
    <row r="409" spans="3:3" ht="15.75" customHeight="1" x14ac:dyDescent="0.2">
      <c r="C409" s="2"/>
    </row>
    <row r="410" spans="3:3" ht="15.75" customHeight="1" x14ac:dyDescent="0.2">
      <c r="C410" s="2"/>
    </row>
    <row r="411" spans="3:3" ht="15.75" customHeight="1" x14ac:dyDescent="0.2">
      <c r="C411" s="2"/>
    </row>
    <row r="412" spans="3:3" ht="15.75" customHeight="1" x14ac:dyDescent="0.2">
      <c r="C412" s="2"/>
    </row>
    <row r="413" spans="3:3" ht="15.75" customHeight="1" x14ac:dyDescent="0.2">
      <c r="C413" s="2"/>
    </row>
    <row r="414" spans="3:3" ht="15.75" customHeight="1" x14ac:dyDescent="0.2">
      <c r="C414" s="2"/>
    </row>
    <row r="415" spans="3:3" ht="15.75" customHeight="1" x14ac:dyDescent="0.2">
      <c r="C415" s="2"/>
    </row>
    <row r="416" spans="3:3" ht="15.75" customHeight="1" x14ac:dyDescent="0.2">
      <c r="C416" s="2"/>
    </row>
    <row r="417" spans="3:3" ht="15.75" customHeight="1" x14ac:dyDescent="0.2">
      <c r="C417" s="2"/>
    </row>
    <row r="418" spans="3:3" ht="15.75" customHeight="1" x14ac:dyDescent="0.2">
      <c r="C418" s="2"/>
    </row>
    <row r="419" spans="3:3" ht="15.75" customHeight="1" x14ac:dyDescent="0.2">
      <c r="C419" s="2"/>
    </row>
    <row r="420" spans="3:3" ht="15.75" customHeight="1" x14ac:dyDescent="0.2">
      <c r="C420" s="2"/>
    </row>
    <row r="421" spans="3:3" ht="15.75" customHeight="1" x14ac:dyDescent="0.2">
      <c r="C421" s="2"/>
    </row>
    <row r="422" spans="3:3" ht="15.75" customHeight="1" x14ac:dyDescent="0.2">
      <c r="C422" s="2"/>
    </row>
    <row r="423" spans="3:3" ht="15.75" customHeight="1" x14ac:dyDescent="0.2">
      <c r="C423" s="2"/>
    </row>
    <row r="424" spans="3:3" ht="15.75" customHeight="1" x14ac:dyDescent="0.2">
      <c r="C424" s="2"/>
    </row>
    <row r="425" spans="3:3" ht="15.75" customHeight="1" x14ac:dyDescent="0.2">
      <c r="C425" s="2"/>
    </row>
    <row r="426" spans="3:3" ht="15.75" customHeight="1" x14ac:dyDescent="0.2">
      <c r="C426" s="2"/>
    </row>
    <row r="427" spans="3:3" ht="15.75" customHeight="1" x14ac:dyDescent="0.2">
      <c r="C427" s="2"/>
    </row>
    <row r="428" spans="3:3" ht="15.75" customHeight="1" x14ac:dyDescent="0.2">
      <c r="C428" s="2"/>
    </row>
    <row r="429" spans="3:3" ht="15.75" customHeight="1" x14ac:dyDescent="0.2">
      <c r="C429" s="2"/>
    </row>
    <row r="430" spans="3:3" ht="15.75" customHeight="1" x14ac:dyDescent="0.2">
      <c r="C430" s="2"/>
    </row>
    <row r="431" spans="3:3" ht="15.75" customHeight="1" x14ac:dyDescent="0.2">
      <c r="C431" s="2"/>
    </row>
    <row r="432" spans="3:3" ht="15.75" customHeight="1" x14ac:dyDescent="0.2">
      <c r="C432" s="2"/>
    </row>
    <row r="433" spans="3:3" ht="15.75" customHeight="1" x14ac:dyDescent="0.2">
      <c r="C433" s="2"/>
    </row>
    <row r="434" spans="3:3" ht="15.75" customHeight="1" x14ac:dyDescent="0.2">
      <c r="C434" s="2"/>
    </row>
    <row r="435" spans="3:3" ht="15.75" customHeight="1" x14ac:dyDescent="0.2">
      <c r="C435" s="2"/>
    </row>
    <row r="436" spans="3:3" ht="15.75" customHeight="1" x14ac:dyDescent="0.2">
      <c r="C436" s="2"/>
    </row>
    <row r="437" spans="3:3" ht="15.75" customHeight="1" x14ac:dyDescent="0.2">
      <c r="C437" s="2"/>
    </row>
    <row r="438" spans="3:3" ht="15.75" customHeight="1" x14ac:dyDescent="0.2">
      <c r="C438" s="2"/>
    </row>
    <row r="439" spans="3:3" ht="15.75" customHeight="1" x14ac:dyDescent="0.2">
      <c r="C439" s="2"/>
    </row>
    <row r="440" spans="3:3" ht="15.75" customHeight="1" x14ac:dyDescent="0.2">
      <c r="C440" s="2"/>
    </row>
    <row r="441" spans="3:3" ht="15.75" customHeight="1" x14ac:dyDescent="0.2">
      <c r="C441" s="2"/>
    </row>
    <row r="442" spans="3:3" ht="15.75" customHeight="1" x14ac:dyDescent="0.2">
      <c r="C442" s="2"/>
    </row>
    <row r="443" spans="3:3" ht="15.75" customHeight="1" x14ac:dyDescent="0.2">
      <c r="C443" s="2"/>
    </row>
    <row r="444" spans="3:3" ht="15.75" customHeight="1" x14ac:dyDescent="0.2">
      <c r="C444" s="2"/>
    </row>
    <row r="445" spans="3:3" ht="15.75" customHeight="1" x14ac:dyDescent="0.2">
      <c r="C445" s="2"/>
    </row>
    <row r="446" spans="3:3" ht="15.75" customHeight="1" x14ac:dyDescent="0.2">
      <c r="C446" s="2"/>
    </row>
    <row r="447" spans="3:3" ht="15.75" customHeight="1" x14ac:dyDescent="0.2">
      <c r="C447" s="2"/>
    </row>
    <row r="448" spans="3:3" ht="15.75" customHeight="1" x14ac:dyDescent="0.2">
      <c r="C448" s="2"/>
    </row>
    <row r="449" spans="3:3" ht="15.75" customHeight="1" x14ac:dyDescent="0.2">
      <c r="C449" s="2"/>
    </row>
    <row r="450" spans="3:3" ht="15.75" customHeight="1" x14ac:dyDescent="0.2">
      <c r="C450" s="2"/>
    </row>
    <row r="451" spans="3:3" ht="15.75" customHeight="1" x14ac:dyDescent="0.2">
      <c r="C451" s="2"/>
    </row>
    <row r="452" spans="3:3" ht="15.75" customHeight="1" x14ac:dyDescent="0.2">
      <c r="C452" s="2"/>
    </row>
    <row r="453" spans="3:3" ht="15.75" customHeight="1" x14ac:dyDescent="0.2">
      <c r="C453" s="2"/>
    </row>
    <row r="454" spans="3:3" ht="15.75" customHeight="1" x14ac:dyDescent="0.2">
      <c r="C454" s="2"/>
    </row>
    <row r="455" spans="3:3" ht="15.75" customHeight="1" x14ac:dyDescent="0.2">
      <c r="C455" s="2"/>
    </row>
    <row r="456" spans="3:3" ht="15.75" customHeight="1" x14ac:dyDescent="0.2">
      <c r="C456" s="2"/>
    </row>
    <row r="457" spans="3:3" ht="15.75" customHeight="1" x14ac:dyDescent="0.2">
      <c r="C457" s="2"/>
    </row>
    <row r="458" spans="3:3" ht="15.75" customHeight="1" x14ac:dyDescent="0.2">
      <c r="C458" s="2"/>
    </row>
    <row r="459" spans="3:3" ht="15.75" customHeight="1" x14ac:dyDescent="0.2">
      <c r="C459" s="2"/>
    </row>
    <row r="460" spans="3:3" ht="15.75" customHeight="1" x14ac:dyDescent="0.2">
      <c r="C460" s="2"/>
    </row>
    <row r="461" spans="3:3" ht="15.75" customHeight="1" x14ac:dyDescent="0.2">
      <c r="C461" s="2"/>
    </row>
    <row r="462" spans="3:3" ht="15.75" customHeight="1" x14ac:dyDescent="0.2">
      <c r="C462" s="2"/>
    </row>
    <row r="463" spans="3:3" ht="15.75" customHeight="1" x14ac:dyDescent="0.2">
      <c r="C463" s="2"/>
    </row>
    <row r="464" spans="3:3" ht="15.75" customHeight="1" x14ac:dyDescent="0.2">
      <c r="C464" s="2"/>
    </row>
    <row r="465" spans="3:3" ht="15.75" customHeight="1" x14ac:dyDescent="0.2">
      <c r="C465" s="2"/>
    </row>
    <row r="466" spans="3:3" ht="15.75" customHeight="1" x14ac:dyDescent="0.2">
      <c r="C466" s="2"/>
    </row>
    <row r="467" spans="3:3" ht="15.75" customHeight="1" x14ac:dyDescent="0.2">
      <c r="C467" s="2"/>
    </row>
    <row r="468" spans="3:3" ht="15.75" customHeight="1" x14ac:dyDescent="0.2">
      <c r="C468" s="2"/>
    </row>
    <row r="469" spans="3:3" ht="15.75" customHeight="1" x14ac:dyDescent="0.2">
      <c r="C469" s="2"/>
    </row>
    <row r="470" spans="3:3" ht="15.75" customHeight="1" x14ac:dyDescent="0.2">
      <c r="C470" s="2"/>
    </row>
    <row r="471" spans="3:3" ht="15.75" customHeight="1" x14ac:dyDescent="0.2">
      <c r="C471" s="2"/>
    </row>
    <row r="472" spans="3:3" ht="15.75" customHeight="1" x14ac:dyDescent="0.2">
      <c r="C472" s="2"/>
    </row>
    <row r="473" spans="3:3" ht="15.75" customHeight="1" x14ac:dyDescent="0.2">
      <c r="C473" s="2"/>
    </row>
    <row r="474" spans="3:3" ht="15.75" customHeight="1" x14ac:dyDescent="0.2">
      <c r="C474" s="2"/>
    </row>
    <row r="475" spans="3:3" ht="15.75" customHeight="1" x14ac:dyDescent="0.2">
      <c r="C475" s="2"/>
    </row>
    <row r="476" spans="3:3" ht="15.75" customHeight="1" x14ac:dyDescent="0.2">
      <c r="C476" s="2"/>
    </row>
    <row r="477" spans="3:3" ht="15.75" customHeight="1" x14ac:dyDescent="0.2">
      <c r="C477" s="2"/>
    </row>
    <row r="478" spans="3:3" ht="15.75" customHeight="1" x14ac:dyDescent="0.2">
      <c r="C478" s="2"/>
    </row>
    <row r="479" spans="3:3" ht="15.75" customHeight="1" x14ac:dyDescent="0.2">
      <c r="C479" s="2"/>
    </row>
    <row r="480" spans="3:3" ht="15.75" customHeight="1" x14ac:dyDescent="0.2">
      <c r="C480" s="2"/>
    </row>
    <row r="481" spans="3:3" ht="15.75" customHeight="1" x14ac:dyDescent="0.2">
      <c r="C481" s="2"/>
    </row>
    <row r="482" spans="3:3" ht="15.75" customHeight="1" x14ac:dyDescent="0.2">
      <c r="C482" s="2"/>
    </row>
    <row r="483" spans="3:3" ht="15.75" customHeight="1" x14ac:dyDescent="0.2">
      <c r="C483" s="2"/>
    </row>
    <row r="484" spans="3:3" ht="15.75" customHeight="1" x14ac:dyDescent="0.2">
      <c r="C484" s="2"/>
    </row>
    <row r="485" spans="3:3" ht="15.75" customHeight="1" x14ac:dyDescent="0.2">
      <c r="C485" s="2"/>
    </row>
    <row r="486" spans="3:3" ht="15.75" customHeight="1" x14ac:dyDescent="0.2">
      <c r="C486" s="2"/>
    </row>
    <row r="487" spans="3:3" ht="15.75" customHeight="1" x14ac:dyDescent="0.2">
      <c r="C487" s="2"/>
    </row>
    <row r="488" spans="3:3" ht="15.75" customHeight="1" x14ac:dyDescent="0.2">
      <c r="C488" s="2"/>
    </row>
    <row r="489" spans="3:3" ht="15.75" customHeight="1" x14ac:dyDescent="0.2">
      <c r="C489" s="2"/>
    </row>
    <row r="490" spans="3:3" ht="15.75" customHeight="1" x14ac:dyDescent="0.2">
      <c r="C490" s="2"/>
    </row>
    <row r="491" spans="3:3" ht="15.75" customHeight="1" x14ac:dyDescent="0.2">
      <c r="C491" s="2"/>
    </row>
    <row r="492" spans="3:3" ht="15.75" customHeight="1" x14ac:dyDescent="0.2">
      <c r="C492" s="2"/>
    </row>
    <row r="493" spans="3:3" ht="15.75" customHeight="1" x14ac:dyDescent="0.2">
      <c r="C493" s="2"/>
    </row>
    <row r="494" spans="3:3" ht="15.75" customHeight="1" x14ac:dyDescent="0.2">
      <c r="C494" s="2"/>
    </row>
    <row r="495" spans="3:3" ht="15.75" customHeight="1" x14ac:dyDescent="0.2">
      <c r="C495" s="2"/>
    </row>
    <row r="496" spans="3:3" ht="15.75" customHeight="1" x14ac:dyDescent="0.2">
      <c r="C496" s="2"/>
    </row>
    <row r="497" spans="3:3" ht="15.75" customHeight="1" x14ac:dyDescent="0.2">
      <c r="C497" s="2"/>
    </row>
    <row r="498" spans="3:3" ht="15.75" customHeight="1" x14ac:dyDescent="0.2">
      <c r="C498" s="2"/>
    </row>
    <row r="499" spans="3:3" ht="15.75" customHeight="1" x14ac:dyDescent="0.2">
      <c r="C499" s="2"/>
    </row>
    <row r="500" spans="3:3" ht="15.75" customHeight="1" x14ac:dyDescent="0.2">
      <c r="C500" s="2"/>
    </row>
    <row r="501" spans="3:3" ht="15.75" customHeight="1" x14ac:dyDescent="0.2">
      <c r="C501" s="2"/>
    </row>
    <row r="502" spans="3:3" ht="15.75" customHeight="1" x14ac:dyDescent="0.2">
      <c r="C502" s="2"/>
    </row>
    <row r="503" spans="3:3" ht="15.75" customHeight="1" x14ac:dyDescent="0.2">
      <c r="C503" s="2"/>
    </row>
    <row r="504" spans="3:3" ht="15.75" customHeight="1" x14ac:dyDescent="0.2">
      <c r="C504" s="2"/>
    </row>
    <row r="505" spans="3:3" ht="15.75" customHeight="1" x14ac:dyDescent="0.2">
      <c r="C505" s="2"/>
    </row>
    <row r="506" spans="3:3" ht="15.75" customHeight="1" x14ac:dyDescent="0.2">
      <c r="C506" s="2"/>
    </row>
    <row r="507" spans="3:3" ht="15.75" customHeight="1" x14ac:dyDescent="0.2">
      <c r="C507" s="2"/>
    </row>
    <row r="508" spans="3:3" ht="15.75" customHeight="1" x14ac:dyDescent="0.2">
      <c r="C508" s="2"/>
    </row>
    <row r="509" spans="3:3" ht="15.75" customHeight="1" x14ac:dyDescent="0.2">
      <c r="C509" s="2"/>
    </row>
    <row r="510" spans="3:3" ht="15.75" customHeight="1" x14ac:dyDescent="0.2">
      <c r="C510" s="2"/>
    </row>
    <row r="511" spans="3:3" ht="15.75" customHeight="1" x14ac:dyDescent="0.2">
      <c r="C511" s="2"/>
    </row>
    <row r="512" spans="3:3" ht="15.75" customHeight="1" x14ac:dyDescent="0.2">
      <c r="C512" s="2"/>
    </row>
    <row r="513" spans="3:3" ht="15.75" customHeight="1" x14ac:dyDescent="0.2">
      <c r="C513" s="2"/>
    </row>
    <row r="514" spans="3:3" ht="15.75" customHeight="1" x14ac:dyDescent="0.2">
      <c r="C514" s="2"/>
    </row>
    <row r="515" spans="3:3" ht="15.75" customHeight="1" x14ac:dyDescent="0.2">
      <c r="C515" s="2"/>
    </row>
    <row r="516" spans="3:3" ht="15.75" customHeight="1" x14ac:dyDescent="0.2">
      <c r="C516" s="2"/>
    </row>
    <row r="517" spans="3:3" ht="15.75" customHeight="1" x14ac:dyDescent="0.2">
      <c r="C517" s="2"/>
    </row>
    <row r="518" spans="3:3" ht="15.75" customHeight="1" x14ac:dyDescent="0.2">
      <c r="C518" s="2"/>
    </row>
    <row r="519" spans="3:3" ht="15.75" customHeight="1" x14ac:dyDescent="0.2">
      <c r="C519" s="2"/>
    </row>
    <row r="520" spans="3:3" ht="15.75" customHeight="1" x14ac:dyDescent="0.2">
      <c r="C520" s="2"/>
    </row>
    <row r="521" spans="3:3" ht="15.75" customHeight="1" x14ac:dyDescent="0.2">
      <c r="C521" s="2"/>
    </row>
    <row r="522" spans="3:3" ht="15.75" customHeight="1" x14ac:dyDescent="0.2">
      <c r="C522" s="2"/>
    </row>
    <row r="523" spans="3:3" ht="15.75" customHeight="1" x14ac:dyDescent="0.2">
      <c r="C523" s="2"/>
    </row>
    <row r="524" spans="3:3" ht="15.75" customHeight="1" x14ac:dyDescent="0.2">
      <c r="C524" s="2"/>
    </row>
    <row r="525" spans="3:3" ht="15.75" customHeight="1" x14ac:dyDescent="0.2">
      <c r="C525" s="2"/>
    </row>
    <row r="526" spans="3:3" ht="15.75" customHeight="1" x14ac:dyDescent="0.2">
      <c r="C526" s="2"/>
    </row>
    <row r="527" spans="3:3" ht="15.75" customHeight="1" x14ac:dyDescent="0.2">
      <c r="C527" s="2"/>
    </row>
    <row r="528" spans="3:3" ht="15.75" customHeight="1" x14ac:dyDescent="0.2">
      <c r="C528" s="2"/>
    </row>
    <row r="529" spans="3:3" ht="15.75" customHeight="1" x14ac:dyDescent="0.2">
      <c r="C529" s="2"/>
    </row>
    <row r="530" spans="3:3" ht="15.75" customHeight="1" x14ac:dyDescent="0.2">
      <c r="C530" s="2"/>
    </row>
    <row r="531" spans="3:3" ht="15.75" customHeight="1" x14ac:dyDescent="0.2">
      <c r="C531" s="2"/>
    </row>
    <row r="532" spans="3:3" ht="15.75" customHeight="1" x14ac:dyDescent="0.2">
      <c r="C532" s="2"/>
    </row>
    <row r="533" spans="3:3" ht="15.75" customHeight="1" x14ac:dyDescent="0.2">
      <c r="C533" s="2"/>
    </row>
    <row r="534" spans="3:3" ht="15.75" customHeight="1" x14ac:dyDescent="0.2">
      <c r="C534" s="2"/>
    </row>
    <row r="535" spans="3:3" ht="15.75" customHeight="1" x14ac:dyDescent="0.2">
      <c r="C535" s="2"/>
    </row>
    <row r="536" spans="3:3" ht="15.75" customHeight="1" x14ac:dyDescent="0.2">
      <c r="C536" s="2"/>
    </row>
    <row r="537" spans="3:3" ht="15.75" customHeight="1" x14ac:dyDescent="0.2">
      <c r="C537" s="2"/>
    </row>
    <row r="538" spans="3:3" ht="15.75" customHeight="1" x14ac:dyDescent="0.2">
      <c r="C538" s="2"/>
    </row>
    <row r="539" spans="3:3" ht="15.75" customHeight="1" x14ac:dyDescent="0.2">
      <c r="C539" s="2"/>
    </row>
    <row r="540" spans="3:3" ht="15.75" customHeight="1" x14ac:dyDescent="0.2">
      <c r="C540" s="2"/>
    </row>
    <row r="541" spans="3:3" ht="15.75" customHeight="1" x14ac:dyDescent="0.2">
      <c r="C541" s="2"/>
    </row>
    <row r="542" spans="3:3" ht="15.75" customHeight="1" x14ac:dyDescent="0.2">
      <c r="C542" s="2"/>
    </row>
    <row r="543" spans="3:3" ht="15.75" customHeight="1" x14ac:dyDescent="0.2">
      <c r="C543" s="2"/>
    </row>
    <row r="544" spans="3:3" ht="15.75" customHeight="1" x14ac:dyDescent="0.2">
      <c r="C544" s="2"/>
    </row>
    <row r="545" spans="3:3" ht="15.75" customHeight="1" x14ac:dyDescent="0.2">
      <c r="C545" s="2"/>
    </row>
    <row r="546" spans="3:3" ht="15.75" customHeight="1" x14ac:dyDescent="0.2">
      <c r="C546" s="2"/>
    </row>
    <row r="547" spans="3:3" ht="15.75" customHeight="1" x14ac:dyDescent="0.2">
      <c r="C547" s="2"/>
    </row>
    <row r="548" spans="3:3" ht="15.75" customHeight="1" x14ac:dyDescent="0.2">
      <c r="C548" s="2"/>
    </row>
    <row r="549" spans="3:3" ht="15.75" customHeight="1" x14ac:dyDescent="0.2">
      <c r="C549" s="2"/>
    </row>
    <row r="550" spans="3:3" ht="15.75" customHeight="1" x14ac:dyDescent="0.2">
      <c r="C550" s="2"/>
    </row>
    <row r="551" spans="3:3" ht="15.75" customHeight="1" x14ac:dyDescent="0.2">
      <c r="C551" s="2"/>
    </row>
    <row r="552" spans="3:3" ht="15.75" customHeight="1" x14ac:dyDescent="0.2">
      <c r="C552" s="2"/>
    </row>
    <row r="553" spans="3:3" ht="15.75" customHeight="1" x14ac:dyDescent="0.2">
      <c r="C553" s="2"/>
    </row>
    <row r="554" spans="3:3" ht="15.75" customHeight="1" x14ac:dyDescent="0.2">
      <c r="C554" s="2"/>
    </row>
    <row r="555" spans="3:3" ht="15.75" customHeight="1" x14ac:dyDescent="0.2">
      <c r="C555" s="2"/>
    </row>
    <row r="556" spans="3:3" ht="15.75" customHeight="1" x14ac:dyDescent="0.2">
      <c r="C556" s="2"/>
    </row>
    <row r="557" spans="3:3" ht="15.75" customHeight="1" x14ac:dyDescent="0.2">
      <c r="C557" s="2"/>
    </row>
    <row r="558" spans="3:3" ht="15.75" customHeight="1" x14ac:dyDescent="0.2">
      <c r="C558" s="2"/>
    </row>
    <row r="559" spans="3:3" ht="15.75" customHeight="1" x14ac:dyDescent="0.2">
      <c r="C559" s="2"/>
    </row>
    <row r="560" spans="3:3" ht="15.75" customHeight="1" x14ac:dyDescent="0.2">
      <c r="C560" s="2"/>
    </row>
    <row r="561" spans="3:3" ht="15.75" customHeight="1" x14ac:dyDescent="0.2">
      <c r="C561" s="2"/>
    </row>
    <row r="562" spans="3:3" ht="15.75" customHeight="1" x14ac:dyDescent="0.2">
      <c r="C562" s="2"/>
    </row>
    <row r="563" spans="3:3" ht="15.75" customHeight="1" x14ac:dyDescent="0.2">
      <c r="C563" s="2"/>
    </row>
    <row r="564" spans="3:3" ht="15.75" customHeight="1" x14ac:dyDescent="0.2">
      <c r="C564" s="2"/>
    </row>
    <row r="565" spans="3:3" ht="15.75" customHeight="1" x14ac:dyDescent="0.2">
      <c r="C565" s="2"/>
    </row>
    <row r="566" spans="3:3" ht="15.75" customHeight="1" x14ac:dyDescent="0.2">
      <c r="C566" s="2"/>
    </row>
    <row r="567" spans="3:3" ht="15.75" customHeight="1" x14ac:dyDescent="0.2">
      <c r="C567" s="2"/>
    </row>
    <row r="568" spans="3:3" ht="15.75" customHeight="1" x14ac:dyDescent="0.2">
      <c r="C568" s="2"/>
    </row>
    <row r="569" spans="3:3" ht="15.75" customHeight="1" x14ac:dyDescent="0.2">
      <c r="C569" s="2"/>
    </row>
    <row r="570" spans="3:3" ht="15.75" customHeight="1" x14ac:dyDescent="0.2">
      <c r="C570" s="2"/>
    </row>
    <row r="571" spans="3:3" ht="15.75" customHeight="1" x14ac:dyDescent="0.2">
      <c r="C571" s="2"/>
    </row>
    <row r="572" spans="3:3" ht="15.75" customHeight="1" x14ac:dyDescent="0.2">
      <c r="C572" s="2"/>
    </row>
    <row r="573" spans="3:3" ht="15.75" customHeight="1" x14ac:dyDescent="0.2">
      <c r="C573" s="2"/>
    </row>
    <row r="574" spans="3:3" ht="15.75" customHeight="1" x14ac:dyDescent="0.2">
      <c r="C574" s="2"/>
    </row>
    <row r="575" spans="3:3" ht="15.75" customHeight="1" x14ac:dyDescent="0.2">
      <c r="C575" s="2"/>
    </row>
    <row r="576" spans="3:3" ht="15.75" customHeight="1" x14ac:dyDescent="0.2">
      <c r="C576" s="2"/>
    </row>
    <row r="577" spans="3:3" ht="15.75" customHeight="1" x14ac:dyDescent="0.2">
      <c r="C577" s="2"/>
    </row>
    <row r="578" spans="3:3" ht="15.75" customHeight="1" x14ac:dyDescent="0.2">
      <c r="C578" s="2"/>
    </row>
    <row r="579" spans="3:3" ht="15.75" customHeight="1" x14ac:dyDescent="0.2">
      <c r="C579" s="2"/>
    </row>
    <row r="580" spans="3:3" ht="15.75" customHeight="1" x14ac:dyDescent="0.2">
      <c r="C580" s="2"/>
    </row>
    <row r="581" spans="3:3" ht="15.75" customHeight="1" x14ac:dyDescent="0.2">
      <c r="C581" s="2"/>
    </row>
    <row r="582" spans="3:3" ht="15.75" customHeight="1" x14ac:dyDescent="0.2">
      <c r="C582" s="2"/>
    </row>
    <row r="583" spans="3:3" ht="15.75" customHeight="1" x14ac:dyDescent="0.2">
      <c r="C583" s="2"/>
    </row>
    <row r="584" spans="3:3" ht="15.75" customHeight="1" x14ac:dyDescent="0.2">
      <c r="C584" s="2"/>
    </row>
    <row r="585" spans="3:3" ht="15.75" customHeight="1" x14ac:dyDescent="0.2">
      <c r="C585" s="2"/>
    </row>
    <row r="586" spans="3:3" ht="15.75" customHeight="1" x14ac:dyDescent="0.2">
      <c r="C586" s="2"/>
    </row>
    <row r="587" spans="3:3" ht="15.75" customHeight="1" x14ac:dyDescent="0.2">
      <c r="C587" s="2"/>
    </row>
    <row r="588" spans="3:3" ht="15.75" customHeight="1" x14ac:dyDescent="0.2">
      <c r="C588" s="2"/>
    </row>
    <row r="589" spans="3:3" ht="15.75" customHeight="1" x14ac:dyDescent="0.2">
      <c r="C589" s="2"/>
    </row>
    <row r="590" spans="3:3" ht="15.75" customHeight="1" x14ac:dyDescent="0.2">
      <c r="C590" s="2"/>
    </row>
    <row r="591" spans="3:3" ht="15.75" customHeight="1" x14ac:dyDescent="0.2">
      <c r="C591" s="2"/>
    </row>
    <row r="592" spans="3:3" ht="15.75" customHeight="1" x14ac:dyDescent="0.2">
      <c r="C592" s="2"/>
    </row>
    <row r="593" spans="3:3" ht="15.75" customHeight="1" x14ac:dyDescent="0.2">
      <c r="C593" s="2"/>
    </row>
    <row r="594" spans="3:3" ht="15.75" customHeight="1" x14ac:dyDescent="0.2">
      <c r="C594" s="2"/>
    </row>
    <row r="595" spans="3:3" ht="15.75" customHeight="1" x14ac:dyDescent="0.2">
      <c r="C595" s="2"/>
    </row>
    <row r="596" spans="3:3" ht="15.75" customHeight="1" x14ac:dyDescent="0.2">
      <c r="C596" s="2"/>
    </row>
    <row r="597" spans="3:3" ht="15.75" customHeight="1" x14ac:dyDescent="0.2">
      <c r="C597" s="2"/>
    </row>
    <row r="598" spans="3:3" ht="15.75" customHeight="1" x14ac:dyDescent="0.2">
      <c r="C598" s="2"/>
    </row>
    <row r="599" spans="3:3" ht="15.75" customHeight="1" x14ac:dyDescent="0.2">
      <c r="C599" s="2"/>
    </row>
    <row r="600" spans="3:3" ht="15.75" customHeight="1" x14ac:dyDescent="0.2">
      <c r="C600" s="2"/>
    </row>
    <row r="601" spans="3:3" ht="15.75" customHeight="1" x14ac:dyDescent="0.2">
      <c r="C601" s="2"/>
    </row>
    <row r="602" spans="3:3" ht="15.75" customHeight="1" x14ac:dyDescent="0.2">
      <c r="C602" s="2"/>
    </row>
    <row r="603" spans="3:3" ht="15.75" customHeight="1" x14ac:dyDescent="0.2">
      <c r="C603" s="2"/>
    </row>
    <row r="604" spans="3:3" ht="15.75" customHeight="1" x14ac:dyDescent="0.2">
      <c r="C604" s="2"/>
    </row>
    <row r="605" spans="3:3" ht="15.75" customHeight="1" x14ac:dyDescent="0.2">
      <c r="C605" s="2"/>
    </row>
    <row r="606" spans="3:3" ht="15.75" customHeight="1" x14ac:dyDescent="0.2">
      <c r="C606" s="2"/>
    </row>
    <row r="607" spans="3:3" ht="15.75" customHeight="1" x14ac:dyDescent="0.2">
      <c r="C607" s="2"/>
    </row>
    <row r="608" spans="3:3" ht="15.75" customHeight="1" x14ac:dyDescent="0.2">
      <c r="C608" s="2"/>
    </row>
    <row r="609" spans="3:3" ht="15.75" customHeight="1" x14ac:dyDescent="0.2">
      <c r="C609" s="2"/>
    </row>
    <row r="610" spans="3:3" ht="15.75" customHeight="1" x14ac:dyDescent="0.2">
      <c r="C610" s="2"/>
    </row>
    <row r="611" spans="3:3" ht="15.75" customHeight="1" x14ac:dyDescent="0.2">
      <c r="C611" s="2"/>
    </row>
    <row r="612" spans="3:3" ht="15.75" customHeight="1" x14ac:dyDescent="0.2">
      <c r="C612" s="2"/>
    </row>
    <row r="613" spans="3:3" ht="15.75" customHeight="1" x14ac:dyDescent="0.2">
      <c r="C613" s="2"/>
    </row>
    <row r="614" spans="3:3" ht="15.75" customHeight="1" x14ac:dyDescent="0.2">
      <c r="C614" s="2"/>
    </row>
    <row r="615" spans="3:3" ht="15.75" customHeight="1" x14ac:dyDescent="0.2">
      <c r="C615" s="2"/>
    </row>
    <row r="616" spans="3:3" ht="15.75" customHeight="1" x14ac:dyDescent="0.2">
      <c r="C616" s="2"/>
    </row>
    <row r="617" spans="3:3" ht="15.75" customHeight="1" x14ac:dyDescent="0.2">
      <c r="C617" s="2"/>
    </row>
    <row r="618" spans="3:3" ht="15.75" customHeight="1" x14ac:dyDescent="0.2">
      <c r="C618" s="2"/>
    </row>
    <row r="619" spans="3:3" ht="15.75" customHeight="1" x14ac:dyDescent="0.2">
      <c r="C619" s="2"/>
    </row>
    <row r="620" spans="3:3" ht="15.75" customHeight="1" x14ac:dyDescent="0.2">
      <c r="C620" s="2"/>
    </row>
    <row r="621" spans="3:3" ht="15.75" customHeight="1" x14ac:dyDescent="0.2">
      <c r="C621" s="2"/>
    </row>
    <row r="622" spans="3:3" ht="15.75" customHeight="1" x14ac:dyDescent="0.2">
      <c r="C622" s="2"/>
    </row>
    <row r="623" spans="3:3" ht="15.75" customHeight="1" x14ac:dyDescent="0.2">
      <c r="C623" s="2"/>
    </row>
    <row r="624" spans="3:3" ht="15.75" customHeight="1" x14ac:dyDescent="0.2">
      <c r="C624" s="2"/>
    </row>
    <row r="625" spans="3:3" ht="15.75" customHeight="1" x14ac:dyDescent="0.2">
      <c r="C625" s="2"/>
    </row>
    <row r="626" spans="3:3" ht="15.75" customHeight="1" x14ac:dyDescent="0.2">
      <c r="C626" s="2"/>
    </row>
    <row r="627" spans="3:3" ht="15.75" customHeight="1" x14ac:dyDescent="0.2">
      <c r="C627" s="2"/>
    </row>
    <row r="628" spans="3:3" ht="15.75" customHeight="1" x14ac:dyDescent="0.2">
      <c r="C628" s="2"/>
    </row>
    <row r="629" spans="3:3" ht="15.75" customHeight="1" x14ac:dyDescent="0.2">
      <c r="C629" s="2"/>
    </row>
    <row r="630" spans="3:3" ht="15.75" customHeight="1" x14ac:dyDescent="0.2">
      <c r="C630" s="2"/>
    </row>
    <row r="631" spans="3:3" ht="15.75" customHeight="1" x14ac:dyDescent="0.2">
      <c r="C631" s="2"/>
    </row>
    <row r="632" spans="3:3" ht="15.75" customHeight="1" x14ac:dyDescent="0.2">
      <c r="C632" s="2"/>
    </row>
    <row r="633" spans="3:3" ht="15.75" customHeight="1" x14ac:dyDescent="0.2">
      <c r="C633" s="2"/>
    </row>
    <row r="634" spans="3:3" ht="15.75" customHeight="1" x14ac:dyDescent="0.2">
      <c r="C634" s="2"/>
    </row>
    <row r="635" spans="3:3" ht="15.75" customHeight="1" x14ac:dyDescent="0.2">
      <c r="C635" s="2"/>
    </row>
    <row r="636" spans="3:3" ht="15.75" customHeight="1" x14ac:dyDescent="0.2">
      <c r="C636" s="2"/>
    </row>
    <row r="637" spans="3:3" ht="15.75" customHeight="1" x14ac:dyDescent="0.2">
      <c r="C637" s="2"/>
    </row>
    <row r="638" spans="3:3" ht="15.75" customHeight="1" x14ac:dyDescent="0.2">
      <c r="C638" s="2"/>
    </row>
    <row r="639" spans="3:3" ht="15.75" customHeight="1" x14ac:dyDescent="0.2">
      <c r="C639" s="2"/>
    </row>
    <row r="640" spans="3:3" ht="15.75" customHeight="1" x14ac:dyDescent="0.2">
      <c r="C640" s="2"/>
    </row>
    <row r="641" spans="3:3" ht="15.75" customHeight="1" x14ac:dyDescent="0.2">
      <c r="C641" s="2"/>
    </row>
    <row r="642" spans="3:3" ht="15.75" customHeight="1" x14ac:dyDescent="0.2">
      <c r="C642" s="2"/>
    </row>
    <row r="643" spans="3:3" ht="15.75" customHeight="1" x14ac:dyDescent="0.2">
      <c r="C643" s="2"/>
    </row>
    <row r="644" spans="3:3" ht="15.75" customHeight="1" x14ac:dyDescent="0.2">
      <c r="C644" s="2"/>
    </row>
    <row r="645" spans="3:3" ht="15.75" customHeight="1" x14ac:dyDescent="0.2">
      <c r="C645" s="2"/>
    </row>
    <row r="646" spans="3:3" ht="15.75" customHeight="1" x14ac:dyDescent="0.2">
      <c r="C646" s="2"/>
    </row>
    <row r="647" spans="3:3" ht="15.75" customHeight="1" x14ac:dyDescent="0.2">
      <c r="C647" s="2"/>
    </row>
    <row r="648" spans="3:3" ht="15.75" customHeight="1" x14ac:dyDescent="0.2">
      <c r="C648" s="2"/>
    </row>
    <row r="649" spans="3:3" ht="15.75" customHeight="1" x14ac:dyDescent="0.2">
      <c r="C649" s="2"/>
    </row>
    <row r="650" spans="3:3" ht="15.75" customHeight="1" x14ac:dyDescent="0.2">
      <c r="C650" s="2"/>
    </row>
    <row r="651" spans="3:3" ht="15.75" customHeight="1" x14ac:dyDescent="0.2">
      <c r="C651" s="2"/>
    </row>
    <row r="652" spans="3:3" ht="15.75" customHeight="1" x14ac:dyDescent="0.2">
      <c r="C652" s="2"/>
    </row>
    <row r="653" spans="3:3" ht="15.75" customHeight="1" x14ac:dyDescent="0.2">
      <c r="C653" s="2"/>
    </row>
    <row r="654" spans="3:3" ht="15.75" customHeight="1" x14ac:dyDescent="0.2">
      <c r="C654" s="2"/>
    </row>
    <row r="655" spans="3:3" ht="15.75" customHeight="1" x14ac:dyDescent="0.2">
      <c r="C655" s="2"/>
    </row>
    <row r="656" spans="3:3" ht="15.75" customHeight="1" x14ac:dyDescent="0.2">
      <c r="C656" s="2"/>
    </row>
    <row r="657" spans="3:3" ht="15.75" customHeight="1" x14ac:dyDescent="0.2">
      <c r="C657" s="2"/>
    </row>
    <row r="658" spans="3:3" ht="15.75" customHeight="1" x14ac:dyDescent="0.2">
      <c r="C658" s="2"/>
    </row>
    <row r="659" spans="3:3" ht="15.75" customHeight="1" x14ac:dyDescent="0.2">
      <c r="C659" s="2"/>
    </row>
    <row r="660" spans="3:3" ht="15.75" customHeight="1" x14ac:dyDescent="0.2">
      <c r="C660" s="2"/>
    </row>
    <row r="661" spans="3:3" ht="15.75" customHeight="1" x14ac:dyDescent="0.2">
      <c r="C661" s="2"/>
    </row>
    <row r="662" spans="3:3" ht="15.75" customHeight="1" x14ac:dyDescent="0.2">
      <c r="C662" s="2"/>
    </row>
    <row r="663" spans="3:3" ht="15.75" customHeight="1" x14ac:dyDescent="0.2">
      <c r="C663" s="2"/>
    </row>
    <row r="664" spans="3:3" ht="15.75" customHeight="1" x14ac:dyDescent="0.2">
      <c r="C664" s="2"/>
    </row>
    <row r="665" spans="3:3" ht="15.75" customHeight="1" x14ac:dyDescent="0.2">
      <c r="C665" s="2"/>
    </row>
    <row r="666" spans="3:3" ht="15.75" customHeight="1" x14ac:dyDescent="0.2">
      <c r="C666" s="2"/>
    </row>
    <row r="667" spans="3:3" ht="15.75" customHeight="1" x14ac:dyDescent="0.2">
      <c r="C667" s="2"/>
    </row>
    <row r="668" spans="3:3" ht="15.75" customHeight="1" x14ac:dyDescent="0.2">
      <c r="C668" s="2"/>
    </row>
    <row r="669" spans="3:3" ht="15.75" customHeight="1" x14ac:dyDescent="0.2">
      <c r="C669" s="2"/>
    </row>
    <row r="670" spans="3:3" ht="15.75" customHeight="1" x14ac:dyDescent="0.2">
      <c r="C670" s="2"/>
    </row>
    <row r="671" spans="3:3" ht="15.75" customHeight="1" x14ac:dyDescent="0.2">
      <c r="C671" s="2"/>
    </row>
    <row r="672" spans="3:3" ht="15.75" customHeight="1" x14ac:dyDescent="0.2">
      <c r="C672" s="2"/>
    </row>
    <row r="673" spans="3:3" ht="15.75" customHeight="1" x14ac:dyDescent="0.2">
      <c r="C673" s="2"/>
    </row>
    <row r="674" spans="3:3" ht="15.75" customHeight="1" x14ac:dyDescent="0.2">
      <c r="C674" s="2"/>
    </row>
    <row r="675" spans="3:3" ht="15.75" customHeight="1" x14ac:dyDescent="0.2">
      <c r="C675" s="2"/>
    </row>
    <row r="676" spans="3:3" ht="15.75" customHeight="1" x14ac:dyDescent="0.2">
      <c r="C676" s="2"/>
    </row>
    <row r="677" spans="3:3" ht="15.75" customHeight="1" x14ac:dyDescent="0.2">
      <c r="C677" s="2"/>
    </row>
    <row r="678" spans="3:3" ht="15.75" customHeight="1" x14ac:dyDescent="0.2">
      <c r="C678" s="2"/>
    </row>
    <row r="679" spans="3:3" ht="15.75" customHeight="1" x14ac:dyDescent="0.2">
      <c r="C679" s="2"/>
    </row>
    <row r="680" spans="3:3" ht="15.75" customHeight="1" x14ac:dyDescent="0.2">
      <c r="C680" s="2"/>
    </row>
    <row r="681" spans="3:3" ht="15.75" customHeight="1" x14ac:dyDescent="0.2">
      <c r="C681" s="2"/>
    </row>
    <row r="682" spans="3:3" ht="15.75" customHeight="1" x14ac:dyDescent="0.2">
      <c r="C682" s="2"/>
    </row>
    <row r="683" spans="3:3" ht="15.75" customHeight="1" x14ac:dyDescent="0.2">
      <c r="C683" s="2"/>
    </row>
    <row r="684" spans="3:3" ht="15.75" customHeight="1" x14ac:dyDescent="0.2">
      <c r="C684" s="2"/>
    </row>
    <row r="685" spans="3:3" ht="15.75" customHeight="1" x14ac:dyDescent="0.2">
      <c r="C685" s="2"/>
    </row>
    <row r="686" spans="3:3" ht="15.75" customHeight="1" x14ac:dyDescent="0.2">
      <c r="C686" s="2"/>
    </row>
    <row r="687" spans="3:3" ht="15.75" customHeight="1" x14ac:dyDescent="0.2">
      <c r="C687" s="2"/>
    </row>
    <row r="688" spans="3:3" ht="15.75" customHeight="1" x14ac:dyDescent="0.2">
      <c r="C688" s="2"/>
    </row>
    <row r="689" spans="3:3" ht="15.75" customHeight="1" x14ac:dyDescent="0.2">
      <c r="C689" s="2"/>
    </row>
    <row r="690" spans="3:3" ht="15.75" customHeight="1" x14ac:dyDescent="0.2">
      <c r="C690" s="2"/>
    </row>
    <row r="691" spans="3:3" ht="15.75" customHeight="1" x14ac:dyDescent="0.2">
      <c r="C691" s="2"/>
    </row>
    <row r="692" spans="3:3" ht="15.75" customHeight="1" x14ac:dyDescent="0.2">
      <c r="C692" s="2"/>
    </row>
    <row r="693" spans="3:3" ht="15.75" customHeight="1" x14ac:dyDescent="0.2">
      <c r="C693" s="2"/>
    </row>
    <row r="694" spans="3:3" ht="15.75" customHeight="1" x14ac:dyDescent="0.2">
      <c r="C694" s="2"/>
    </row>
    <row r="695" spans="3:3" ht="15.75" customHeight="1" x14ac:dyDescent="0.2">
      <c r="C695" s="2"/>
    </row>
    <row r="696" spans="3:3" ht="15.75" customHeight="1" x14ac:dyDescent="0.2">
      <c r="C696" s="2"/>
    </row>
    <row r="697" spans="3:3" ht="15.75" customHeight="1" x14ac:dyDescent="0.2">
      <c r="C697" s="2"/>
    </row>
    <row r="698" spans="3:3" ht="15.75" customHeight="1" x14ac:dyDescent="0.2">
      <c r="C698" s="2"/>
    </row>
    <row r="699" spans="3:3" ht="15.75" customHeight="1" x14ac:dyDescent="0.2">
      <c r="C699" s="2"/>
    </row>
    <row r="700" spans="3:3" ht="15.75" customHeight="1" x14ac:dyDescent="0.2">
      <c r="C700" s="2"/>
    </row>
    <row r="701" spans="3:3" ht="15.75" customHeight="1" x14ac:dyDescent="0.2">
      <c r="C701" s="2"/>
    </row>
    <row r="702" spans="3:3" ht="15.75" customHeight="1" x14ac:dyDescent="0.2">
      <c r="C702" s="2"/>
    </row>
    <row r="703" spans="3:3" ht="15.75" customHeight="1" x14ac:dyDescent="0.2">
      <c r="C703" s="2"/>
    </row>
    <row r="704" spans="3:3" ht="15.75" customHeight="1" x14ac:dyDescent="0.2">
      <c r="C704" s="2"/>
    </row>
    <row r="705" spans="3:3" ht="15.75" customHeight="1" x14ac:dyDescent="0.2">
      <c r="C705" s="2"/>
    </row>
    <row r="706" spans="3:3" ht="15.75" customHeight="1" x14ac:dyDescent="0.2">
      <c r="C706" s="2"/>
    </row>
    <row r="707" spans="3:3" ht="15.75" customHeight="1" x14ac:dyDescent="0.2">
      <c r="C707" s="2"/>
    </row>
    <row r="708" spans="3:3" ht="15.75" customHeight="1" x14ac:dyDescent="0.2">
      <c r="C708" s="2"/>
    </row>
    <row r="709" spans="3:3" ht="15.75" customHeight="1" x14ac:dyDescent="0.2">
      <c r="C709" s="2"/>
    </row>
    <row r="710" spans="3:3" ht="15.75" customHeight="1" x14ac:dyDescent="0.2">
      <c r="C710" s="2"/>
    </row>
    <row r="711" spans="3:3" ht="15.75" customHeight="1" x14ac:dyDescent="0.2">
      <c r="C711" s="2"/>
    </row>
    <row r="712" spans="3:3" ht="15.75" customHeight="1" x14ac:dyDescent="0.2">
      <c r="C712" s="2"/>
    </row>
    <row r="713" spans="3:3" ht="15.75" customHeight="1" x14ac:dyDescent="0.2">
      <c r="C713" s="2"/>
    </row>
    <row r="714" spans="3:3" ht="15.75" customHeight="1" x14ac:dyDescent="0.2">
      <c r="C714" s="2"/>
    </row>
    <row r="715" spans="3:3" ht="15.75" customHeight="1" x14ac:dyDescent="0.2">
      <c r="C715" s="2"/>
    </row>
    <row r="716" spans="3:3" ht="15.75" customHeight="1" x14ac:dyDescent="0.2">
      <c r="C716" s="2"/>
    </row>
    <row r="717" spans="3:3" ht="15.75" customHeight="1" x14ac:dyDescent="0.2">
      <c r="C717" s="2"/>
    </row>
    <row r="718" spans="3:3" ht="15.75" customHeight="1" x14ac:dyDescent="0.2">
      <c r="C718" s="2"/>
    </row>
    <row r="719" spans="3:3" ht="15.75" customHeight="1" x14ac:dyDescent="0.2">
      <c r="C719" s="2"/>
    </row>
    <row r="720" spans="3:3" ht="15.75" customHeight="1" x14ac:dyDescent="0.2">
      <c r="C720" s="2"/>
    </row>
    <row r="721" spans="3:3" ht="15.75" customHeight="1" x14ac:dyDescent="0.2">
      <c r="C721" s="2"/>
    </row>
    <row r="722" spans="3:3" ht="15.75" customHeight="1" x14ac:dyDescent="0.2">
      <c r="C722" s="2"/>
    </row>
    <row r="723" spans="3:3" ht="15.75" customHeight="1" x14ac:dyDescent="0.2">
      <c r="C723" s="2"/>
    </row>
    <row r="724" spans="3:3" ht="15.75" customHeight="1" x14ac:dyDescent="0.2">
      <c r="C724" s="2"/>
    </row>
    <row r="725" spans="3:3" ht="15.75" customHeight="1" x14ac:dyDescent="0.2">
      <c r="C725" s="2"/>
    </row>
    <row r="726" spans="3:3" ht="15.75" customHeight="1" x14ac:dyDescent="0.2">
      <c r="C726" s="2"/>
    </row>
    <row r="727" spans="3:3" ht="15.75" customHeight="1" x14ac:dyDescent="0.2">
      <c r="C727" s="2"/>
    </row>
    <row r="728" spans="3:3" ht="15.75" customHeight="1" x14ac:dyDescent="0.2">
      <c r="C728" s="2"/>
    </row>
    <row r="729" spans="3:3" ht="15.75" customHeight="1" x14ac:dyDescent="0.2">
      <c r="C729" s="2"/>
    </row>
    <row r="730" spans="3:3" ht="15.75" customHeight="1" x14ac:dyDescent="0.2">
      <c r="C730" s="2"/>
    </row>
    <row r="731" spans="3:3" ht="15.75" customHeight="1" x14ac:dyDescent="0.2">
      <c r="C731" s="2"/>
    </row>
    <row r="732" spans="3:3" ht="15.75" customHeight="1" x14ac:dyDescent="0.2">
      <c r="C732" s="2"/>
    </row>
    <row r="733" spans="3:3" ht="15.75" customHeight="1" x14ac:dyDescent="0.2">
      <c r="C733" s="2"/>
    </row>
    <row r="734" spans="3:3" ht="15.75" customHeight="1" x14ac:dyDescent="0.2">
      <c r="C734" s="2"/>
    </row>
    <row r="735" spans="3:3" ht="15.75" customHeight="1" x14ac:dyDescent="0.2">
      <c r="C735" s="2"/>
    </row>
    <row r="736" spans="3:3" ht="15.75" customHeight="1" x14ac:dyDescent="0.2">
      <c r="C736" s="2"/>
    </row>
    <row r="737" spans="3:3" ht="15.75" customHeight="1" x14ac:dyDescent="0.2">
      <c r="C737" s="2"/>
    </row>
    <row r="738" spans="3:3" ht="15.75" customHeight="1" x14ac:dyDescent="0.2">
      <c r="C738" s="2"/>
    </row>
    <row r="739" spans="3:3" ht="15.75" customHeight="1" x14ac:dyDescent="0.2">
      <c r="C739" s="2"/>
    </row>
    <row r="740" spans="3:3" ht="15.75" customHeight="1" x14ac:dyDescent="0.2">
      <c r="C740" s="2"/>
    </row>
    <row r="741" spans="3:3" ht="15.75" customHeight="1" x14ac:dyDescent="0.2">
      <c r="C741" s="2"/>
    </row>
    <row r="742" spans="3:3" ht="15.75" customHeight="1" x14ac:dyDescent="0.2">
      <c r="C742" s="2"/>
    </row>
    <row r="743" spans="3:3" ht="15.75" customHeight="1" x14ac:dyDescent="0.2">
      <c r="C743" s="2"/>
    </row>
    <row r="744" spans="3:3" ht="15.75" customHeight="1" x14ac:dyDescent="0.2">
      <c r="C744" s="2"/>
    </row>
    <row r="745" spans="3:3" ht="15.75" customHeight="1" x14ac:dyDescent="0.2">
      <c r="C745" s="2"/>
    </row>
    <row r="746" spans="3:3" ht="15.75" customHeight="1" x14ac:dyDescent="0.2">
      <c r="C746" s="2"/>
    </row>
    <row r="747" spans="3:3" ht="15.75" customHeight="1" x14ac:dyDescent="0.2">
      <c r="C747" s="2"/>
    </row>
    <row r="748" spans="3:3" ht="15.75" customHeight="1" x14ac:dyDescent="0.2">
      <c r="C748" s="2"/>
    </row>
    <row r="749" spans="3:3" ht="15.75" customHeight="1" x14ac:dyDescent="0.2">
      <c r="C749" s="2"/>
    </row>
    <row r="750" spans="3:3" ht="15.75" customHeight="1" x14ac:dyDescent="0.2">
      <c r="C750" s="2"/>
    </row>
    <row r="751" spans="3:3" ht="15.75" customHeight="1" x14ac:dyDescent="0.2">
      <c r="C751" s="2"/>
    </row>
    <row r="752" spans="3:3" ht="15.75" customHeight="1" x14ac:dyDescent="0.2">
      <c r="C752" s="2"/>
    </row>
    <row r="753" spans="3:3" ht="15.75" customHeight="1" x14ac:dyDescent="0.2">
      <c r="C753" s="2"/>
    </row>
    <row r="754" spans="3:3" ht="15.75" customHeight="1" x14ac:dyDescent="0.2">
      <c r="C754" s="2"/>
    </row>
    <row r="755" spans="3:3" ht="15.75" customHeight="1" x14ac:dyDescent="0.2">
      <c r="C755" s="2"/>
    </row>
    <row r="756" spans="3:3" ht="15.75" customHeight="1" x14ac:dyDescent="0.2">
      <c r="C756" s="2"/>
    </row>
    <row r="757" spans="3:3" ht="15.75" customHeight="1" x14ac:dyDescent="0.2">
      <c r="C757" s="2"/>
    </row>
    <row r="758" spans="3:3" ht="15.75" customHeight="1" x14ac:dyDescent="0.2">
      <c r="C758" s="2"/>
    </row>
    <row r="759" spans="3:3" ht="15.75" customHeight="1" x14ac:dyDescent="0.2">
      <c r="C759" s="2"/>
    </row>
    <row r="760" spans="3:3" ht="15.75" customHeight="1" x14ac:dyDescent="0.2">
      <c r="C760" s="2"/>
    </row>
    <row r="761" spans="3:3" ht="15.75" customHeight="1" x14ac:dyDescent="0.2">
      <c r="C761" s="2"/>
    </row>
    <row r="762" spans="3:3" ht="15.75" customHeight="1" x14ac:dyDescent="0.2">
      <c r="C762" s="2"/>
    </row>
    <row r="763" spans="3:3" ht="15.75" customHeight="1" x14ac:dyDescent="0.2">
      <c r="C763" s="2"/>
    </row>
    <row r="764" spans="3:3" ht="15.75" customHeight="1" x14ac:dyDescent="0.2">
      <c r="C764" s="2"/>
    </row>
    <row r="765" spans="3:3" ht="15.75" customHeight="1" x14ac:dyDescent="0.2">
      <c r="C765" s="2"/>
    </row>
    <row r="766" spans="3:3" ht="15.75" customHeight="1" x14ac:dyDescent="0.2">
      <c r="C766" s="2"/>
    </row>
    <row r="767" spans="3:3" ht="15.75" customHeight="1" x14ac:dyDescent="0.2">
      <c r="C767" s="2"/>
    </row>
    <row r="768" spans="3:3" ht="15.75" customHeight="1" x14ac:dyDescent="0.2">
      <c r="C768" s="2"/>
    </row>
    <row r="769" spans="3:3" ht="15.75" customHeight="1" x14ac:dyDescent="0.2">
      <c r="C769" s="2"/>
    </row>
    <row r="770" spans="3:3" ht="15.75" customHeight="1" x14ac:dyDescent="0.2">
      <c r="C770" s="2"/>
    </row>
    <row r="771" spans="3:3" ht="15.75" customHeight="1" x14ac:dyDescent="0.2">
      <c r="C771" s="2"/>
    </row>
    <row r="772" spans="3:3" ht="15.75" customHeight="1" x14ac:dyDescent="0.2">
      <c r="C772" s="2"/>
    </row>
    <row r="773" spans="3:3" ht="15.75" customHeight="1" x14ac:dyDescent="0.2">
      <c r="C773" s="2"/>
    </row>
    <row r="774" spans="3:3" ht="15.75" customHeight="1" x14ac:dyDescent="0.2">
      <c r="C774" s="2"/>
    </row>
    <row r="775" spans="3:3" ht="15.75" customHeight="1" x14ac:dyDescent="0.2">
      <c r="C775" s="2"/>
    </row>
    <row r="776" spans="3:3" ht="15.75" customHeight="1" x14ac:dyDescent="0.2">
      <c r="C776" s="2"/>
    </row>
    <row r="777" spans="3:3" ht="15.75" customHeight="1" x14ac:dyDescent="0.2">
      <c r="C777" s="2"/>
    </row>
    <row r="778" spans="3:3" ht="15.75" customHeight="1" x14ac:dyDescent="0.2">
      <c r="C778" s="2"/>
    </row>
    <row r="779" spans="3:3" ht="15.75" customHeight="1" x14ac:dyDescent="0.2">
      <c r="C779" s="2"/>
    </row>
    <row r="780" spans="3:3" ht="15.75" customHeight="1" x14ac:dyDescent="0.2">
      <c r="C780" s="2"/>
    </row>
    <row r="781" spans="3:3" ht="15.75" customHeight="1" x14ac:dyDescent="0.2">
      <c r="C781" s="2"/>
    </row>
    <row r="782" spans="3:3" ht="15.75" customHeight="1" x14ac:dyDescent="0.2">
      <c r="C782" s="2"/>
    </row>
    <row r="783" spans="3:3" ht="15.75" customHeight="1" x14ac:dyDescent="0.2">
      <c r="C783" s="2"/>
    </row>
    <row r="784" spans="3:3" ht="15.75" customHeight="1" x14ac:dyDescent="0.2">
      <c r="C784" s="2"/>
    </row>
    <row r="785" spans="3:3" ht="15.75" customHeight="1" x14ac:dyDescent="0.2">
      <c r="C785" s="2"/>
    </row>
    <row r="786" spans="3:3" ht="15.75" customHeight="1" x14ac:dyDescent="0.2">
      <c r="C786" s="2"/>
    </row>
    <row r="787" spans="3:3" ht="15.75" customHeight="1" x14ac:dyDescent="0.2">
      <c r="C787" s="2"/>
    </row>
    <row r="788" spans="3:3" ht="15.75" customHeight="1" x14ac:dyDescent="0.2">
      <c r="C788" s="2"/>
    </row>
    <row r="789" spans="3:3" ht="15.75" customHeight="1" x14ac:dyDescent="0.2">
      <c r="C789" s="2"/>
    </row>
    <row r="790" spans="3:3" ht="15.75" customHeight="1" x14ac:dyDescent="0.2">
      <c r="C790" s="2"/>
    </row>
    <row r="791" spans="3:3" ht="15.75" customHeight="1" x14ac:dyDescent="0.2">
      <c r="C791" s="2"/>
    </row>
    <row r="792" spans="3:3" ht="15.75" customHeight="1" x14ac:dyDescent="0.2">
      <c r="C792" s="2"/>
    </row>
    <row r="793" spans="3:3" ht="15.75" customHeight="1" x14ac:dyDescent="0.2">
      <c r="C793" s="2"/>
    </row>
    <row r="794" spans="3:3" ht="15.75" customHeight="1" x14ac:dyDescent="0.2">
      <c r="C794" s="2"/>
    </row>
    <row r="795" spans="3:3" ht="15.75" customHeight="1" x14ac:dyDescent="0.2">
      <c r="C795" s="2"/>
    </row>
    <row r="796" spans="3:3" ht="15.75" customHeight="1" x14ac:dyDescent="0.2">
      <c r="C796" s="2"/>
    </row>
    <row r="797" spans="3:3" ht="15.75" customHeight="1" x14ac:dyDescent="0.2">
      <c r="C797" s="2"/>
    </row>
    <row r="798" spans="3:3" ht="15.75" customHeight="1" x14ac:dyDescent="0.2">
      <c r="C798" s="2"/>
    </row>
    <row r="799" spans="3:3" ht="15.75" customHeight="1" x14ac:dyDescent="0.2">
      <c r="C799" s="2"/>
    </row>
    <row r="800" spans="3:3" ht="15.75" customHeight="1" x14ac:dyDescent="0.2">
      <c r="C800" s="2"/>
    </row>
    <row r="801" spans="3:3" ht="15.75" customHeight="1" x14ac:dyDescent="0.2">
      <c r="C801" s="2"/>
    </row>
    <row r="802" spans="3:3" ht="15.75" customHeight="1" x14ac:dyDescent="0.2">
      <c r="C802" s="2"/>
    </row>
    <row r="803" spans="3:3" ht="15.75" customHeight="1" x14ac:dyDescent="0.2">
      <c r="C803" s="2"/>
    </row>
    <row r="804" spans="3:3" ht="15.75" customHeight="1" x14ac:dyDescent="0.2">
      <c r="C804" s="2"/>
    </row>
    <row r="805" spans="3:3" ht="15.75" customHeight="1" x14ac:dyDescent="0.2">
      <c r="C805" s="2"/>
    </row>
    <row r="806" spans="3:3" ht="15.75" customHeight="1" x14ac:dyDescent="0.2">
      <c r="C806" s="2"/>
    </row>
    <row r="807" spans="3:3" ht="15.75" customHeight="1" x14ac:dyDescent="0.2">
      <c r="C807" s="2"/>
    </row>
    <row r="808" spans="3:3" ht="15.75" customHeight="1" x14ac:dyDescent="0.2">
      <c r="C808" s="2"/>
    </row>
    <row r="809" spans="3:3" ht="15.75" customHeight="1" x14ac:dyDescent="0.2">
      <c r="C809" s="2"/>
    </row>
    <row r="810" spans="3:3" ht="15.75" customHeight="1" x14ac:dyDescent="0.2">
      <c r="C810" s="2"/>
    </row>
    <row r="811" spans="3:3" ht="15.75" customHeight="1" x14ac:dyDescent="0.2">
      <c r="C811" s="2"/>
    </row>
    <row r="812" spans="3:3" ht="15.75" customHeight="1" x14ac:dyDescent="0.2">
      <c r="C812" s="2"/>
    </row>
    <row r="813" spans="3:3" ht="15.75" customHeight="1" x14ac:dyDescent="0.2">
      <c r="C813" s="2"/>
    </row>
    <row r="814" spans="3:3" ht="15.75" customHeight="1" x14ac:dyDescent="0.2">
      <c r="C814" s="2"/>
    </row>
    <row r="815" spans="3:3" ht="15.75" customHeight="1" x14ac:dyDescent="0.2">
      <c r="C815" s="2"/>
    </row>
    <row r="816" spans="3:3" ht="15.75" customHeight="1" x14ac:dyDescent="0.2">
      <c r="C816" s="2"/>
    </row>
    <row r="817" spans="3:3" ht="15.75" customHeight="1" x14ac:dyDescent="0.2">
      <c r="C817" s="2"/>
    </row>
    <row r="818" spans="3:3" ht="15.75" customHeight="1" x14ac:dyDescent="0.2">
      <c r="C818" s="2"/>
    </row>
    <row r="819" spans="3:3" ht="15.75" customHeight="1" x14ac:dyDescent="0.2">
      <c r="C819" s="2"/>
    </row>
    <row r="820" spans="3:3" ht="15.75" customHeight="1" x14ac:dyDescent="0.2">
      <c r="C820" s="2"/>
    </row>
    <row r="821" spans="3:3" ht="15.75" customHeight="1" x14ac:dyDescent="0.2">
      <c r="C821" s="2"/>
    </row>
    <row r="822" spans="3:3" ht="15.75" customHeight="1" x14ac:dyDescent="0.2">
      <c r="C822" s="2"/>
    </row>
    <row r="823" spans="3:3" ht="15.75" customHeight="1" x14ac:dyDescent="0.2">
      <c r="C823" s="2"/>
    </row>
    <row r="824" spans="3:3" ht="15.75" customHeight="1" x14ac:dyDescent="0.2">
      <c r="C824" s="2"/>
    </row>
    <row r="825" spans="3:3" ht="15.75" customHeight="1" x14ac:dyDescent="0.2">
      <c r="C825" s="2"/>
    </row>
    <row r="826" spans="3:3" ht="15.75" customHeight="1" x14ac:dyDescent="0.2">
      <c r="C826" s="2"/>
    </row>
    <row r="827" spans="3:3" ht="15.75" customHeight="1" x14ac:dyDescent="0.2">
      <c r="C827" s="2"/>
    </row>
    <row r="828" spans="3:3" ht="15.75" customHeight="1" x14ac:dyDescent="0.2">
      <c r="C828" s="2"/>
    </row>
    <row r="829" spans="3:3" ht="15.75" customHeight="1" x14ac:dyDescent="0.2">
      <c r="C829" s="2"/>
    </row>
    <row r="830" spans="3:3" ht="15.75" customHeight="1" x14ac:dyDescent="0.2">
      <c r="C830" s="2"/>
    </row>
    <row r="831" spans="3:3" ht="15.75" customHeight="1" x14ac:dyDescent="0.2">
      <c r="C831" s="2"/>
    </row>
    <row r="832" spans="3:3" ht="15.75" customHeight="1" x14ac:dyDescent="0.2">
      <c r="C832" s="2"/>
    </row>
    <row r="833" spans="3:3" ht="15.75" customHeight="1" x14ac:dyDescent="0.2">
      <c r="C833" s="2"/>
    </row>
    <row r="834" spans="3:3" ht="15.75" customHeight="1" x14ac:dyDescent="0.2">
      <c r="C834" s="2"/>
    </row>
    <row r="835" spans="3:3" ht="15.75" customHeight="1" x14ac:dyDescent="0.2">
      <c r="C835" s="2"/>
    </row>
    <row r="836" spans="3:3" ht="15.75" customHeight="1" x14ac:dyDescent="0.2">
      <c r="C836" s="2"/>
    </row>
    <row r="837" spans="3:3" ht="15.75" customHeight="1" x14ac:dyDescent="0.2">
      <c r="C837" s="2"/>
    </row>
    <row r="838" spans="3:3" ht="15.75" customHeight="1" x14ac:dyDescent="0.2">
      <c r="C838" s="2"/>
    </row>
    <row r="839" spans="3:3" ht="15.75" customHeight="1" x14ac:dyDescent="0.2">
      <c r="C839" s="2"/>
    </row>
    <row r="840" spans="3:3" ht="15.75" customHeight="1" x14ac:dyDescent="0.2">
      <c r="C840" s="2"/>
    </row>
    <row r="841" spans="3:3" ht="15.75" customHeight="1" x14ac:dyDescent="0.2">
      <c r="C841" s="2"/>
    </row>
    <row r="842" spans="3:3" ht="15.75" customHeight="1" x14ac:dyDescent="0.2">
      <c r="C842" s="2"/>
    </row>
    <row r="843" spans="3:3" ht="15.75" customHeight="1" x14ac:dyDescent="0.2">
      <c r="C843" s="2"/>
    </row>
    <row r="844" spans="3:3" ht="15.75" customHeight="1" x14ac:dyDescent="0.2">
      <c r="C844" s="2"/>
    </row>
    <row r="845" spans="3:3" ht="15.75" customHeight="1" x14ac:dyDescent="0.2">
      <c r="C845" s="2"/>
    </row>
    <row r="846" spans="3:3" ht="15.75" customHeight="1" x14ac:dyDescent="0.2">
      <c r="C846" s="2"/>
    </row>
    <row r="847" spans="3:3" ht="15.75" customHeight="1" x14ac:dyDescent="0.2">
      <c r="C847" s="2"/>
    </row>
    <row r="848" spans="3:3" ht="15.75" customHeight="1" x14ac:dyDescent="0.2">
      <c r="C848" s="2"/>
    </row>
    <row r="849" spans="3:3" ht="15.75" customHeight="1" x14ac:dyDescent="0.2">
      <c r="C849" s="2"/>
    </row>
    <row r="850" spans="3:3" ht="15.75" customHeight="1" x14ac:dyDescent="0.2">
      <c r="C850" s="2"/>
    </row>
    <row r="851" spans="3:3" ht="15.75" customHeight="1" x14ac:dyDescent="0.2">
      <c r="C851" s="2"/>
    </row>
    <row r="852" spans="3:3" ht="15.75" customHeight="1" x14ac:dyDescent="0.2">
      <c r="C852" s="2"/>
    </row>
    <row r="853" spans="3:3" ht="15.75" customHeight="1" x14ac:dyDescent="0.2">
      <c r="C853" s="2"/>
    </row>
    <row r="854" spans="3:3" ht="15.75" customHeight="1" x14ac:dyDescent="0.2">
      <c r="C854" s="2"/>
    </row>
    <row r="855" spans="3:3" ht="15.75" customHeight="1" x14ac:dyDescent="0.2">
      <c r="C855" s="2"/>
    </row>
    <row r="856" spans="3:3" ht="15.75" customHeight="1" x14ac:dyDescent="0.2">
      <c r="C856" s="2"/>
    </row>
    <row r="857" spans="3:3" ht="15.75" customHeight="1" x14ac:dyDescent="0.2">
      <c r="C857" s="2"/>
    </row>
    <row r="858" spans="3:3" ht="15.75" customHeight="1" x14ac:dyDescent="0.2">
      <c r="C858" s="2"/>
    </row>
    <row r="859" spans="3:3" ht="15.75" customHeight="1" x14ac:dyDescent="0.2">
      <c r="C859" s="2"/>
    </row>
    <row r="860" spans="3:3" ht="15.75" customHeight="1" x14ac:dyDescent="0.2">
      <c r="C860" s="2"/>
    </row>
    <row r="861" spans="3:3" ht="15.75" customHeight="1" x14ac:dyDescent="0.2">
      <c r="C861" s="2"/>
    </row>
    <row r="862" spans="3:3" ht="15.75" customHeight="1" x14ac:dyDescent="0.2">
      <c r="C862" s="2"/>
    </row>
    <row r="863" spans="3:3" ht="15.75" customHeight="1" x14ac:dyDescent="0.2">
      <c r="C863" s="2"/>
    </row>
    <row r="864" spans="3:3" ht="15.75" customHeight="1" x14ac:dyDescent="0.2">
      <c r="C864" s="2"/>
    </row>
    <row r="865" spans="3:3" ht="15.75" customHeight="1" x14ac:dyDescent="0.2">
      <c r="C865" s="2"/>
    </row>
    <row r="866" spans="3:3" ht="15.75" customHeight="1" x14ac:dyDescent="0.2">
      <c r="C866" s="2"/>
    </row>
    <row r="867" spans="3:3" ht="15.75" customHeight="1" x14ac:dyDescent="0.2">
      <c r="C867" s="2"/>
    </row>
    <row r="868" spans="3:3" ht="15.75" customHeight="1" x14ac:dyDescent="0.2">
      <c r="C868" s="2"/>
    </row>
    <row r="869" spans="3:3" ht="15.75" customHeight="1" x14ac:dyDescent="0.2">
      <c r="C869" s="2"/>
    </row>
    <row r="870" spans="3:3" ht="15.75" customHeight="1" x14ac:dyDescent="0.2">
      <c r="C870" s="2"/>
    </row>
    <row r="871" spans="3:3" ht="15.75" customHeight="1" x14ac:dyDescent="0.2">
      <c r="C871" s="2"/>
    </row>
    <row r="872" spans="3:3" ht="15.75" customHeight="1" x14ac:dyDescent="0.2">
      <c r="C872" s="2"/>
    </row>
    <row r="873" spans="3:3" ht="15.75" customHeight="1" x14ac:dyDescent="0.2">
      <c r="C873" s="2"/>
    </row>
    <row r="874" spans="3:3" ht="15.75" customHeight="1" x14ac:dyDescent="0.2">
      <c r="C874" s="2"/>
    </row>
    <row r="875" spans="3:3" ht="15.75" customHeight="1" x14ac:dyDescent="0.2">
      <c r="C875" s="2"/>
    </row>
    <row r="876" spans="3:3" ht="15.75" customHeight="1" x14ac:dyDescent="0.2">
      <c r="C876" s="2"/>
    </row>
    <row r="877" spans="3:3" ht="15.75" customHeight="1" x14ac:dyDescent="0.2">
      <c r="C877" s="2"/>
    </row>
    <row r="878" spans="3:3" ht="15.75" customHeight="1" x14ac:dyDescent="0.2">
      <c r="C878" s="2"/>
    </row>
    <row r="879" spans="3:3" ht="15.75" customHeight="1" x14ac:dyDescent="0.2">
      <c r="C879" s="2"/>
    </row>
    <row r="880" spans="3:3" ht="15.75" customHeight="1" x14ac:dyDescent="0.2">
      <c r="C880" s="2"/>
    </row>
    <row r="881" spans="3:3" ht="15.75" customHeight="1" x14ac:dyDescent="0.2">
      <c r="C881" s="2"/>
    </row>
    <row r="882" spans="3:3" ht="15.75" customHeight="1" x14ac:dyDescent="0.2">
      <c r="C882" s="2"/>
    </row>
    <row r="883" spans="3:3" ht="15.75" customHeight="1" x14ac:dyDescent="0.2">
      <c r="C883" s="2"/>
    </row>
    <row r="884" spans="3:3" ht="15.75" customHeight="1" x14ac:dyDescent="0.2">
      <c r="C884" s="2"/>
    </row>
    <row r="885" spans="3:3" ht="15.75" customHeight="1" x14ac:dyDescent="0.2">
      <c r="C885" s="2"/>
    </row>
    <row r="886" spans="3:3" ht="15.75" customHeight="1" x14ac:dyDescent="0.2">
      <c r="C886" s="2"/>
    </row>
    <row r="887" spans="3:3" ht="15.75" customHeight="1" x14ac:dyDescent="0.2">
      <c r="C887" s="2"/>
    </row>
    <row r="888" spans="3:3" ht="15.75" customHeight="1" x14ac:dyDescent="0.2">
      <c r="C888" s="2"/>
    </row>
    <row r="889" spans="3:3" ht="15.75" customHeight="1" x14ac:dyDescent="0.2">
      <c r="C889" s="2"/>
    </row>
    <row r="890" spans="3:3" ht="15.75" customHeight="1" x14ac:dyDescent="0.2">
      <c r="C890" s="2"/>
    </row>
    <row r="891" spans="3:3" ht="15.75" customHeight="1" x14ac:dyDescent="0.2">
      <c r="C891" s="2"/>
    </row>
    <row r="892" spans="3:3" ht="15.75" customHeight="1" x14ac:dyDescent="0.2">
      <c r="C892" s="2"/>
    </row>
    <row r="893" spans="3:3" ht="15.75" customHeight="1" x14ac:dyDescent="0.2">
      <c r="C893" s="2"/>
    </row>
    <row r="894" spans="3:3" ht="15.75" customHeight="1" x14ac:dyDescent="0.2">
      <c r="C894" s="2"/>
    </row>
    <row r="895" spans="3:3" ht="15.75" customHeight="1" x14ac:dyDescent="0.2">
      <c r="C895" s="2"/>
    </row>
    <row r="896" spans="3:3" ht="15.75" customHeight="1" x14ac:dyDescent="0.2">
      <c r="C896" s="2"/>
    </row>
    <row r="897" spans="3:3" ht="15.75" customHeight="1" x14ac:dyDescent="0.2">
      <c r="C897" s="2"/>
    </row>
    <row r="898" spans="3:3" ht="15.75" customHeight="1" x14ac:dyDescent="0.2">
      <c r="C898" s="2"/>
    </row>
    <row r="899" spans="3:3" ht="15.75" customHeight="1" x14ac:dyDescent="0.2">
      <c r="C899" s="2"/>
    </row>
    <row r="900" spans="3:3" ht="15.75" customHeight="1" x14ac:dyDescent="0.2">
      <c r="C900" s="2"/>
    </row>
    <row r="901" spans="3:3" ht="15.75" customHeight="1" x14ac:dyDescent="0.2">
      <c r="C901" s="2"/>
    </row>
    <row r="902" spans="3:3" ht="15.75" customHeight="1" x14ac:dyDescent="0.2">
      <c r="C902" s="2"/>
    </row>
    <row r="903" spans="3:3" ht="15.75" customHeight="1" x14ac:dyDescent="0.2">
      <c r="C903" s="2"/>
    </row>
    <row r="904" spans="3:3" ht="15.75" customHeight="1" x14ac:dyDescent="0.2">
      <c r="C904" s="2"/>
    </row>
    <row r="905" spans="3:3" ht="15.75" customHeight="1" x14ac:dyDescent="0.2">
      <c r="C905" s="2"/>
    </row>
    <row r="906" spans="3:3" ht="15.75" customHeight="1" x14ac:dyDescent="0.2">
      <c r="C906" s="2"/>
    </row>
    <row r="907" spans="3:3" ht="15.75" customHeight="1" x14ac:dyDescent="0.2">
      <c r="C907" s="2"/>
    </row>
    <row r="908" spans="3:3" ht="15.75" customHeight="1" x14ac:dyDescent="0.2">
      <c r="C908" s="2"/>
    </row>
    <row r="909" spans="3:3" ht="15.75" customHeight="1" x14ac:dyDescent="0.2">
      <c r="C909" s="2"/>
    </row>
    <row r="910" spans="3:3" ht="15.75" customHeight="1" x14ac:dyDescent="0.2">
      <c r="C910" s="2"/>
    </row>
    <row r="911" spans="3:3" ht="15.75" customHeight="1" x14ac:dyDescent="0.2">
      <c r="C911" s="2"/>
    </row>
    <row r="912" spans="3:3" ht="15.75" customHeight="1" x14ac:dyDescent="0.2">
      <c r="C912" s="2"/>
    </row>
    <row r="913" spans="3:3" ht="15.75" customHeight="1" x14ac:dyDescent="0.2">
      <c r="C913" s="2"/>
    </row>
    <row r="914" spans="3:3" ht="15.75" customHeight="1" x14ac:dyDescent="0.2">
      <c r="C914" s="2"/>
    </row>
    <row r="915" spans="3:3" ht="15.75" customHeight="1" x14ac:dyDescent="0.2">
      <c r="C915" s="2"/>
    </row>
    <row r="916" spans="3:3" ht="15.75" customHeight="1" x14ac:dyDescent="0.2">
      <c r="C916" s="2"/>
    </row>
    <row r="917" spans="3:3" ht="15.75" customHeight="1" x14ac:dyDescent="0.2">
      <c r="C917" s="2"/>
    </row>
    <row r="918" spans="3:3" ht="15.75" customHeight="1" x14ac:dyDescent="0.2">
      <c r="C918" s="2"/>
    </row>
    <row r="919" spans="3:3" ht="15.75" customHeight="1" x14ac:dyDescent="0.2">
      <c r="C919" s="2"/>
    </row>
    <row r="920" spans="3:3" ht="15.75" customHeight="1" x14ac:dyDescent="0.2">
      <c r="C920" s="2"/>
    </row>
    <row r="921" spans="3:3" ht="15.75" customHeight="1" x14ac:dyDescent="0.2">
      <c r="C921" s="2"/>
    </row>
    <row r="922" spans="3:3" ht="15.75" customHeight="1" x14ac:dyDescent="0.2">
      <c r="C922" s="2"/>
    </row>
    <row r="923" spans="3:3" ht="15.75" customHeight="1" x14ac:dyDescent="0.2">
      <c r="C923" s="2"/>
    </row>
    <row r="924" spans="3:3" ht="15.75" customHeight="1" x14ac:dyDescent="0.2">
      <c r="C924" s="2"/>
    </row>
    <row r="925" spans="3:3" ht="15.75" customHeight="1" x14ac:dyDescent="0.2">
      <c r="C925" s="2"/>
    </row>
    <row r="926" spans="3:3" ht="15.75" customHeight="1" x14ac:dyDescent="0.2">
      <c r="C926" s="2"/>
    </row>
    <row r="927" spans="3:3" ht="15.75" customHeight="1" x14ac:dyDescent="0.2">
      <c r="C927" s="2"/>
    </row>
    <row r="928" spans="3:3" ht="15.75" customHeight="1" x14ac:dyDescent="0.2">
      <c r="C928" s="2"/>
    </row>
    <row r="929" spans="3:3" ht="15.75" customHeight="1" x14ac:dyDescent="0.2">
      <c r="C929" s="2"/>
    </row>
    <row r="930" spans="3:3" ht="15.75" customHeight="1" x14ac:dyDescent="0.2">
      <c r="C930" s="2"/>
    </row>
    <row r="931" spans="3:3" ht="15.75" customHeight="1" x14ac:dyDescent="0.2">
      <c r="C931" s="2"/>
    </row>
    <row r="932" spans="3:3" ht="15.75" customHeight="1" x14ac:dyDescent="0.2">
      <c r="C932" s="2"/>
    </row>
    <row r="933" spans="3:3" ht="15.75" customHeight="1" x14ac:dyDescent="0.2">
      <c r="C933" s="2"/>
    </row>
    <row r="934" spans="3:3" ht="15.75" customHeight="1" x14ac:dyDescent="0.2">
      <c r="C934" s="2"/>
    </row>
    <row r="935" spans="3:3" ht="15.75" customHeight="1" x14ac:dyDescent="0.2">
      <c r="C935" s="2"/>
    </row>
    <row r="936" spans="3:3" ht="15.75" customHeight="1" x14ac:dyDescent="0.2">
      <c r="C936" s="2"/>
    </row>
    <row r="937" spans="3:3" ht="15.75" customHeight="1" x14ac:dyDescent="0.2">
      <c r="C937" s="2"/>
    </row>
    <row r="938" spans="3:3" ht="15.75" customHeight="1" x14ac:dyDescent="0.2">
      <c r="C938" s="2"/>
    </row>
    <row r="939" spans="3:3" ht="15.75" customHeight="1" x14ac:dyDescent="0.2">
      <c r="C939" s="2"/>
    </row>
    <row r="940" spans="3:3" ht="15.75" customHeight="1" x14ac:dyDescent="0.2">
      <c r="C940" s="2"/>
    </row>
    <row r="941" spans="3:3" ht="15.75" customHeight="1" x14ac:dyDescent="0.2">
      <c r="C941" s="2"/>
    </row>
    <row r="942" spans="3:3" ht="15.75" customHeight="1" x14ac:dyDescent="0.2">
      <c r="C942" s="2"/>
    </row>
    <row r="943" spans="3:3" ht="15.75" customHeight="1" x14ac:dyDescent="0.2">
      <c r="C943" s="2"/>
    </row>
    <row r="944" spans="3:3" ht="15.75" customHeight="1" x14ac:dyDescent="0.2">
      <c r="C944" s="2"/>
    </row>
    <row r="945" spans="3:3" ht="15.75" customHeight="1" x14ac:dyDescent="0.2">
      <c r="C945" s="2"/>
    </row>
    <row r="946" spans="3:3" ht="15.75" customHeight="1" x14ac:dyDescent="0.2">
      <c r="C946" s="2"/>
    </row>
    <row r="947" spans="3:3" ht="15.75" customHeight="1" x14ac:dyDescent="0.2">
      <c r="C947" s="2"/>
    </row>
    <row r="948" spans="3:3" ht="15.75" customHeight="1" x14ac:dyDescent="0.2">
      <c r="C948" s="2"/>
    </row>
    <row r="949" spans="3:3" ht="15.75" customHeight="1" x14ac:dyDescent="0.2">
      <c r="C949" s="2"/>
    </row>
    <row r="950" spans="3:3" ht="15.75" customHeight="1" x14ac:dyDescent="0.2">
      <c r="C950" s="2"/>
    </row>
    <row r="951" spans="3:3" ht="15.75" customHeight="1" x14ac:dyDescent="0.2">
      <c r="C951" s="2"/>
    </row>
    <row r="952" spans="3:3" ht="15.75" customHeight="1" x14ac:dyDescent="0.2">
      <c r="C952" s="2"/>
    </row>
    <row r="953" spans="3:3" ht="15.75" customHeight="1" x14ac:dyDescent="0.2">
      <c r="C953" s="2"/>
    </row>
    <row r="954" spans="3:3" ht="15.75" customHeight="1" x14ac:dyDescent="0.2">
      <c r="C954" s="2"/>
    </row>
    <row r="955" spans="3:3" ht="15.75" customHeight="1" x14ac:dyDescent="0.2">
      <c r="C955" s="2"/>
    </row>
    <row r="956" spans="3:3" ht="15.75" customHeight="1" x14ac:dyDescent="0.2">
      <c r="C956" s="2"/>
    </row>
    <row r="957" spans="3:3" ht="15.75" customHeight="1" x14ac:dyDescent="0.2">
      <c r="C957" s="2"/>
    </row>
    <row r="958" spans="3:3" ht="15.75" customHeight="1" x14ac:dyDescent="0.2">
      <c r="C958" s="2"/>
    </row>
    <row r="959" spans="3:3" ht="15.75" customHeight="1" x14ac:dyDescent="0.2">
      <c r="C959" s="2"/>
    </row>
    <row r="960" spans="3:3" ht="15.75" customHeight="1" x14ac:dyDescent="0.2">
      <c r="C960" s="2"/>
    </row>
    <row r="961" spans="3:3" ht="15.75" customHeight="1" x14ac:dyDescent="0.2">
      <c r="C961" s="2"/>
    </row>
    <row r="962" spans="3:3" ht="15.75" customHeight="1" x14ac:dyDescent="0.2">
      <c r="C962" s="2"/>
    </row>
    <row r="963" spans="3:3" ht="15.75" customHeight="1" x14ac:dyDescent="0.2">
      <c r="C963" s="2"/>
    </row>
    <row r="964" spans="3:3" ht="15.75" customHeight="1" x14ac:dyDescent="0.2">
      <c r="C964" s="2"/>
    </row>
    <row r="965" spans="3:3" ht="15.75" customHeight="1" x14ac:dyDescent="0.2">
      <c r="C965" s="2"/>
    </row>
    <row r="966" spans="3:3" ht="15.75" customHeight="1" x14ac:dyDescent="0.2">
      <c r="C966" s="2"/>
    </row>
    <row r="967" spans="3:3" ht="15.75" customHeight="1" x14ac:dyDescent="0.2">
      <c r="C967" s="2"/>
    </row>
    <row r="968" spans="3:3" ht="15.75" customHeight="1" x14ac:dyDescent="0.2">
      <c r="C968" s="2"/>
    </row>
    <row r="969" spans="3:3" ht="15.75" customHeight="1" x14ac:dyDescent="0.2">
      <c r="C969" s="2"/>
    </row>
    <row r="970" spans="3:3" ht="15.75" customHeight="1" x14ac:dyDescent="0.2">
      <c r="C970" s="2"/>
    </row>
    <row r="971" spans="3:3" ht="15.75" customHeight="1" x14ac:dyDescent="0.2">
      <c r="C971" s="2"/>
    </row>
    <row r="972" spans="3:3" ht="15.75" customHeight="1" x14ac:dyDescent="0.2">
      <c r="C972" s="2"/>
    </row>
    <row r="973" spans="3:3" ht="15.75" customHeight="1" x14ac:dyDescent="0.2">
      <c r="C973" s="2"/>
    </row>
    <row r="974" spans="3:3" ht="15.75" customHeight="1" x14ac:dyDescent="0.2">
      <c r="C974" s="2"/>
    </row>
    <row r="975" spans="3:3" ht="15.75" customHeight="1" x14ac:dyDescent="0.2">
      <c r="C975" s="2"/>
    </row>
    <row r="976" spans="3:3" ht="15.75" customHeight="1" x14ac:dyDescent="0.2">
      <c r="C976" s="2"/>
    </row>
    <row r="977" spans="3:3" ht="15.75" customHeight="1" x14ac:dyDescent="0.2">
      <c r="C977" s="2"/>
    </row>
    <row r="978" spans="3:3" ht="15.75" customHeight="1" x14ac:dyDescent="0.2">
      <c r="C978" s="2"/>
    </row>
    <row r="979" spans="3:3" ht="15.75" customHeight="1" x14ac:dyDescent="0.2">
      <c r="C979" s="2"/>
    </row>
    <row r="980" spans="3:3" ht="15.75" customHeight="1" x14ac:dyDescent="0.2">
      <c r="C980" s="2"/>
    </row>
    <row r="981" spans="3:3" ht="15.75" customHeight="1" x14ac:dyDescent="0.2">
      <c r="C981" s="2"/>
    </row>
    <row r="982" spans="3:3" ht="15.75" customHeight="1" x14ac:dyDescent="0.2">
      <c r="C982" s="2"/>
    </row>
    <row r="983" spans="3:3" ht="15.75" customHeight="1" x14ac:dyDescent="0.2">
      <c r="C983" s="2"/>
    </row>
    <row r="984" spans="3:3" ht="15.75" customHeight="1" x14ac:dyDescent="0.2">
      <c r="C984" s="2"/>
    </row>
    <row r="985" spans="3:3" ht="15.75" customHeight="1" x14ac:dyDescent="0.2">
      <c r="C985" s="2"/>
    </row>
    <row r="986" spans="3:3" ht="15.75" customHeight="1" x14ac:dyDescent="0.2">
      <c r="C986" s="2"/>
    </row>
    <row r="987" spans="3:3" ht="15.75" customHeight="1" x14ac:dyDescent="0.2">
      <c r="C987" s="2"/>
    </row>
    <row r="988" spans="3:3" ht="15.75" customHeight="1" x14ac:dyDescent="0.2">
      <c r="C988" s="2"/>
    </row>
    <row r="989" spans="3:3" ht="15.75" customHeight="1" x14ac:dyDescent="0.2">
      <c r="C989" s="2"/>
    </row>
    <row r="990" spans="3:3" ht="15.75" customHeight="1" x14ac:dyDescent="0.2">
      <c r="C990" s="2"/>
    </row>
    <row r="991" spans="3:3" ht="15.75" customHeight="1" x14ac:dyDescent="0.2">
      <c r="C991" s="2"/>
    </row>
    <row r="992" spans="3:3" ht="15.75" customHeight="1" x14ac:dyDescent="0.2">
      <c r="C992" s="2"/>
    </row>
    <row r="993" spans="3:3" ht="15.75" customHeight="1" x14ac:dyDescent="0.2">
      <c r="C993" s="2"/>
    </row>
    <row r="994" spans="3:3" ht="15.75" customHeight="1" x14ac:dyDescent="0.2">
      <c r="C994" s="2"/>
    </row>
    <row r="995" spans="3:3" ht="15.75" customHeight="1" x14ac:dyDescent="0.2">
      <c r="C995" s="2"/>
    </row>
    <row r="996" spans="3:3" ht="15.75" customHeight="1" x14ac:dyDescent="0.2">
      <c r="C996" s="2"/>
    </row>
    <row r="997" spans="3:3" ht="15.75" customHeight="1" x14ac:dyDescent="0.2">
      <c r="C997" s="2"/>
    </row>
    <row r="998" spans="3:3" ht="15.75" customHeight="1" x14ac:dyDescent="0.2">
      <c r="C998" s="2"/>
    </row>
    <row r="999" spans="3:3" ht="15.75" customHeight="1" x14ac:dyDescent="0.2">
      <c r="C999" s="2"/>
    </row>
    <row r="1000" spans="3:3" ht="15.75" customHeight="1" x14ac:dyDescent="0.2">
      <c r="C1000" s="2"/>
    </row>
  </sheetData>
  <mergeCells count="62">
    <mergeCell ref="H164:K164"/>
    <mergeCell ref="M164:P168"/>
    <mergeCell ref="B165:F165"/>
    <mergeCell ref="H165:K165"/>
    <mergeCell ref="H180:K180"/>
    <mergeCell ref="B181:F181"/>
    <mergeCell ref="H181:K181"/>
    <mergeCell ref="H185:K185"/>
    <mergeCell ref="B187:F187"/>
    <mergeCell ref="M99:O101"/>
    <mergeCell ref="H117:K117"/>
    <mergeCell ref="B118:F118"/>
    <mergeCell ref="H118:K118"/>
    <mergeCell ref="H99:K99"/>
    <mergeCell ref="B100:F100"/>
    <mergeCell ref="H100:K100"/>
    <mergeCell ref="H104:K104"/>
    <mergeCell ref="B105:F105"/>
    <mergeCell ref="A111:R111"/>
    <mergeCell ref="M117:Q125"/>
    <mergeCell ref="H141:K141"/>
    <mergeCell ref="B73:F73"/>
    <mergeCell ref="H72:K72"/>
    <mergeCell ref="H73:K73"/>
    <mergeCell ref="H86:K86"/>
    <mergeCell ref="M86:P90"/>
    <mergeCell ref="B87:F87"/>
    <mergeCell ref="H87:K87"/>
    <mergeCell ref="H52:K52"/>
    <mergeCell ref="B53:F53"/>
    <mergeCell ref="H53:K53"/>
    <mergeCell ref="H57:K57"/>
    <mergeCell ref="B58:F58"/>
    <mergeCell ref="H39:K39"/>
    <mergeCell ref="B40:F40"/>
    <mergeCell ref="H40:K40"/>
    <mergeCell ref="B45:F45"/>
    <mergeCell ref="H44:K44"/>
    <mergeCell ref="H19:K19"/>
    <mergeCell ref="B20:F20"/>
    <mergeCell ref="H20:K20"/>
    <mergeCell ref="H24:K24"/>
    <mergeCell ref="B25:F25"/>
    <mergeCell ref="I2:K2"/>
    <mergeCell ref="B3:G3"/>
    <mergeCell ref="I3:K3"/>
    <mergeCell ref="I6:K6"/>
    <mergeCell ref="B8:G8"/>
    <mergeCell ref="B142:F142"/>
    <mergeCell ref="Z143:AD145"/>
    <mergeCell ref="S145:X146"/>
    <mergeCell ref="H122:K122"/>
    <mergeCell ref="B123:F123"/>
    <mergeCell ref="S135:X135"/>
    <mergeCell ref="Z135:AD135"/>
    <mergeCell ref="M136:Q144"/>
    <mergeCell ref="S136:X137"/>
    <mergeCell ref="Z136:AD136"/>
    <mergeCell ref="A130:R130"/>
    <mergeCell ref="H136:K136"/>
    <mergeCell ref="B137:F137"/>
    <mergeCell ref="H137:K137"/>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2.625" defaultRowHeight="15" customHeight="1" x14ac:dyDescent="0.2"/>
  <cols>
    <col min="1" max="3" width="10" customWidth="1"/>
    <col min="4" max="4" width="14.875" customWidth="1"/>
    <col min="5" max="5" width="12" customWidth="1"/>
    <col min="6" max="6" width="10" customWidth="1"/>
    <col min="7" max="7" width="12" customWidth="1"/>
    <col min="8" max="26" width="10" customWidth="1"/>
  </cols>
  <sheetData>
    <row r="1" spans="1:13" x14ac:dyDescent="0.25">
      <c r="A1" s="28" t="s">
        <v>205</v>
      </c>
    </row>
    <row r="2" spans="1:13" ht="24" x14ac:dyDescent="0.2">
      <c r="C2" s="4" t="s">
        <v>0</v>
      </c>
      <c r="D2" s="5" t="s">
        <v>1</v>
      </c>
      <c r="E2" s="5" t="s">
        <v>42</v>
      </c>
      <c r="F2" s="5" t="s">
        <v>43</v>
      </c>
      <c r="G2" s="5" t="s">
        <v>44</v>
      </c>
      <c r="H2" s="7" t="s">
        <v>206</v>
      </c>
      <c r="J2" s="296" t="s">
        <v>45</v>
      </c>
      <c r="K2" s="297"/>
      <c r="L2" s="297"/>
      <c r="M2" s="298"/>
    </row>
    <row r="3" spans="1:13" ht="14.25" x14ac:dyDescent="0.2">
      <c r="C3" s="310" t="s">
        <v>8</v>
      </c>
      <c r="D3" s="297"/>
      <c r="E3" s="297"/>
      <c r="F3" s="297"/>
      <c r="G3" s="297"/>
      <c r="H3" s="306"/>
      <c r="J3" s="305" t="s">
        <v>10</v>
      </c>
      <c r="K3" s="297"/>
      <c r="L3" s="297"/>
      <c r="M3" s="298"/>
    </row>
    <row r="4" spans="1:13" ht="14.25" x14ac:dyDescent="0.2">
      <c r="C4" s="9" t="s">
        <v>11</v>
      </c>
      <c r="D4" s="12" t="s">
        <v>12</v>
      </c>
      <c r="E4" s="17">
        <v>720</v>
      </c>
      <c r="F4" s="22">
        <v>720</v>
      </c>
      <c r="G4" s="11">
        <v>700</v>
      </c>
      <c r="H4" s="110">
        <f>((F4-G4)/F4)</f>
        <v>2.7777777777777776E-2</v>
      </c>
      <c r="J4" s="12"/>
      <c r="K4" s="12" t="s">
        <v>52</v>
      </c>
      <c r="L4" s="12" t="s">
        <v>53</v>
      </c>
      <c r="M4" s="12"/>
    </row>
    <row r="5" spans="1:13" ht="14.25" x14ac:dyDescent="0.2">
      <c r="C5" s="9" t="s">
        <v>11</v>
      </c>
      <c r="D5" s="12" t="s">
        <v>18</v>
      </c>
      <c r="E5" s="17">
        <v>0</v>
      </c>
      <c r="F5" s="22">
        <v>0</v>
      </c>
      <c r="G5" s="11">
        <v>0</v>
      </c>
      <c r="H5" s="110">
        <v>0</v>
      </c>
      <c r="J5" s="12" t="s">
        <v>12</v>
      </c>
      <c r="K5" s="17">
        <v>720</v>
      </c>
      <c r="L5" s="11">
        <v>700</v>
      </c>
      <c r="M5" s="17" t="s">
        <v>207</v>
      </c>
    </row>
    <row r="6" spans="1:13" ht="14.25" x14ac:dyDescent="0.2">
      <c r="C6" s="9" t="s">
        <v>21</v>
      </c>
      <c r="D6" s="12" t="s">
        <v>59</v>
      </c>
      <c r="E6" s="17">
        <v>440</v>
      </c>
      <c r="F6" s="22">
        <v>465</v>
      </c>
      <c r="G6" s="11">
        <v>446</v>
      </c>
      <c r="H6" s="110">
        <f t="shared" ref="H6:H7" si="0">((F6-G6)/F6)</f>
        <v>4.0860215053763443E-2</v>
      </c>
      <c r="J6" s="12" t="s">
        <v>18</v>
      </c>
      <c r="K6" s="17">
        <v>0</v>
      </c>
      <c r="L6" s="11">
        <v>0</v>
      </c>
      <c r="M6" s="17" t="s">
        <v>208</v>
      </c>
    </row>
    <row r="7" spans="1:13" ht="14.25" x14ac:dyDescent="0.2">
      <c r="C7" s="9" t="s">
        <v>21</v>
      </c>
      <c r="D7" s="12" t="s">
        <v>63</v>
      </c>
      <c r="E7" s="17">
        <v>160</v>
      </c>
      <c r="F7" s="22">
        <v>169</v>
      </c>
      <c r="G7" s="11">
        <v>164</v>
      </c>
      <c r="H7" s="110">
        <f t="shared" si="0"/>
        <v>2.9585798816568046E-2</v>
      </c>
      <c r="J7" s="305" t="s">
        <v>23</v>
      </c>
      <c r="K7" s="297"/>
      <c r="L7" s="297"/>
      <c r="M7" s="298"/>
    </row>
    <row r="8" spans="1:13" ht="14.25" x14ac:dyDescent="0.2">
      <c r="C8" s="310" t="s">
        <v>29</v>
      </c>
      <c r="D8" s="297"/>
      <c r="E8" s="297"/>
      <c r="F8" s="297"/>
      <c r="G8" s="297"/>
      <c r="H8" s="306"/>
      <c r="J8" s="12" t="s">
        <v>12</v>
      </c>
      <c r="K8" s="17">
        <v>700</v>
      </c>
      <c r="L8" s="11">
        <v>650</v>
      </c>
      <c r="M8" s="17" t="s">
        <v>209</v>
      </c>
    </row>
    <row r="9" spans="1:13" ht="14.25" x14ac:dyDescent="0.2">
      <c r="C9" s="9" t="s">
        <v>11</v>
      </c>
      <c r="D9" s="12" t="s">
        <v>12</v>
      </c>
      <c r="E9" s="17">
        <v>700</v>
      </c>
      <c r="F9" s="22">
        <v>650</v>
      </c>
      <c r="G9" s="22">
        <v>650</v>
      </c>
      <c r="H9" s="110">
        <f>((F9-G9)/F9)</f>
        <v>0</v>
      </c>
      <c r="J9" s="12" t="s">
        <v>18</v>
      </c>
      <c r="K9" s="17">
        <v>0</v>
      </c>
      <c r="L9" s="11">
        <v>0</v>
      </c>
      <c r="M9" s="17" t="s">
        <v>210</v>
      </c>
    </row>
    <row r="10" spans="1:13" ht="14.25" x14ac:dyDescent="0.2">
      <c r="C10" s="9" t="s">
        <v>11</v>
      </c>
      <c r="D10" s="12" t="s">
        <v>18</v>
      </c>
      <c r="E10" s="17">
        <v>0</v>
      </c>
      <c r="F10" s="22">
        <v>0</v>
      </c>
      <c r="G10" s="22">
        <v>0</v>
      </c>
      <c r="H10" s="110">
        <v>0</v>
      </c>
    </row>
    <row r="11" spans="1:13" ht="14.25" x14ac:dyDescent="0.2">
      <c r="C11" s="9" t="s">
        <v>21</v>
      </c>
      <c r="D11" s="12" t="s">
        <v>59</v>
      </c>
      <c r="E11" s="17">
        <v>430</v>
      </c>
      <c r="F11" s="22">
        <v>426</v>
      </c>
      <c r="G11" s="22">
        <v>424</v>
      </c>
      <c r="H11" s="110">
        <f t="shared" ref="H11:H12" si="1">((F11-G11)/F11)</f>
        <v>4.6948356807511738E-3</v>
      </c>
    </row>
    <row r="12" spans="1:13" ht="14.25" x14ac:dyDescent="0.2">
      <c r="C12" s="9" t="s">
        <v>21</v>
      </c>
      <c r="D12" s="12" t="s">
        <v>63</v>
      </c>
      <c r="E12" s="17">
        <v>150</v>
      </c>
      <c r="F12" s="22">
        <v>159</v>
      </c>
      <c r="G12" s="22">
        <v>166</v>
      </c>
      <c r="H12" s="110">
        <f t="shared" si="1"/>
        <v>-4.40251572327044E-2</v>
      </c>
    </row>
    <row r="13" spans="1:13" x14ac:dyDescent="0.2">
      <c r="D13" s="2"/>
      <c r="E13" s="1"/>
    </row>
    <row r="14" spans="1:13" x14ac:dyDescent="0.25">
      <c r="B14" s="120">
        <v>43073</v>
      </c>
      <c r="D14" s="2"/>
      <c r="E14" s="2"/>
    </row>
    <row r="15" spans="1:13" ht="24" x14ac:dyDescent="0.2">
      <c r="C15" s="4" t="s">
        <v>0</v>
      </c>
      <c r="D15" s="5" t="s">
        <v>1</v>
      </c>
      <c r="E15" s="5" t="s">
        <v>42</v>
      </c>
      <c r="F15" s="5" t="s">
        <v>43</v>
      </c>
      <c r="G15" s="5" t="s">
        <v>44</v>
      </c>
      <c r="H15" s="7" t="s">
        <v>206</v>
      </c>
      <c r="J15" s="296" t="s">
        <v>45</v>
      </c>
      <c r="K15" s="297"/>
      <c r="L15" s="297"/>
      <c r="M15" s="298"/>
    </row>
    <row r="16" spans="1:13" ht="14.25" x14ac:dyDescent="0.2">
      <c r="C16" s="310" t="s">
        <v>8</v>
      </c>
      <c r="D16" s="297"/>
      <c r="E16" s="297"/>
      <c r="F16" s="297"/>
      <c r="G16" s="297"/>
      <c r="H16" s="306"/>
      <c r="J16" s="305" t="s">
        <v>10</v>
      </c>
      <c r="K16" s="297"/>
      <c r="L16" s="297"/>
      <c r="M16" s="298"/>
    </row>
    <row r="17" spans="1:26" ht="14.25" x14ac:dyDescent="0.2">
      <c r="C17" s="9" t="s">
        <v>11</v>
      </c>
      <c r="D17" s="12" t="s">
        <v>12</v>
      </c>
      <c r="E17" s="17">
        <v>700</v>
      </c>
      <c r="F17" s="22">
        <v>700</v>
      </c>
      <c r="G17" s="11">
        <v>690</v>
      </c>
      <c r="H17" s="110">
        <f>((F17-G17)/F17)</f>
        <v>1.4285714285714285E-2</v>
      </c>
      <c r="J17" s="12"/>
      <c r="K17" s="12" t="s">
        <v>52</v>
      </c>
      <c r="L17" s="12" t="s">
        <v>53</v>
      </c>
      <c r="M17" s="12"/>
    </row>
    <row r="18" spans="1:26" ht="14.25" x14ac:dyDescent="0.2">
      <c r="C18" s="9" t="s">
        <v>11</v>
      </c>
      <c r="D18" s="12" t="s">
        <v>18</v>
      </c>
      <c r="E18" s="17">
        <v>0</v>
      </c>
      <c r="F18" s="22">
        <v>0</v>
      </c>
      <c r="G18" s="11">
        <v>0</v>
      </c>
      <c r="H18" s="110">
        <v>0</v>
      </c>
      <c r="J18" s="12" t="s">
        <v>12</v>
      </c>
      <c r="K18" s="17">
        <v>700</v>
      </c>
      <c r="L18" s="11">
        <v>700</v>
      </c>
      <c r="M18" s="17" t="s">
        <v>212</v>
      </c>
    </row>
    <row r="19" spans="1:26" ht="14.25" x14ac:dyDescent="0.2">
      <c r="C19" s="9" t="s">
        <v>21</v>
      </c>
      <c r="D19" s="12" t="s">
        <v>59</v>
      </c>
      <c r="E19" s="17">
        <v>440</v>
      </c>
      <c r="F19" s="22">
        <v>446</v>
      </c>
      <c r="G19" s="11">
        <v>438</v>
      </c>
      <c r="H19" s="110">
        <f t="shared" ref="H19:H20" si="2">((F19-G19)/F19)</f>
        <v>1.7937219730941704E-2</v>
      </c>
      <c r="J19" s="12" t="s">
        <v>18</v>
      </c>
      <c r="K19" s="17">
        <v>0</v>
      </c>
      <c r="L19" s="11">
        <v>0</v>
      </c>
      <c r="M19" s="17" t="s">
        <v>213</v>
      </c>
    </row>
    <row r="20" spans="1:26" ht="14.25" x14ac:dyDescent="0.2">
      <c r="C20" s="9" t="s">
        <v>21</v>
      </c>
      <c r="D20" s="12" t="s">
        <v>63</v>
      </c>
      <c r="E20" s="17">
        <v>160</v>
      </c>
      <c r="F20" s="22">
        <v>164</v>
      </c>
      <c r="G20" s="11">
        <v>150</v>
      </c>
      <c r="H20" s="110">
        <f t="shared" si="2"/>
        <v>8.5365853658536592E-2</v>
      </c>
      <c r="J20" s="305" t="s">
        <v>23</v>
      </c>
      <c r="K20" s="297"/>
      <c r="L20" s="297"/>
      <c r="M20" s="298"/>
    </row>
    <row r="21" spans="1:26" ht="15.75" customHeight="1" x14ac:dyDescent="0.2">
      <c r="C21" s="310" t="s">
        <v>29</v>
      </c>
      <c r="D21" s="297"/>
      <c r="E21" s="297"/>
      <c r="F21" s="297"/>
      <c r="G21" s="297"/>
      <c r="H21" s="306"/>
      <c r="J21" s="12" t="s">
        <v>12</v>
      </c>
      <c r="K21" s="17">
        <v>650</v>
      </c>
      <c r="L21" s="11">
        <v>675</v>
      </c>
      <c r="M21" s="17" t="s">
        <v>214</v>
      </c>
    </row>
    <row r="22" spans="1:26" ht="15.75" customHeight="1" x14ac:dyDescent="0.2">
      <c r="C22" s="9" t="s">
        <v>11</v>
      </c>
      <c r="D22" s="12" t="s">
        <v>12</v>
      </c>
      <c r="E22" s="17">
        <v>650</v>
      </c>
      <c r="F22" s="22">
        <v>650</v>
      </c>
      <c r="G22" s="22">
        <v>675</v>
      </c>
      <c r="H22" s="110">
        <f>((F22-G22)/F22)</f>
        <v>-3.8461538461538464E-2</v>
      </c>
      <c r="J22" s="12" t="s">
        <v>18</v>
      </c>
      <c r="K22" s="17">
        <v>0</v>
      </c>
      <c r="L22" s="11">
        <v>0</v>
      </c>
      <c r="M22" s="17" t="s">
        <v>215</v>
      </c>
    </row>
    <row r="23" spans="1:26" ht="15.75" customHeight="1" x14ac:dyDescent="0.2">
      <c r="C23" s="9" t="s">
        <v>11</v>
      </c>
      <c r="D23" s="12" t="s">
        <v>18</v>
      </c>
      <c r="E23" s="17">
        <v>0</v>
      </c>
      <c r="F23" s="22">
        <v>0</v>
      </c>
      <c r="G23" s="22">
        <v>0</v>
      </c>
      <c r="H23" s="110">
        <v>0</v>
      </c>
    </row>
    <row r="24" spans="1:26" ht="15.75" customHeight="1" x14ac:dyDescent="0.2">
      <c r="C24" s="9" t="s">
        <v>21</v>
      </c>
      <c r="D24" s="12" t="s">
        <v>59</v>
      </c>
      <c r="E24" s="17">
        <v>430</v>
      </c>
      <c r="F24" s="22">
        <v>426</v>
      </c>
      <c r="G24" s="22">
        <v>427</v>
      </c>
      <c r="H24" s="110">
        <f t="shared" ref="H24:H25" si="3">((F24-G24)/F24)</f>
        <v>-2.3474178403755869E-3</v>
      </c>
    </row>
    <row r="25" spans="1:26" ht="15.75" customHeight="1" x14ac:dyDescent="0.2">
      <c r="C25" s="9" t="s">
        <v>21</v>
      </c>
      <c r="D25" s="12" t="s">
        <v>63</v>
      </c>
      <c r="E25" s="17">
        <v>150</v>
      </c>
      <c r="F25" s="22">
        <v>166</v>
      </c>
      <c r="G25" s="22">
        <v>140</v>
      </c>
      <c r="H25" s="110">
        <f t="shared" si="3"/>
        <v>0.15662650602409639</v>
      </c>
    </row>
    <row r="26" spans="1:26" ht="15.75" customHeight="1" x14ac:dyDescent="0.2"/>
    <row r="27" spans="1:26" ht="15.75" customHeight="1" x14ac:dyDescent="0.2"/>
    <row r="28" spans="1:26" ht="15.75" customHeight="1" x14ac:dyDescent="0.2"/>
    <row r="29" spans="1:26" ht="15.75" customHeight="1" x14ac:dyDescent="0.25">
      <c r="A29" s="29"/>
      <c r="B29" s="29"/>
      <c r="C29" s="29"/>
      <c r="D29" s="29"/>
      <c r="E29" s="29"/>
      <c r="F29" s="29"/>
      <c r="G29" s="122"/>
      <c r="H29" s="29"/>
      <c r="I29" s="29"/>
      <c r="J29" s="29"/>
      <c r="K29" s="29"/>
      <c r="L29" s="29"/>
      <c r="M29" s="29"/>
      <c r="N29" s="29"/>
      <c r="O29" s="29"/>
      <c r="P29" s="29"/>
      <c r="Q29" s="29"/>
      <c r="R29" s="29"/>
      <c r="S29" s="29"/>
      <c r="T29" s="29"/>
      <c r="U29" s="29"/>
      <c r="V29" s="29"/>
      <c r="W29" s="29"/>
      <c r="X29" s="29"/>
      <c r="Y29" s="29"/>
      <c r="Z29" s="29"/>
    </row>
    <row r="30" spans="1:26" ht="15.75" customHeight="1" x14ac:dyDescent="0.25">
      <c r="A30" s="28"/>
      <c r="B30" s="28"/>
      <c r="C30" s="28"/>
      <c r="D30" s="28"/>
      <c r="E30" s="28"/>
      <c r="F30" s="28"/>
      <c r="G30" s="123"/>
      <c r="H30" s="28"/>
      <c r="I30" s="28"/>
      <c r="J30" s="28"/>
      <c r="K30" s="28"/>
      <c r="L30" s="28"/>
      <c r="M30" s="28"/>
      <c r="N30" s="28"/>
      <c r="O30" s="28"/>
      <c r="P30" s="28"/>
      <c r="Q30" s="28"/>
      <c r="R30" s="28"/>
      <c r="S30" s="28"/>
      <c r="T30" s="28"/>
      <c r="U30" s="28"/>
      <c r="V30" s="28"/>
      <c r="W30" s="28"/>
      <c r="X30" s="28"/>
      <c r="Y30" s="28"/>
      <c r="Z30" s="28"/>
    </row>
    <row r="31" spans="1:26" ht="15.75" customHeight="1" x14ac:dyDescent="0.25">
      <c r="A31" s="28"/>
      <c r="B31" s="28"/>
      <c r="C31" s="28"/>
      <c r="D31" s="28"/>
      <c r="E31" s="28"/>
      <c r="F31" s="28"/>
      <c r="G31" s="123"/>
      <c r="H31" s="28"/>
      <c r="I31" s="28"/>
      <c r="J31" s="28"/>
      <c r="K31" s="28"/>
      <c r="L31" s="28"/>
      <c r="M31" s="28"/>
      <c r="N31" s="28"/>
      <c r="O31" s="28"/>
      <c r="P31" s="28"/>
      <c r="Q31" s="28"/>
      <c r="R31" s="28"/>
      <c r="S31" s="28"/>
      <c r="T31" s="28"/>
      <c r="U31" s="28"/>
      <c r="V31" s="28"/>
      <c r="W31" s="28"/>
      <c r="X31" s="28"/>
      <c r="Y31" s="28"/>
      <c r="Z31" s="28"/>
    </row>
    <row r="32" spans="1:26" ht="15.75" customHeight="1" x14ac:dyDescent="0.25">
      <c r="A32" s="23" t="s">
        <v>115</v>
      </c>
      <c r="B32" s="43" t="s">
        <v>221</v>
      </c>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5.75" customHeight="1" x14ac:dyDescent="0.25">
      <c r="A33" s="304" t="s">
        <v>222</v>
      </c>
      <c r="B33" s="297"/>
      <c r="C33" s="297"/>
      <c r="D33" s="297"/>
      <c r="E33" s="298"/>
      <c r="F33" s="28"/>
      <c r="G33" s="28"/>
      <c r="H33" s="3"/>
      <c r="I33" s="28"/>
      <c r="J33" s="28"/>
      <c r="K33" s="28"/>
      <c r="L33" s="28"/>
      <c r="M33" s="28"/>
      <c r="N33" s="28"/>
      <c r="O33" s="28"/>
      <c r="P33" s="28"/>
      <c r="Q33" s="28"/>
      <c r="R33" s="28"/>
      <c r="S33" s="28"/>
      <c r="T33" s="28"/>
      <c r="U33" s="28"/>
      <c r="V33" s="28"/>
      <c r="W33" s="28"/>
      <c r="X33" s="28"/>
      <c r="Y33" s="28"/>
      <c r="Z33" s="28"/>
    </row>
    <row r="34" spans="1:26" ht="15.75" customHeight="1" x14ac:dyDescent="0.25">
      <c r="A34" s="4" t="s">
        <v>0</v>
      </c>
      <c r="B34" s="5" t="s">
        <v>1</v>
      </c>
      <c r="C34" s="5" t="s">
        <v>2</v>
      </c>
      <c r="D34" s="5" t="s">
        <v>43</v>
      </c>
      <c r="E34" s="45" t="s">
        <v>125</v>
      </c>
      <c r="F34" s="28"/>
      <c r="G34" s="296" t="s">
        <v>6</v>
      </c>
      <c r="H34" s="297"/>
      <c r="I34" s="297"/>
      <c r="J34" s="297"/>
      <c r="K34" s="297"/>
      <c r="L34" s="298"/>
      <c r="M34" s="28"/>
      <c r="N34" s="28"/>
      <c r="O34" s="28"/>
      <c r="P34" s="28"/>
      <c r="Q34" s="28"/>
      <c r="R34" s="28"/>
      <c r="S34" s="28"/>
      <c r="T34" s="28"/>
      <c r="U34" s="28"/>
      <c r="V34" s="28"/>
      <c r="W34" s="28"/>
      <c r="X34" s="28"/>
      <c r="Y34" s="28"/>
      <c r="Z34" s="28"/>
    </row>
    <row r="35" spans="1:26" ht="15.75" customHeight="1" x14ac:dyDescent="0.25">
      <c r="A35" s="9" t="s">
        <v>7</v>
      </c>
      <c r="B35" s="302" t="s">
        <v>9</v>
      </c>
      <c r="C35" s="47">
        <v>28.1</v>
      </c>
      <c r="D35" s="47"/>
      <c r="E35" s="47">
        <v>40</v>
      </c>
      <c r="F35" s="28">
        <v>14</v>
      </c>
      <c r="G35" s="296" t="s">
        <v>106</v>
      </c>
      <c r="H35" s="297"/>
      <c r="I35" s="298"/>
      <c r="J35" s="296" t="s">
        <v>107</v>
      </c>
      <c r="K35" s="297"/>
      <c r="L35" s="298"/>
      <c r="M35" s="28"/>
      <c r="N35" s="28"/>
      <c r="O35" s="28"/>
      <c r="P35" s="28"/>
      <c r="Q35" s="28"/>
      <c r="R35" s="28"/>
      <c r="S35" s="28"/>
      <c r="T35" s="28"/>
      <c r="U35" s="28"/>
      <c r="V35" s="28"/>
      <c r="W35" s="28"/>
      <c r="X35" s="28"/>
      <c r="Y35" s="28"/>
      <c r="Z35" s="28"/>
    </row>
    <row r="36" spans="1:26" ht="15.75" customHeight="1" x14ac:dyDescent="0.25">
      <c r="A36" s="9" t="s">
        <v>17</v>
      </c>
      <c r="B36" s="300"/>
      <c r="C36" s="47">
        <v>63.911000000000001</v>
      </c>
      <c r="D36" s="47"/>
      <c r="E36" s="47">
        <v>69</v>
      </c>
      <c r="F36" s="28">
        <v>63</v>
      </c>
      <c r="G36" s="13" t="s">
        <v>13</v>
      </c>
      <c r="H36" s="39">
        <f>+H38+H38*0.1</f>
        <v>829.4</v>
      </c>
      <c r="I36" s="17" t="s">
        <v>229</v>
      </c>
      <c r="J36" s="13" t="s">
        <v>13</v>
      </c>
      <c r="K36" s="39">
        <f>+K38+K38*0.1</f>
        <v>829.4</v>
      </c>
      <c r="L36" s="17" t="s">
        <v>230</v>
      </c>
      <c r="M36" s="28"/>
      <c r="N36" s="28"/>
      <c r="O36" s="28"/>
      <c r="P36" s="28"/>
      <c r="Q36" s="28"/>
      <c r="R36" s="28"/>
      <c r="S36" s="28"/>
      <c r="T36" s="28"/>
      <c r="U36" s="28"/>
      <c r="V36" s="28"/>
      <c r="W36" s="28"/>
      <c r="X36" s="28"/>
      <c r="Y36" s="28"/>
      <c r="Z36" s="28"/>
    </row>
    <row r="37" spans="1:26" ht="15.75" customHeight="1" x14ac:dyDescent="0.25">
      <c r="A37" s="9" t="s">
        <v>26</v>
      </c>
      <c r="B37" s="300"/>
      <c r="C37" s="47">
        <v>69.921999999999997</v>
      </c>
      <c r="D37" s="47"/>
      <c r="E37" s="47">
        <v>70</v>
      </c>
      <c r="F37" s="28">
        <v>68</v>
      </c>
      <c r="G37" s="13" t="s">
        <v>19</v>
      </c>
      <c r="H37" s="40">
        <f>+H38-H38*0.1</f>
        <v>678.6</v>
      </c>
      <c r="I37" s="17" t="s">
        <v>232</v>
      </c>
      <c r="J37" s="13" t="s">
        <v>19</v>
      </c>
      <c r="K37" s="40">
        <f>+K38-K38*0.1</f>
        <v>678.6</v>
      </c>
      <c r="L37" s="17" t="s">
        <v>234</v>
      </c>
      <c r="M37" s="28"/>
      <c r="N37" s="28"/>
      <c r="O37" s="28"/>
      <c r="P37" s="28"/>
      <c r="Q37" s="28"/>
      <c r="R37" s="28"/>
      <c r="S37" s="28"/>
      <c r="T37" s="28"/>
      <c r="U37" s="28"/>
      <c r="V37" s="28"/>
      <c r="W37" s="28"/>
      <c r="X37" s="28"/>
      <c r="Y37" s="28"/>
      <c r="Z37" s="28"/>
    </row>
    <row r="38" spans="1:26" ht="15.75" customHeight="1" x14ac:dyDescent="0.25">
      <c r="A38" s="9" t="s">
        <v>32</v>
      </c>
      <c r="B38" s="300"/>
      <c r="C38" s="47">
        <v>96.744</v>
      </c>
      <c r="D38" s="47"/>
      <c r="E38" s="47">
        <v>85</v>
      </c>
      <c r="F38" s="28">
        <v>83</v>
      </c>
      <c r="G38" s="13" t="s">
        <v>27</v>
      </c>
      <c r="H38" s="20">
        <v>754</v>
      </c>
      <c r="I38" s="17" t="s">
        <v>235</v>
      </c>
      <c r="J38" s="13" t="s">
        <v>27</v>
      </c>
      <c r="K38" s="20">
        <v>754</v>
      </c>
      <c r="L38" s="17" t="s">
        <v>236</v>
      </c>
      <c r="M38" s="28"/>
      <c r="N38" s="28"/>
      <c r="O38" s="28"/>
      <c r="P38" s="28"/>
      <c r="Q38" s="28"/>
      <c r="R38" s="28"/>
      <c r="S38" s="28"/>
      <c r="T38" s="28"/>
      <c r="U38" s="28"/>
      <c r="V38" s="28"/>
      <c r="W38" s="28"/>
      <c r="X38" s="28"/>
      <c r="Y38" s="28"/>
      <c r="Z38" s="28"/>
    </row>
    <row r="39" spans="1:26" ht="15.75" customHeight="1" x14ac:dyDescent="0.25">
      <c r="A39" s="9" t="s">
        <v>33</v>
      </c>
      <c r="B39" s="301"/>
      <c r="C39" s="47">
        <v>128.11000000000001</v>
      </c>
      <c r="D39" s="47"/>
      <c r="E39" s="47">
        <v>120</v>
      </c>
      <c r="F39" s="28">
        <v>116</v>
      </c>
      <c r="G39" s="13" t="s">
        <v>121</v>
      </c>
      <c r="H39" s="20">
        <v>748</v>
      </c>
      <c r="I39" s="17" t="s">
        <v>238</v>
      </c>
      <c r="J39" s="13" t="s">
        <v>121</v>
      </c>
      <c r="K39" s="20">
        <v>747</v>
      </c>
      <c r="L39" s="17" t="s">
        <v>239</v>
      </c>
      <c r="M39" s="28"/>
      <c r="N39" s="28"/>
      <c r="O39" s="28"/>
      <c r="P39" s="28"/>
      <c r="Q39" s="28"/>
      <c r="R39" s="28"/>
      <c r="S39" s="28"/>
      <c r="T39" s="28"/>
      <c r="U39" s="28"/>
      <c r="V39" s="28"/>
      <c r="W39" s="28"/>
      <c r="X39" s="28"/>
      <c r="Y39" s="28"/>
      <c r="Z39" s="28"/>
    </row>
    <row r="40" spans="1:26" ht="15.75" customHeight="1" x14ac:dyDescent="0.25">
      <c r="A40" s="41"/>
      <c r="B40" s="125"/>
      <c r="C40" s="42"/>
      <c r="D40" s="25"/>
      <c r="E40" s="25"/>
      <c r="F40" s="28"/>
      <c r="G40" s="28"/>
      <c r="H40" s="3"/>
      <c r="I40" s="28"/>
      <c r="J40" s="28"/>
      <c r="K40" s="28"/>
      <c r="L40" s="28"/>
      <c r="M40" s="28"/>
      <c r="N40" s="28"/>
      <c r="O40" s="28"/>
      <c r="P40" s="28"/>
      <c r="Q40" s="28"/>
      <c r="R40" s="28"/>
      <c r="S40" s="28"/>
      <c r="T40" s="28"/>
      <c r="U40" s="28"/>
      <c r="V40" s="28"/>
      <c r="W40" s="28"/>
      <c r="X40" s="28"/>
      <c r="Y40" s="28"/>
      <c r="Z40" s="28"/>
    </row>
    <row r="41" spans="1:26" ht="15.75" customHeight="1" x14ac:dyDescent="0.25">
      <c r="A41" s="126" t="s">
        <v>35</v>
      </c>
      <c r="B41" s="302" t="s">
        <v>36</v>
      </c>
      <c r="C41" s="47">
        <v>207.78</v>
      </c>
      <c r="D41" s="47"/>
      <c r="E41" s="47">
        <v>151</v>
      </c>
      <c r="F41" s="127">
        <v>142</v>
      </c>
      <c r="G41" s="28"/>
      <c r="H41" s="3"/>
      <c r="I41" s="27" t="s">
        <v>241</v>
      </c>
      <c r="J41" s="128" t="s">
        <v>242</v>
      </c>
      <c r="K41" s="28"/>
      <c r="L41" s="28"/>
      <c r="M41" s="28"/>
      <c r="N41" s="28"/>
      <c r="O41" s="28"/>
      <c r="P41" s="28"/>
      <c r="Q41" s="28"/>
      <c r="R41" s="28"/>
      <c r="S41" s="28"/>
      <c r="T41" s="28"/>
      <c r="U41" s="28"/>
      <c r="V41" s="28"/>
      <c r="W41" s="28"/>
      <c r="X41" s="28"/>
      <c r="Y41" s="28"/>
      <c r="Z41" s="28"/>
    </row>
    <row r="42" spans="1:26" ht="15.75" customHeight="1" x14ac:dyDescent="0.25">
      <c r="A42" s="126" t="s">
        <v>37</v>
      </c>
      <c r="B42" s="300"/>
      <c r="C42" s="47">
        <v>444.11</v>
      </c>
      <c r="D42" s="47"/>
      <c r="E42" s="47">
        <v>209</v>
      </c>
      <c r="F42" s="127">
        <v>200</v>
      </c>
      <c r="G42" s="28"/>
      <c r="H42" s="3"/>
      <c r="I42" s="28"/>
      <c r="J42" s="28"/>
      <c r="K42" s="28"/>
      <c r="L42" s="28"/>
      <c r="M42" s="28"/>
      <c r="N42" s="28"/>
      <c r="O42" s="28"/>
      <c r="P42" s="28"/>
      <c r="Q42" s="28"/>
      <c r="R42" s="28"/>
      <c r="S42" s="28"/>
      <c r="T42" s="28"/>
      <c r="U42" s="28"/>
      <c r="V42" s="28"/>
      <c r="W42" s="28"/>
      <c r="X42" s="28"/>
      <c r="Y42" s="28"/>
      <c r="Z42" s="28"/>
    </row>
    <row r="43" spans="1:26" ht="15.75" customHeight="1" x14ac:dyDescent="0.25">
      <c r="A43" s="126" t="s">
        <v>38</v>
      </c>
      <c r="B43" s="300"/>
      <c r="C43" s="47">
        <v>579.55999999999995</v>
      </c>
      <c r="D43" s="47"/>
      <c r="E43" s="47">
        <v>536</v>
      </c>
      <c r="F43" s="127">
        <v>528</v>
      </c>
      <c r="G43" s="28"/>
      <c r="H43" s="3"/>
      <c r="I43" s="28"/>
      <c r="J43" s="28"/>
      <c r="K43" s="28"/>
      <c r="L43" s="28"/>
      <c r="M43" s="28"/>
      <c r="N43" s="28"/>
      <c r="O43" s="28"/>
      <c r="P43" s="28"/>
      <c r="Q43" s="28"/>
      <c r="R43" s="28"/>
      <c r="S43" s="28"/>
      <c r="T43" s="28"/>
      <c r="U43" s="28"/>
      <c r="V43" s="28"/>
      <c r="W43" s="28"/>
      <c r="X43" s="28"/>
      <c r="Y43" s="28"/>
      <c r="Z43" s="28"/>
    </row>
    <row r="44" spans="1:26" ht="15.75" customHeight="1" x14ac:dyDescent="0.25">
      <c r="A44" s="129" t="s">
        <v>39</v>
      </c>
      <c r="B44" s="300"/>
      <c r="C44" s="50">
        <v>746.22</v>
      </c>
      <c r="D44" s="47"/>
      <c r="E44" s="47">
        <v>726</v>
      </c>
      <c r="F44" s="127">
        <v>720</v>
      </c>
      <c r="G44" s="28"/>
      <c r="H44" s="3"/>
      <c r="I44" s="28"/>
      <c r="J44" s="28"/>
      <c r="K44" s="28"/>
      <c r="L44" s="28"/>
      <c r="M44" s="28"/>
      <c r="N44" s="28"/>
      <c r="O44" s="28"/>
      <c r="P44" s="28"/>
      <c r="Q44" s="28"/>
      <c r="R44" s="28"/>
      <c r="S44" s="28"/>
      <c r="T44" s="28"/>
      <c r="U44" s="28"/>
      <c r="V44" s="28"/>
      <c r="W44" s="28"/>
      <c r="X44" s="28"/>
      <c r="Y44" s="28"/>
      <c r="Z44" s="28"/>
    </row>
    <row r="45" spans="1:26" ht="15.75" customHeight="1" x14ac:dyDescent="0.25">
      <c r="A45" s="12" t="s">
        <v>41</v>
      </c>
      <c r="B45" s="301"/>
      <c r="C45" s="71">
        <v>869.5</v>
      </c>
      <c r="D45" s="47"/>
      <c r="E45" s="47">
        <v>778</v>
      </c>
      <c r="F45" s="127">
        <v>772</v>
      </c>
      <c r="G45" s="28"/>
      <c r="H45" s="3"/>
      <c r="I45" s="28"/>
      <c r="J45" s="28"/>
      <c r="K45" s="28"/>
      <c r="L45" s="28"/>
      <c r="M45" s="28"/>
      <c r="N45" s="28"/>
      <c r="O45" s="28"/>
      <c r="P45" s="28"/>
      <c r="Q45" s="28"/>
      <c r="R45" s="28"/>
      <c r="S45" s="28"/>
      <c r="T45" s="28"/>
      <c r="U45" s="28"/>
      <c r="V45" s="28"/>
      <c r="W45" s="28"/>
      <c r="X45" s="28"/>
      <c r="Y45" s="28"/>
      <c r="Z45" s="28"/>
    </row>
    <row r="46" spans="1:26" ht="15.75" customHeight="1" x14ac:dyDescent="0.25">
      <c r="A46" s="130"/>
      <c r="B46" s="131"/>
      <c r="C46" s="131"/>
      <c r="D46" s="131"/>
      <c r="E46" s="131"/>
      <c r="F46" s="28"/>
      <c r="G46" s="28"/>
      <c r="H46" s="3"/>
      <c r="I46" s="28"/>
      <c r="J46" s="28"/>
      <c r="K46" s="28"/>
      <c r="L46" s="28"/>
      <c r="M46" s="28"/>
      <c r="N46" s="28"/>
      <c r="O46" s="28"/>
      <c r="P46" s="28"/>
      <c r="Q46" s="28"/>
      <c r="R46" s="28"/>
      <c r="S46" s="28"/>
      <c r="T46" s="28"/>
      <c r="U46" s="28"/>
      <c r="V46" s="28"/>
      <c r="W46" s="28"/>
      <c r="X46" s="28"/>
      <c r="Y46" s="28"/>
      <c r="Z46" s="28"/>
    </row>
    <row r="47" spans="1:26" ht="15.75" customHeight="1" x14ac:dyDescent="0.25">
      <c r="A47" s="9" t="s">
        <v>46</v>
      </c>
      <c r="B47" s="299" t="s">
        <v>47</v>
      </c>
      <c r="C47" s="11">
        <v>88.4</v>
      </c>
      <c r="D47" s="47"/>
      <c r="E47" s="47">
        <v>100</v>
      </c>
      <c r="F47" s="28"/>
      <c r="G47" s="28"/>
      <c r="H47" s="3"/>
      <c r="I47" s="28"/>
      <c r="J47" s="28"/>
      <c r="K47" s="28"/>
      <c r="L47" s="28"/>
      <c r="M47" s="28"/>
      <c r="N47" s="28"/>
      <c r="O47" s="28"/>
      <c r="P47" s="28"/>
      <c r="Q47" s="28"/>
      <c r="R47" s="28"/>
      <c r="S47" s="28"/>
      <c r="T47" s="28"/>
      <c r="U47" s="28"/>
      <c r="V47" s="28"/>
      <c r="W47" s="28"/>
      <c r="X47" s="28"/>
      <c r="Y47" s="28"/>
      <c r="Z47" s="28"/>
    </row>
    <row r="48" spans="1:26" ht="15.75" customHeight="1" x14ac:dyDescent="0.25">
      <c r="A48" s="9" t="s">
        <v>48</v>
      </c>
      <c r="B48" s="300"/>
      <c r="C48" s="11">
        <v>94.6</v>
      </c>
      <c r="D48" s="47"/>
      <c r="E48" s="47">
        <v>106</v>
      </c>
      <c r="F48" s="28"/>
      <c r="G48" s="28"/>
      <c r="H48" s="3"/>
      <c r="I48" s="28"/>
      <c r="J48" s="28"/>
      <c r="K48" s="28"/>
      <c r="L48" s="28"/>
      <c r="M48" s="28"/>
      <c r="N48" s="28"/>
      <c r="O48" s="28"/>
      <c r="P48" s="28"/>
      <c r="Q48" s="28"/>
      <c r="R48" s="28"/>
      <c r="S48" s="28"/>
      <c r="T48" s="28"/>
      <c r="U48" s="28"/>
      <c r="V48" s="28"/>
      <c r="W48" s="28"/>
      <c r="X48" s="28"/>
      <c r="Y48" s="28"/>
      <c r="Z48" s="28"/>
    </row>
    <row r="49" spans="1:26" ht="15.75" customHeight="1" x14ac:dyDescent="0.25">
      <c r="A49" s="41"/>
      <c r="B49" s="125"/>
      <c r="C49" s="42"/>
      <c r="D49" s="42"/>
      <c r="E49" s="42"/>
      <c r="F49" s="28"/>
      <c r="G49" s="28"/>
      <c r="H49" s="3"/>
      <c r="I49" s="28"/>
      <c r="J49" s="28"/>
      <c r="K49" s="28"/>
      <c r="L49" s="28"/>
      <c r="M49" s="28"/>
      <c r="N49" s="28"/>
      <c r="O49" s="28"/>
      <c r="P49" s="28"/>
      <c r="Q49" s="28"/>
      <c r="R49" s="28"/>
      <c r="S49" s="28"/>
      <c r="T49" s="28"/>
      <c r="U49" s="28"/>
      <c r="V49" s="28"/>
      <c r="W49" s="28"/>
      <c r="X49" s="28"/>
      <c r="Y49" s="28"/>
      <c r="Z49" s="28"/>
    </row>
    <row r="50" spans="1:26" ht="15.75" customHeight="1" x14ac:dyDescent="0.25">
      <c r="A50" s="126" t="s">
        <v>50</v>
      </c>
      <c r="B50" s="302" t="s">
        <v>51</v>
      </c>
      <c r="C50" s="47">
        <v>271.44</v>
      </c>
      <c r="D50" s="47"/>
      <c r="E50" s="47">
        <v>258</v>
      </c>
      <c r="F50" s="28">
        <v>246</v>
      </c>
      <c r="G50" s="28"/>
      <c r="H50" s="3"/>
      <c r="I50" s="28"/>
      <c r="J50" s="28"/>
      <c r="K50" s="28"/>
      <c r="L50" s="28"/>
      <c r="M50" s="28"/>
      <c r="N50" s="28"/>
      <c r="O50" s="28"/>
      <c r="P50" s="28"/>
      <c r="Q50" s="28"/>
      <c r="R50" s="28"/>
      <c r="S50" s="28"/>
      <c r="T50" s="28"/>
      <c r="U50" s="28"/>
      <c r="V50" s="28"/>
      <c r="W50" s="28"/>
      <c r="X50" s="28"/>
      <c r="Y50" s="28"/>
      <c r="Z50" s="28"/>
    </row>
    <row r="51" spans="1:26" ht="15.75" customHeight="1" x14ac:dyDescent="0.25">
      <c r="A51" s="126" t="s">
        <v>54</v>
      </c>
      <c r="B51" s="300"/>
      <c r="C51" s="47">
        <v>550.22199999999998</v>
      </c>
      <c r="D51" s="47"/>
      <c r="E51" s="47">
        <v>277</v>
      </c>
      <c r="F51" s="28" t="s">
        <v>243</v>
      </c>
      <c r="G51" s="28"/>
      <c r="H51" s="3"/>
      <c r="I51" s="28"/>
      <c r="J51" s="28"/>
      <c r="K51" s="28"/>
      <c r="L51" s="28"/>
      <c r="M51" s="28"/>
      <c r="N51" s="28"/>
      <c r="O51" s="28"/>
      <c r="P51" s="28"/>
      <c r="Q51" s="28"/>
      <c r="R51" s="28"/>
      <c r="S51" s="28"/>
      <c r="T51" s="28"/>
      <c r="U51" s="28"/>
      <c r="V51" s="28"/>
      <c r="W51" s="28"/>
      <c r="X51" s="28"/>
      <c r="Y51" s="28"/>
      <c r="Z51" s="28"/>
    </row>
    <row r="52" spans="1:26" ht="15.75" customHeight="1" x14ac:dyDescent="0.25">
      <c r="A52" s="126" t="s">
        <v>55</v>
      </c>
      <c r="B52" s="300"/>
      <c r="C52" s="47">
        <v>746.8</v>
      </c>
      <c r="D52" s="47"/>
      <c r="E52" s="47">
        <v>688</v>
      </c>
      <c r="F52" s="28">
        <v>681</v>
      </c>
      <c r="G52" s="28"/>
      <c r="H52" s="3"/>
      <c r="I52" s="28"/>
      <c r="J52" s="28"/>
      <c r="K52" s="28"/>
      <c r="L52" s="28"/>
      <c r="M52" s="28"/>
      <c r="N52" s="28"/>
      <c r="O52" s="28"/>
      <c r="P52" s="28"/>
      <c r="Q52" s="28"/>
      <c r="R52" s="28"/>
      <c r="S52" s="28"/>
      <c r="T52" s="28"/>
      <c r="U52" s="28"/>
      <c r="V52" s="28"/>
      <c r="W52" s="28"/>
      <c r="X52" s="28"/>
      <c r="Y52" s="28"/>
      <c r="Z52" s="28"/>
    </row>
    <row r="53" spans="1:26" ht="15.75" customHeight="1" x14ac:dyDescent="0.25">
      <c r="A53" s="129" t="s">
        <v>56</v>
      </c>
      <c r="B53" s="300"/>
      <c r="C53" s="50">
        <v>768.33333333333337</v>
      </c>
      <c r="D53" s="47"/>
      <c r="E53" s="47">
        <v>776</v>
      </c>
      <c r="F53" s="28">
        <v>767</v>
      </c>
      <c r="G53" s="28"/>
      <c r="H53" s="3"/>
      <c r="I53" s="28"/>
      <c r="J53" s="28"/>
      <c r="K53" s="28"/>
      <c r="L53" s="28"/>
      <c r="M53" s="28"/>
      <c r="N53" s="28"/>
      <c r="O53" s="28"/>
      <c r="P53" s="28"/>
      <c r="Q53" s="28"/>
      <c r="R53" s="28"/>
      <c r="S53" s="28"/>
      <c r="T53" s="28"/>
      <c r="U53" s="28"/>
      <c r="V53" s="28"/>
      <c r="W53" s="28"/>
      <c r="X53" s="28"/>
      <c r="Y53" s="28"/>
      <c r="Z53" s="28"/>
    </row>
    <row r="54" spans="1:26" ht="15.75" customHeight="1" x14ac:dyDescent="0.25">
      <c r="A54" s="8" t="s">
        <v>57</v>
      </c>
      <c r="B54" s="301"/>
      <c r="C54" s="71">
        <v>609</v>
      </c>
      <c r="D54" s="47"/>
      <c r="E54" s="47">
        <v>627</v>
      </c>
      <c r="F54" s="28">
        <v>620</v>
      </c>
      <c r="G54" s="28"/>
      <c r="H54" s="3"/>
      <c r="I54" s="28"/>
      <c r="J54" s="28"/>
      <c r="K54" s="28"/>
      <c r="L54" s="28"/>
      <c r="M54" s="28"/>
      <c r="N54" s="28"/>
      <c r="O54" s="28"/>
      <c r="P54" s="28"/>
      <c r="Q54" s="28"/>
      <c r="R54" s="28"/>
      <c r="S54" s="28"/>
      <c r="T54" s="28"/>
      <c r="U54" s="28"/>
      <c r="V54" s="28"/>
      <c r="W54" s="28"/>
      <c r="X54" s="28"/>
      <c r="Y54" s="28"/>
      <c r="Z54" s="28"/>
    </row>
    <row r="55" spans="1:26" ht="15.75" customHeight="1" x14ac:dyDescent="0.25">
      <c r="A55" s="130"/>
      <c r="B55" s="131"/>
      <c r="C55" s="131"/>
      <c r="D55" s="131"/>
      <c r="E55" s="131"/>
      <c r="F55" s="28"/>
      <c r="G55" s="28"/>
      <c r="H55" s="3"/>
      <c r="I55" s="28"/>
      <c r="J55" s="28"/>
      <c r="K55" s="28"/>
      <c r="L55" s="28"/>
      <c r="M55" s="28"/>
      <c r="N55" s="28"/>
      <c r="O55" s="28"/>
      <c r="P55" s="28"/>
      <c r="Q55" s="28"/>
      <c r="R55" s="28"/>
      <c r="S55" s="28"/>
      <c r="T55" s="28"/>
      <c r="U55" s="28"/>
      <c r="V55" s="28"/>
      <c r="W55" s="28"/>
      <c r="X55" s="28"/>
      <c r="Y55" s="28"/>
      <c r="Z55" s="28"/>
    </row>
    <row r="56" spans="1:26" ht="15.75" customHeight="1" x14ac:dyDescent="0.25">
      <c r="A56" s="9" t="s">
        <v>60</v>
      </c>
      <c r="B56" s="299" t="s">
        <v>62</v>
      </c>
      <c r="C56" s="47">
        <v>19.741666666666667</v>
      </c>
      <c r="D56" s="53"/>
      <c r="E56" s="53">
        <v>17</v>
      </c>
      <c r="F56" s="28"/>
      <c r="G56" s="28"/>
      <c r="H56" s="3"/>
      <c r="I56" s="28"/>
      <c r="J56" s="28"/>
      <c r="K56" s="28"/>
      <c r="L56" s="28"/>
      <c r="M56" s="28"/>
      <c r="N56" s="28"/>
      <c r="O56" s="28"/>
      <c r="P56" s="28"/>
      <c r="Q56" s="28"/>
      <c r="R56" s="28"/>
      <c r="S56" s="28"/>
      <c r="T56" s="28"/>
      <c r="U56" s="28"/>
      <c r="V56" s="28"/>
      <c r="W56" s="28"/>
      <c r="X56" s="28"/>
      <c r="Y56" s="28"/>
      <c r="Z56" s="28"/>
    </row>
    <row r="57" spans="1:26" ht="15.75" customHeight="1" x14ac:dyDescent="0.25">
      <c r="A57" s="9" t="s">
        <v>65</v>
      </c>
      <c r="B57" s="300"/>
      <c r="C57" s="11">
        <v>42</v>
      </c>
      <c r="D57" s="54"/>
      <c r="E57" s="54">
        <v>34</v>
      </c>
      <c r="F57" s="28"/>
      <c r="G57" s="28"/>
      <c r="H57" s="3"/>
      <c r="I57" s="28"/>
      <c r="J57" s="28"/>
      <c r="K57" s="28"/>
      <c r="L57" s="28"/>
      <c r="M57" s="28"/>
      <c r="N57" s="28"/>
      <c r="O57" s="28"/>
      <c r="P57" s="28"/>
      <c r="Q57" s="28"/>
      <c r="R57" s="28"/>
      <c r="S57" s="28"/>
      <c r="T57" s="28"/>
      <c r="U57" s="28"/>
      <c r="V57" s="28"/>
      <c r="W57" s="28"/>
      <c r="X57" s="28"/>
      <c r="Y57" s="28"/>
      <c r="Z57" s="28"/>
    </row>
    <row r="58" spans="1:26" ht="15.75" customHeight="1" x14ac:dyDescent="0.25">
      <c r="A58" s="9" t="s">
        <v>64</v>
      </c>
      <c r="B58" s="301"/>
      <c r="C58" s="11">
        <v>42</v>
      </c>
      <c r="D58" s="54"/>
      <c r="E58" s="54">
        <v>34</v>
      </c>
      <c r="F58" s="28"/>
      <c r="G58" s="28"/>
      <c r="H58" s="3"/>
      <c r="I58" s="28"/>
      <c r="J58" s="28"/>
      <c r="K58" s="28"/>
      <c r="L58" s="28"/>
      <c r="M58" s="28"/>
      <c r="N58" s="28"/>
      <c r="O58" s="28"/>
      <c r="P58" s="28"/>
      <c r="Q58" s="28"/>
      <c r="R58" s="28"/>
      <c r="S58" s="28"/>
      <c r="T58" s="28"/>
      <c r="U58" s="28"/>
      <c r="V58" s="28"/>
      <c r="W58" s="28"/>
      <c r="X58" s="28"/>
      <c r="Y58" s="28"/>
      <c r="Z58" s="28"/>
    </row>
    <row r="59" spans="1:26" ht="15.75" customHeight="1" x14ac:dyDescent="0.25">
      <c r="A59" s="41"/>
      <c r="B59" s="125"/>
      <c r="C59" s="42"/>
      <c r="D59" s="25"/>
      <c r="E59" s="25"/>
      <c r="F59" s="28"/>
      <c r="G59" s="28"/>
      <c r="H59" s="3"/>
      <c r="I59" s="28"/>
      <c r="J59" s="28"/>
      <c r="K59" s="28"/>
      <c r="L59" s="28"/>
      <c r="M59" s="28"/>
      <c r="N59" s="28"/>
      <c r="O59" s="28"/>
      <c r="P59" s="28"/>
      <c r="Q59" s="28"/>
      <c r="R59" s="28"/>
      <c r="S59" s="28"/>
      <c r="T59" s="28"/>
      <c r="U59" s="28"/>
      <c r="V59" s="28"/>
      <c r="W59" s="28"/>
      <c r="X59" s="28"/>
      <c r="Y59" s="28"/>
      <c r="Z59" s="28"/>
    </row>
    <row r="60" spans="1:26" ht="15.75" customHeight="1" x14ac:dyDescent="0.25">
      <c r="A60" s="129" t="s">
        <v>66</v>
      </c>
      <c r="B60" s="302" t="s">
        <v>68</v>
      </c>
      <c r="C60" s="50">
        <v>204.5</v>
      </c>
      <c r="D60" s="47"/>
      <c r="E60" s="47">
        <v>204</v>
      </c>
      <c r="F60" s="28"/>
      <c r="G60" s="28"/>
      <c r="H60" s="3"/>
      <c r="I60" s="28"/>
      <c r="J60" s="28"/>
      <c r="K60" s="28"/>
      <c r="L60" s="28"/>
      <c r="M60" s="28"/>
      <c r="N60" s="28"/>
      <c r="O60" s="28"/>
      <c r="P60" s="28"/>
      <c r="Q60" s="28"/>
      <c r="R60" s="28"/>
      <c r="S60" s="28"/>
      <c r="T60" s="28"/>
      <c r="U60" s="28"/>
      <c r="V60" s="28"/>
      <c r="W60" s="28"/>
      <c r="X60" s="28"/>
      <c r="Y60" s="28"/>
      <c r="Z60" s="28"/>
    </row>
    <row r="61" spans="1:26" ht="15.75" customHeight="1" x14ac:dyDescent="0.25">
      <c r="A61" s="12" t="s">
        <v>69</v>
      </c>
      <c r="B61" s="301"/>
      <c r="C61" s="71">
        <v>277.7</v>
      </c>
      <c r="D61" s="47"/>
      <c r="E61" s="47">
        <v>264</v>
      </c>
      <c r="F61" s="28"/>
      <c r="G61" s="28"/>
      <c r="H61" s="3"/>
      <c r="I61" s="28"/>
      <c r="J61" s="28"/>
      <c r="K61" s="28"/>
      <c r="L61" s="28"/>
      <c r="M61" s="28"/>
      <c r="N61" s="28"/>
      <c r="O61" s="28"/>
      <c r="P61" s="28"/>
      <c r="Q61" s="28"/>
      <c r="R61" s="28"/>
      <c r="S61" s="28"/>
      <c r="T61" s="28"/>
      <c r="U61" s="28"/>
      <c r="V61" s="28"/>
      <c r="W61" s="28"/>
      <c r="X61" s="28"/>
      <c r="Y61" s="28"/>
      <c r="Z61" s="28"/>
    </row>
    <row r="62" spans="1:26" ht="15.75" customHeight="1" x14ac:dyDescent="0.25">
      <c r="A62" s="132"/>
      <c r="B62" s="133"/>
      <c r="C62" s="133"/>
      <c r="D62" s="133"/>
      <c r="E62" s="133"/>
      <c r="F62" s="28"/>
      <c r="G62" s="28"/>
      <c r="H62" s="3"/>
      <c r="I62" s="28"/>
      <c r="J62" s="28"/>
      <c r="K62" s="28"/>
      <c r="L62" s="28"/>
      <c r="M62" s="28"/>
      <c r="N62" s="28"/>
      <c r="O62" s="28"/>
      <c r="P62" s="28"/>
      <c r="Q62" s="28"/>
      <c r="R62" s="28"/>
      <c r="S62" s="28"/>
      <c r="T62" s="28"/>
      <c r="U62" s="28"/>
      <c r="V62" s="28"/>
      <c r="W62" s="28"/>
      <c r="X62" s="28"/>
      <c r="Y62" s="28"/>
      <c r="Z62" s="28"/>
    </row>
    <row r="63" spans="1:26" ht="15.75" customHeight="1" x14ac:dyDescent="0.25">
      <c r="A63" s="56" t="s">
        <v>69</v>
      </c>
      <c r="B63" s="303" t="s">
        <v>71</v>
      </c>
      <c r="C63" s="47">
        <v>12</v>
      </c>
      <c r="D63" s="47"/>
      <c r="E63" s="47">
        <v>7</v>
      </c>
      <c r="F63" s="28"/>
      <c r="G63" s="28"/>
      <c r="H63" s="3"/>
      <c r="I63" s="28"/>
      <c r="J63" s="28"/>
      <c r="K63" s="28"/>
      <c r="L63" s="28"/>
      <c r="M63" s="28"/>
      <c r="N63" s="28"/>
      <c r="O63" s="28"/>
      <c r="P63" s="28"/>
      <c r="Q63" s="28"/>
      <c r="R63" s="28"/>
      <c r="S63" s="28"/>
      <c r="T63" s="28"/>
      <c r="U63" s="28"/>
      <c r="V63" s="28"/>
      <c r="W63" s="28"/>
      <c r="X63" s="28"/>
      <c r="Y63" s="28"/>
      <c r="Z63" s="28"/>
    </row>
    <row r="64" spans="1:26" ht="15.75" customHeight="1" x14ac:dyDescent="0.25">
      <c r="A64" s="56" t="s">
        <v>72</v>
      </c>
      <c r="B64" s="300"/>
      <c r="C64" s="47">
        <v>14</v>
      </c>
      <c r="D64" s="47"/>
      <c r="E64" s="47">
        <v>9</v>
      </c>
      <c r="F64" s="28"/>
      <c r="G64" s="28"/>
      <c r="H64" s="3"/>
      <c r="I64" s="28"/>
      <c r="J64" s="28"/>
      <c r="K64" s="28"/>
      <c r="L64" s="28"/>
      <c r="M64" s="28"/>
      <c r="N64" s="28"/>
      <c r="O64" s="28"/>
      <c r="P64" s="28"/>
      <c r="Q64" s="28"/>
      <c r="R64" s="28"/>
      <c r="S64" s="28"/>
      <c r="T64" s="28"/>
      <c r="U64" s="28"/>
      <c r="V64" s="28"/>
      <c r="W64" s="28"/>
      <c r="X64" s="28"/>
      <c r="Y64" s="28"/>
      <c r="Z64" s="28"/>
    </row>
    <row r="65" spans="1:26" ht="15.75" customHeight="1" x14ac:dyDescent="0.25">
      <c r="A65" s="56" t="s">
        <v>73</v>
      </c>
      <c r="B65" s="301"/>
      <c r="C65" s="47">
        <v>17.43333333333333</v>
      </c>
      <c r="D65" s="47"/>
      <c r="E65" s="47">
        <v>25</v>
      </c>
      <c r="F65" s="28"/>
      <c r="G65" s="28"/>
      <c r="H65" s="3"/>
      <c r="I65" s="28"/>
      <c r="J65" s="28"/>
      <c r="K65" s="28"/>
      <c r="L65" s="28"/>
      <c r="M65" s="28"/>
      <c r="N65" s="28"/>
      <c r="O65" s="28"/>
      <c r="P65" s="28"/>
      <c r="Q65" s="28"/>
      <c r="R65" s="28"/>
      <c r="S65" s="28"/>
      <c r="T65" s="28"/>
      <c r="U65" s="28"/>
      <c r="V65" s="28"/>
      <c r="W65" s="28"/>
      <c r="X65" s="28"/>
      <c r="Y65" s="28"/>
      <c r="Z65" s="28"/>
    </row>
    <row r="66" spans="1:26" ht="15.75" customHeight="1" x14ac:dyDescent="0.25">
      <c r="A66" s="92"/>
      <c r="B66" s="69"/>
      <c r="C66" s="69"/>
      <c r="D66" s="25"/>
      <c r="E66" s="25"/>
      <c r="F66" s="28"/>
      <c r="G66" s="28"/>
      <c r="H66" s="3"/>
      <c r="I66" s="28"/>
      <c r="J66" s="28"/>
      <c r="K66" s="28"/>
      <c r="L66" s="28"/>
      <c r="M66" s="28"/>
      <c r="N66" s="28"/>
      <c r="O66" s="28"/>
      <c r="P66" s="28"/>
      <c r="Q66" s="28"/>
      <c r="R66" s="28"/>
      <c r="S66" s="28"/>
      <c r="T66" s="28"/>
      <c r="U66" s="28"/>
      <c r="V66" s="28"/>
      <c r="W66" s="28"/>
      <c r="X66" s="28"/>
      <c r="Y66" s="28"/>
      <c r="Z66" s="28"/>
    </row>
    <row r="67" spans="1:26" ht="15.75" customHeight="1" x14ac:dyDescent="0.25">
      <c r="A67" s="56" t="s">
        <v>80</v>
      </c>
      <c r="B67" s="309" t="s">
        <v>77</v>
      </c>
      <c r="C67" s="47">
        <v>117</v>
      </c>
      <c r="D67" s="47"/>
      <c r="E67" s="47">
        <v>69</v>
      </c>
      <c r="F67" s="28"/>
      <c r="G67" s="28"/>
      <c r="H67" s="3"/>
      <c r="I67" s="28"/>
      <c r="J67" s="28"/>
      <c r="K67" s="28"/>
      <c r="L67" s="28"/>
      <c r="M67" s="28"/>
      <c r="N67" s="28"/>
      <c r="O67" s="28"/>
      <c r="P67" s="28"/>
      <c r="Q67" s="28"/>
      <c r="R67" s="28"/>
      <c r="S67" s="28"/>
      <c r="T67" s="28"/>
      <c r="U67" s="28"/>
      <c r="V67" s="28"/>
      <c r="W67" s="28"/>
      <c r="X67" s="28"/>
      <c r="Y67" s="28"/>
      <c r="Z67" s="28"/>
    </row>
    <row r="68" spans="1:26" ht="15.75" customHeight="1" x14ac:dyDescent="0.25">
      <c r="A68" s="56" t="s">
        <v>78</v>
      </c>
      <c r="B68" s="300"/>
      <c r="C68" s="47">
        <v>188</v>
      </c>
      <c r="D68" s="47"/>
      <c r="E68" s="47">
        <v>101</v>
      </c>
      <c r="F68" s="28"/>
      <c r="G68" s="28"/>
      <c r="H68" s="3"/>
      <c r="I68" s="28"/>
      <c r="J68" s="28"/>
      <c r="K68" s="28"/>
      <c r="L68" s="28"/>
      <c r="M68" s="28"/>
      <c r="N68" s="28"/>
      <c r="O68" s="28"/>
      <c r="P68" s="28"/>
      <c r="Q68" s="28"/>
      <c r="R68" s="28"/>
      <c r="S68" s="28"/>
      <c r="T68" s="28"/>
      <c r="U68" s="28"/>
      <c r="V68" s="28"/>
      <c r="W68" s="28"/>
      <c r="X68" s="28"/>
      <c r="Y68" s="28"/>
      <c r="Z68" s="28"/>
    </row>
    <row r="69" spans="1:26" ht="15.75" customHeight="1" x14ac:dyDescent="0.25">
      <c r="A69" s="56" t="s">
        <v>76</v>
      </c>
      <c r="B69" s="300"/>
      <c r="C69" s="50">
        <v>218</v>
      </c>
      <c r="D69" s="47"/>
      <c r="E69" s="47">
        <v>147</v>
      </c>
      <c r="F69" s="28"/>
      <c r="G69" s="28"/>
      <c r="H69" s="3"/>
      <c r="I69" s="28"/>
      <c r="J69" s="28"/>
      <c r="K69" s="28"/>
      <c r="L69" s="28"/>
      <c r="M69" s="28"/>
      <c r="N69" s="28"/>
      <c r="O69" s="28"/>
      <c r="P69" s="28"/>
      <c r="Q69" s="28"/>
      <c r="R69" s="28"/>
      <c r="S69" s="28"/>
      <c r="T69" s="28"/>
      <c r="U69" s="28"/>
      <c r="V69" s="28"/>
      <c r="W69" s="28"/>
      <c r="X69" s="28"/>
      <c r="Y69" s="28"/>
      <c r="Z69" s="28"/>
    </row>
    <row r="70" spans="1:26" ht="15.75" customHeight="1" x14ac:dyDescent="0.25">
      <c r="A70" s="57" t="s">
        <v>79</v>
      </c>
      <c r="B70" s="300"/>
      <c r="C70" s="134">
        <v>239</v>
      </c>
      <c r="D70" s="47"/>
      <c r="E70" s="47">
        <v>209</v>
      </c>
      <c r="F70" s="28"/>
      <c r="G70" s="28"/>
      <c r="H70" s="3"/>
      <c r="I70" s="28"/>
      <c r="J70" s="28"/>
      <c r="K70" s="28"/>
      <c r="L70" s="28"/>
      <c r="M70" s="28"/>
      <c r="N70" s="28"/>
      <c r="O70" s="28"/>
      <c r="P70" s="28"/>
      <c r="Q70" s="28"/>
      <c r="R70" s="28"/>
      <c r="S70" s="28"/>
      <c r="T70" s="28"/>
      <c r="U70" s="28"/>
      <c r="V70" s="28"/>
      <c r="W70" s="28"/>
      <c r="X70" s="28"/>
      <c r="Y70" s="28"/>
      <c r="Z70" s="28"/>
    </row>
    <row r="71" spans="1:26" ht="15.75" customHeight="1" x14ac:dyDescent="0.25">
      <c r="A71" s="132"/>
      <c r="B71" s="133"/>
      <c r="C71" s="133"/>
      <c r="D71" s="133"/>
      <c r="E71" s="133"/>
      <c r="F71" s="28"/>
      <c r="G71" s="28"/>
      <c r="H71" s="3"/>
      <c r="I71" s="28"/>
      <c r="J71" s="28"/>
      <c r="K71" s="28"/>
      <c r="L71" s="28"/>
      <c r="M71" s="28"/>
      <c r="N71" s="28"/>
      <c r="O71" s="28"/>
      <c r="P71" s="28"/>
      <c r="Q71" s="28"/>
      <c r="R71" s="28"/>
      <c r="S71" s="28"/>
      <c r="T71" s="28"/>
      <c r="U71" s="28"/>
      <c r="V71" s="28"/>
      <c r="W71" s="28"/>
      <c r="X71" s="28"/>
      <c r="Y71" s="28"/>
      <c r="Z71" s="28"/>
    </row>
    <row r="72" spans="1:26" ht="15.75" customHeight="1" x14ac:dyDescent="0.25">
      <c r="A72" s="9" t="s">
        <v>81</v>
      </c>
      <c r="B72" s="299" t="s">
        <v>82</v>
      </c>
      <c r="C72" s="11">
        <v>2</v>
      </c>
      <c r="D72" s="47"/>
      <c r="E72" s="47">
        <v>1</v>
      </c>
      <c r="F72" s="28"/>
      <c r="G72" s="28"/>
      <c r="H72" s="3"/>
      <c r="I72" s="28"/>
      <c r="J72" s="28"/>
      <c r="K72" s="28"/>
      <c r="L72" s="28"/>
      <c r="M72" s="28"/>
      <c r="N72" s="28"/>
      <c r="O72" s="28"/>
      <c r="P72" s="28"/>
      <c r="Q72" s="28"/>
      <c r="R72" s="28"/>
      <c r="S72" s="28"/>
      <c r="T72" s="28"/>
      <c r="U72" s="28"/>
      <c r="V72" s="28"/>
      <c r="W72" s="28"/>
      <c r="X72" s="28"/>
      <c r="Y72" s="28"/>
      <c r="Z72" s="28"/>
    </row>
    <row r="73" spans="1:26" ht="15.75" customHeight="1" x14ac:dyDescent="0.25">
      <c r="A73" s="9" t="s">
        <v>83</v>
      </c>
      <c r="B73" s="300"/>
      <c r="C73" s="11">
        <v>7.133</v>
      </c>
      <c r="D73" s="47"/>
      <c r="E73" s="47">
        <v>2</v>
      </c>
      <c r="F73" s="28"/>
      <c r="G73" s="28"/>
      <c r="H73" s="3"/>
      <c r="I73" s="28"/>
      <c r="J73" s="28"/>
      <c r="K73" s="28"/>
      <c r="L73" s="28"/>
      <c r="M73" s="28"/>
      <c r="N73" s="28"/>
      <c r="O73" s="28"/>
      <c r="P73" s="28"/>
      <c r="Q73" s="28"/>
      <c r="R73" s="28"/>
      <c r="S73" s="28"/>
      <c r="T73" s="28"/>
      <c r="U73" s="28"/>
      <c r="V73" s="28"/>
      <c r="W73" s="28"/>
      <c r="X73" s="28"/>
      <c r="Y73" s="28"/>
      <c r="Z73" s="28"/>
    </row>
    <row r="74" spans="1:26" ht="15.75" customHeight="1" x14ac:dyDescent="0.25">
      <c r="A74" s="9" t="s">
        <v>155</v>
      </c>
      <c r="B74" s="301"/>
      <c r="C74" s="11">
        <v>10.72</v>
      </c>
      <c r="D74" s="47"/>
      <c r="E74" s="47">
        <v>2</v>
      </c>
      <c r="F74" s="28"/>
      <c r="G74" s="28"/>
      <c r="H74" s="3"/>
      <c r="I74" s="28"/>
      <c r="J74" s="28"/>
      <c r="K74" s="28"/>
      <c r="L74" s="28"/>
      <c r="M74" s="28"/>
      <c r="N74" s="28"/>
      <c r="O74" s="28"/>
      <c r="P74" s="28"/>
      <c r="Q74" s="28"/>
      <c r="R74" s="28"/>
      <c r="S74" s="28"/>
      <c r="T74" s="28"/>
      <c r="U74" s="28"/>
      <c r="V74" s="28"/>
      <c r="W74" s="28"/>
      <c r="X74" s="28"/>
      <c r="Y74" s="28"/>
      <c r="Z74" s="28"/>
    </row>
    <row r="75" spans="1:26" ht="15.75" customHeight="1" x14ac:dyDescent="0.25">
      <c r="A75" s="41"/>
      <c r="B75" s="125"/>
      <c r="C75" s="42"/>
      <c r="D75" s="25"/>
      <c r="E75" s="25"/>
      <c r="F75" s="28"/>
      <c r="G75" s="28"/>
      <c r="H75" s="3"/>
      <c r="I75" s="28"/>
      <c r="J75" s="28"/>
      <c r="K75" s="28"/>
      <c r="L75" s="28"/>
      <c r="M75" s="28"/>
      <c r="N75" s="28"/>
      <c r="O75" s="28"/>
      <c r="P75" s="28"/>
      <c r="Q75" s="28"/>
      <c r="R75" s="28"/>
      <c r="S75" s="28"/>
      <c r="T75" s="28"/>
      <c r="U75" s="28"/>
      <c r="V75" s="28"/>
      <c r="W75" s="28"/>
      <c r="X75" s="28"/>
      <c r="Y75" s="28"/>
      <c r="Z75" s="28"/>
    </row>
    <row r="76" spans="1:26" ht="15.75" customHeight="1" x14ac:dyDescent="0.25">
      <c r="A76" s="129" t="s">
        <v>86</v>
      </c>
      <c r="B76" s="302" t="s">
        <v>87</v>
      </c>
      <c r="C76" s="51">
        <v>19</v>
      </c>
      <c r="D76" s="47"/>
      <c r="E76" s="47">
        <v>20</v>
      </c>
      <c r="F76" s="28"/>
      <c r="G76" s="28"/>
      <c r="H76" s="3"/>
      <c r="I76" s="28"/>
      <c r="J76" s="28"/>
      <c r="K76" s="28"/>
      <c r="L76" s="28"/>
      <c r="M76" s="28"/>
      <c r="N76" s="28"/>
      <c r="O76" s="28"/>
      <c r="P76" s="28"/>
      <c r="Q76" s="28"/>
      <c r="R76" s="28"/>
      <c r="S76" s="28"/>
      <c r="T76" s="28"/>
      <c r="U76" s="28"/>
      <c r="V76" s="28"/>
      <c r="W76" s="28"/>
      <c r="X76" s="28"/>
      <c r="Y76" s="28"/>
      <c r="Z76" s="28"/>
    </row>
    <row r="77" spans="1:26" ht="15.75" customHeight="1" x14ac:dyDescent="0.25">
      <c r="A77" s="12" t="s">
        <v>88</v>
      </c>
      <c r="B77" s="301"/>
      <c r="C77" s="25">
        <v>20</v>
      </c>
      <c r="D77" s="47"/>
      <c r="E77" s="47">
        <v>20</v>
      </c>
      <c r="F77" s="28"/>
      <c r="G77" s="28"/>
      <c r="H77" s="3"/>
      <c r="I77" s="28"/>
      <c r="J77" s="28"/>
      <c r="K77" s="28"/>
      <c r="L77" s="28"/>
      <c r="M77" s="28"/>
      <c r="N77" s="28"/>
      <c r="O77" s="28"/>
      <c r="P77" s="28"/>
      <c r="Q77" s="28"/>
      <c r="R77" s="28"/>
      <c r="S77" s="28"/>
      <c r="T77" s="28"/>
      <c r="U77" s="28"/>
      <c r="V77" s="28"/>
      <c r="W77" s="28"/>
      <c r="X77" s="28"/>
      <c r="Y77" s="28"/>
      <c r="Z77" s="28"/>
    </row>
    <row r="78" spans="1:26" ht="15.75" customHeight="1" x14ac:dyDescent="0.25">
      <c r="A78" s="132"/>
      <c r="B78" s="133"/>
      <c r="C78" s="133"/>
      <c r="D78" s="133"/>
      <c r="E78" s="133"/>
      <c r="F78" s="28"/>
      <c r="G78" s="28"/>
      <c r="H78" s="3"/>
      <c r="I78" s="28"/>
      <c r="J78" s="28"/>
      <c r="K78" s="28"/>
      <c r="L78" s="28"/>
      <c r="M78" s="28"/>
      <c r="N78" s="28"/>
      <c r="O78" s="28"/>
      <c r="P78" s="28"/>
      <c r="Q78" s="28"/>
      <c r="R78" s="28"/>
      <c r="S78" s="28"/>
      <c r="T78" s="28"/>
      <c r="U78" s="28"/>
      <c r="V78" s="28"/>
      <c r="W78" s="28"/>
      <c r="X78" s="28"/>
      <c r="Y78" s="28"/>
      <c r="Z78" s="28"/>
    </row>
    <row r="79" spans="1:26" ht="15.75" customHeight="1" x14ac:dyDescent="0.25">
      <c r="A79" s="8" t="s">
        <v>89</v>
      </c>
      <c r="B79" s="302" t="s">
        <v>90</v>
      </c>
      <c r="C79" s="25">
        <v>6</v>
      </c>
      <c r="D79" s="47"/>
      <c r="E79" s="47">
        <v>13</v>
      </c>
      <c r="F79" s="28"/>
      <c r="G79" s="28"/>
      <c r="H79" s="3"/>
      <c r="I79" s="28"/>
      <c r="J79" s="28"/>
      <c r="K79" s="28"/>
      <c r="L79" s="28"/>
      <c r="M79" s="28"/>
      <c r="N79" s="28"/>
      <c r="O79" s="28"/>
      <c r="P79" s="28"/>
      <c r="Q79" s="28"/>
      <c r="R79" s="28"/>
      <c r="S79" s="28"/>
      <c r="T79" s="28"/>
      <c r="U79" s="28"/>
      <c r="V79" s="28"/>
      <c r="W79" s="28"/>
      <c r="X79" s="28"/>
      <c r="Y79" s="28"/>
      <c r="Z79" s="28"/>
    </row>
    <row r="80" spans="1:26" ht="15.75" customHeight="1" x14ac:dyDescent="0.25">
      <c r="A80" s="126" t="s">
        <v>91</v>
      </c>
      <c r="B80" s="301"/>
      <c r="C80" s="11">
        <v>16</v>
      </c>
      <c r="D80" s="47"/>
      <c r="E80" s="47">
        <v>14</v>
      </c>
      <c r="F80" s="28"/>
      <c r="G80" s="28"/>
      <c r="H80" s="3"/>
      <c r="I80" s="28"/>
      <c r="J80" s="28"/>
      <c r="K80" s="28"/>
      <c r="L80" s="28"/>
      <c r="M80" s="28"/>
      <c r="N80" s="28"/>
      <c r="O80" s="28"/>
      <c r="P80" s="28"/>
      <c r="Q80" s="28"/>
      <c r="R80" s="28"/>
      <c r="S80" s="28"/>
      <c r="T80" s="28"/>
      <c r="U80" s="28"/>
      <c r="V80" s="28"/>
      <c r="W80" s="28"/>
      <c r="X80" s="28"/>
      <c r="Y80" s="28"/>
      <c r="Z80" s="28"/>
    </row>
    <row r="81" spans="1:26" ht="15.75" customHeight="1" x14ac:dyDescent="0.25">
      <c r="A81" s="135"/>
      <c r="B81" s="136"/>
      <c r="C81" s="136"/>
      <c r="D81" s="25"/>
      <c r="E81" s="25"/>
      <c r="F81" s="28"/>
      <c r="G81" s="28"/>
      <c r="H81" s="3"/>
      <c r="I81" s="28"/>
      <c r="J81" s="28"/>
      <c r="K81" s="28"/>
      <c r="L81" s="28"/>
      <c r="M81" s="28"/>
      <c r="N81" s="28"/>
      <c r="O81" s="28"/>
      <c r="P81" s="28"/>
      <c r="Q81" s="28"/>
      <c r="R81" s="28"/>
      <c r="S81" s="28"/>
      <c r="T81" s="28"/>
      <c r="U81" s="28"/>
      <c r="V81" s="28"/>
      <c r="W81" s="28"/>
      <c r="X81" s="28"/>
      <c r="Y81" s="28"/>
      <c r="Z81" s="28"/>
    </row>
    <row r="82" spans="1:26" ht="15.75" customHeight="1" x14ac:dyDescent="0.25">
      <c r="A82" s="9" t="s">
        <v>94</v>
      </c>
      <c r="B82" s="299" t="s">
        <v>95</v>
      </c>
      <c r="C82" s="47">
        <v>49.666666666666664</v>
      </c>
      <c r="D82" s="47"/>
      <c r="E82" s="47">
        <v>49</v>
      </c>
      <c r="F82" s="28"/>
      <c r="G82" s="28"/>
      <c r="H82" s="3"/>
      <c r="I82" s="28"/>
      <c r="J82" s="28"/>
      <c r="K82" s="28"/>
      <c r="L82" s="28"/>
      <c r="M82" s="28"/>
      <c r="N82" s="28"/>
      <c r="O82" s="28"/>
      <c r="P82" s="28"/>
      <c r="Q82" s="28"/>
      <c r="R82" s="28"/>
      <c r="S82" s="28"/>
      <c r="T82" s="28"/>
      <c r="U82" s="28"/>
      <c r="V82" s="28"/>
      <c r="W82" s="28"/>
      <c r="X82" s="28"/>
      <c r="Y82" s="28"/>
      <c r="Z82" s="28"/>
    </row>
    <row r="83" spans="1:26" ht="15.75" customHeight="1" x14ac:dyDescent="0.25">
      <c r="A83" s="9" t="s">
        <v>96</v>
      </c>
      <c r="B83" s="300"/>
      <c r="C83" s="47">
        <v>122</v>
      </c>
      <c r="D83" s="47"/>
      <c r="E83" s="47">
        <v>90</v>
      </c>
      <c r="F83" s="28"/>
      <c r="G83" s="28"/>
      <c r="H83" s="3"/>
      <c r="I83" s="28"/>
      <c r="J83" s="28"/>
      <c r="K83" s="28"/>
      <c r="L83" s="28"/>
      <c r="M83" s="28"/>
      <c r="N83" s="28"/>
      <c r="O83" s="28"/>
      <c r="P83" s="28"/>
      <c r="Q83" s="28"/>
      <c r="R83" s="28"/>
      <c r="S83" s="28"/>
      <c r="T83" s="28"/>
      <c r="U83" s="28"/>
      <c r="V83" s="28"/>
      <c r="W83" s="28"/>
      <c r="X83" s="28"/>
      <c r="Y83" s="28"/>
      <c r="Z83" s="28"/>
    </row>
    <row r="84" spans="1:26" ht="15.75" customHeight="1" x14ac:dyDescent="0.25">
      <c r="A84" s="9" t="s">
        <v>97</v>
      </c>
      <c r="B84" s="300"/>
      <c r="C84" s="47">
        <v>130</v>
      </c>
      <c r="D84" s="47"/>
      <c r="E84" s="47">
        <v>80</v>
      </c>
      <c r="F84" s="28"/>
      <c r="G84" s="28"/>
      <c r="H84" s="3"/>
      <c r="I84" s="28"/>
      <c r="J84" s="28"/>
      <c r="K84" s="28"/>
      <c r="L84" s="28"/>
      <c r="M84" s="28"/>
      <c r="N84" s="28"/>
      <c r="O84" s="28"/>
      <c r="P84" s="28"/>
      <c r="Q84" s="28"/>
      <c r="R84" s="28"/>
      <c r="S84" s="28"/>
      <c r="T84" s="28"/>
      <c r="U84" s="28"/>
      <c r="V84" s="28"/>
      <c r="W84" s="28"/>
      <c r="X84" s="28"/>
      <c r="Y84" s="28"/>
      <c r="Z84" s="28"/>
    </row>
    <row r="85" spans="1:26" ht="15.75" customHeight="1" x14ac:dyDescent="0.25">
      <c r="A85" s="9" t="s">
        <v>98</v>
      </c>
      <c r="B85" s="300"/>
      <c r="C85" s="47">
        <v>142</v>
      </c>
      <c r="D85" s="47"/>
      <c r="E85" s="47">
        <v>90</v>
      </c>
      <c r="F85" s="28"/>
      <c r="G85" s="28"/>
      <c r="H85" s="3"/>
      <c r="I85" s="28"/>
      <c r="J85" s="28"/>
      <c r="K85" s="28"/>
      <c r="L85" s="28"/>
      <c r="M85" s="28"/>
      <c r="N85" s="28"/>
      <c r="O85" s="28"/>
      <c r="P85" s="28"/>
      <c r="Q85" s="28"/>
      <c r="R85" s="28"/>
      <c r="S85" s="28"/>
      <c r="T85" s="28"/>
      <c r="U85" s="28"/>
      <c r="V85" s="28"/>
      <c r="W85" s="28"/>
      <c r="X85" s="28"/>
      <c r="Y85" s="28"/>
      <c r="Z85" s="28"/>
    </row>
    <row r="86" spans="1:26" ht="15.75" customHeight="1" x14ac:dyDescent="0.25">
      <c r="A86" s="9" t="s">
        <v>99</v>
      </c>
      <c r="B86" s="301"/>
      <c r="C86" s="47">
        <v>146</v>
      </c>
      <c r="D86" s="47"/>
      <c r="E86" s="47">
        <v>105</v>
      </c>
      <c r="F86" s="28"/>
      <c r="G86" s="28"/>
      <c r="H86" s="3"/>
      <c r="I86" s="28"/>
      <c r="J86" s="28"/>
      <c r="K86" s="28"/>
      <c r="L86" s="28"/>
      <c r="M86" s="28"/>
      <c r="N86" s="28"/>
      <c r="O86" s="28"/>
      <c r="P86" s="28"/>
      <c r="Q86" s="28"/>
      <c r="R86" s="28"/>
      <c r="S86" s="28"/>
      <c r="T86" s="28"/>
      <c r="U86" s="28"/>
      <c r="V86" s="28"/>
      <c r="W86" s="28"/>
      <c r="X86" s="28"/>
      <c r="Y86" s="28"/>
      <c r="Z86" s="28"/>
    </row>
    <row r="87" spans="1:26" ht="15.75" customHeight="1" x14ac:dyDescent="0.2"/>
    <row r="88" spans="1:26" ht="15.75" customHeight="1" x14ac:dyDescent="0.2"/>
    <row r="89" spans="1:26" ht="15.75" customHeight="1" x14ac:dyDescent="0.25">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5.75" customHeight="1" x14ac:dyDescent="0.2"/>
    <row r="91" spans="1:26" ht="15.75" customHeight="1" x14ac:dyDescent="0.2"/>
    <row r="92" spans="1:26" ht="15.75" customHeight="1" x14ac:dyDescent="0.25">
      <c r="A92" s="28" t="s">
        <v>205</v>
      </c>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5.75" customHeight="1" x14ac:dyDescent="0.25">
      <c r="A93" s="28"/>
      <c r="B93" s="28"/>
      <c r="C93" s="4" t="s">
        <v>0</v>
      </c>
      <c r="D93" s="5" t="s">
        <v>1</v>
      </c>
      <c r="E93" s="5" t="s">
        <v>42</v>
      </c>
      <c r="F93" s="5" t="s">
        <v>43</v>
      </c>
      <c r="G93" s="5" t="s">
        <v>44</v>
      </c>
      <c r="H93" s="7" t="s">
        <v>206</v>
      </c>
      <c r="I93" s="28"/>
      <c r="J93" s="296" t="s">
        <v>45</v>
      </c>
      <c r="K93" s="297"/>
      <c r="L93" s="297"/>
      <c r="M93" s="298"/>
      <c r="N93" s="28"/>
      <c r="O93" s="28"/>
      <c r="P93" s="28"/>
      <c r="Q93" s="28"/>
      <c r="R93" s="28"/>
      <c r="S93" s="28"/>
      <c r="T93" s="28"/>
      <c r="U93" s="28"/>
      <c r="V93" s="28"/>
      <c r="W93" s="28"/>
      <c r="X93" s="28"/>
      <c r="Y93" s="28"/>
      <c r="Z93" s="28"/>
    </row>
    <row r="94" spans="1:26" ht="15.75" customHeight="1" x14ac:dyDescent="0.25">
      <c r="A94" s="28"/>
      <c r="B94" s="28"/>
      <c r="C94" s="310" t="s">
        <v>8</v>
      </c>
      <c r="D94" s="297"/>
      <c r="E94" s="297"/>
      <c r="F94" s="297"/>
      <c r="G94" s="297"/>
      <c r="H94" s="306"/>
      <c r="I94" s="28"/>
      <c r="J94" s="305" t="s">
        <v>10</v>
      </c>
      <c r="K94" s="297"/>
      <c r="L94" s="297"/>
      <c r="M94" s="298"/>
      <c r="N94" s="28"/>
      <c r="O94" s="28"/>
      <c r="P94" s="28"/>
      <c r="Q94" s="28"/>
      <c r="R94" s="28"/>
      <c r="S94" s="28"/>
      <c r="T94" s="28"/>
      <c r="U94" s="28"/>
      <c r="V94" s="28"/>
      <c r="W94" s="28"/>
      <c r="X94" s="28"/>
      <c r="Y94" s="28"/>
      <c r="Z94" s="28"/>
    </row>
    <row r="95" spans="1:26" ht="15.75" customHeight="1" x14ac:dyDescent="0.25">
      <c r="A95" s="28"/>
      <c r="B95" s="28"/>
      <c r="C95" s="9" t="s">
        <v>11</v>
      </c>
      <c r="D95" s="12" t="s">
        <v>12</v>
      </c>
      <c r="E95" s="17">
        <v>610</v>
      </c>
      <c r="F95" s="22">
        <v>610</v>
      </c>
      <c r="G95" s="11">
        <v>780</v>
      </c>
      <c r="H95" s="110">
        <f>((F95-G95)/F95)</f>
        <v>-0.27868852459016391</v>
      </c>
      <c r="I95" s="28"/>
      <c r="J95" s="12"/>
      <c r="K95" s="12" t="s">
        <v>52</v>
      </c>
      <c r="L95" s="12" t="s">
        <v>53</v>
      </c>
      <c r="M95" s="12"/>
      <c r="N95" s="28"/>
      <c r="O95" s="28"/>
      <c r="P95" s="28"/>
      <c r="Q95" s="28"/>
      <c r="R95" s="28"/>
      <c r="S95" s="28"/>
      <c r="T95" s="28"/>
      <c r="U95" s="28"/>
      <c r="V95" s="28"/>
      <c r="W95" s="28"/>
      <c r="X95" s="28"/>
      <c r="Y95" s="28"/>
      <c r="Z95" s="28"/>
    </row>
    <row r="96" spans="1:26" ht="15.75" customHeight="1" x14ac:dyDescent="0.25">
      <c r="A96" s="28"/>
      <c r="B96" s="28"/>
      <c r="C96" s="9" t="s">
        <v>11</v>
      </c>
      <c r="D96" s="12" t="s">
        <v>18</v>
      </c>
      <c r="E96" s="17">
        <v>0</v>
      </c>
      <c r="F96" s="22">
        <v>0</v>
      </c>
      <c r="G96" s="11">
        <v>0</v>
      </c>
      <c r="H96" s="110">
        <v>0</v>
      </c>
      <c r="I96" s="28"/>
      <c r="J96" s="12" t="s">
        <v>12</v>
      </c>
      <c r="K96" s="17">
        <f>E95</f>
        <v>610</v>
      </c>
      <c r="L96" s="11">
        <f>G95</f>
        <v>780</v>
      </c>
      <c r="M96" s="17" t="s">
        <v>244</v>
      </c>
      <c r="N96" s="28"/>
      <c r="O96" s="28"/>
      <c r="P96" s="28"/>
      <c r="Q96" s="28"/>
      <c r="R96" s="28"/>
      <c r="S96" s="28"/>
      <c r="T96" s="28"/>
      <c r="U96" s="28"/>
      <c r="V96" s="28"/>
      <c r="W96" s="28"/>
      <c r="X96" s="28"/>
      <c r="Y96" s="28"/>
      <c r="Z96" s="28"/>
    </row>
    <row r="97" spans="1:26" ht="15.75" customHeight="1" x14ac:dyDescent="0.25">
      <c r="A97" s="28"/>
      <c r="B97" s="28"/>
      <c r="C97" s="9" t="s">
        <v>21</v>
      </c>
      <c r="D97" s="12" t="s">
        <v>59</v>
      </c>
      <c r="E97" s="17">
        <v>440</v>
      </c>
      <c r="F97" s="22">
        <v>353</v>
      </c>
      <c r="G97" s="11">
        <v>44</v>
      </c>
      <c r="H97" s="110">
        <f t="shared" ref="H97:H98" si="4">((F97-G97)/F97)</f>
        <v>0.87535410764872523</v>
      </c>
      <c r="I97" s="28"/>
      <c r="J97" s="12" t="s">
        <v>18</v>
      </c>
      <c r="K97" s="17">
        <v>0</v>
      </c>
      <c r="L97" s="11">
        <v>0</v>
      </c>
      <c r="M97" s="17" t="s">
        <v>246</v>
      </c>
      <c r="N97" s="28"/>
      <c r="O97" s="28"/>
      <c r="P97" s="28"/>
      <c r="Q97" s="28"/>
      <c r="R97" s="28"/>
      <c r="S97" s="28"/>
      <c r="T97" s="28"/>
      <c r="U97" s="28"/>
      <c r="V97" s="28"/>
      <c r="W97" s="28"/>
      <c r="X97" s="28"/>
      <c r="Y97" s="28"/>
      <c r="Z97" s="28"/>
    </row>
    <row r="98" spans="1:26" ht="15.75" customHeight="1" x14ac:dyDescent="0.25">
      <c r="A98" s="28"/>
      <c r="B98" s="28"/>
      <c r="C98" s="9" t="s">
        <v>21</v>
      </c>
      <c r="D98" s="12" t="s">
        <v>63</v>
      </c>
      <c r="E98" s="17">
        <v>160</v>
      </c>
      <c r="F98" s="22">
        <v>137</v>
      </c>
      <c r="G98" s="11">
        <v>159</v>
      </c>
      <c r="H98" s="110">
        <f t="shared" si="4"/>
        <v>-0.16058394160583941</v>
      </c>
      <c r="I98" s="28"/>
      <c r="J98" s="305" t="s">
        <v>23</v>
      </c>
      <c r="K98" s="297"/>
      <c r="L98" s="297"/>
      <c r="M98" s="298"/>
      <c r="N98" s="28"/>
      <c r="O98" s="28"/>
      <c r="P98" s="28"/>
      <c r="Q98" s="28"/>
      <c r="R98" s="28"/>
      <c r="S98" s="28"/>
      <c r="T98" s="28"/>
      <c r="U98" s="28"/>
      <c r="V98" s="28"/>
      <c r="W98" s="28"/>
      <c r="X98" s="28"/>
      <c r="Y98" s="28"/>
      <c r="Z98" s="28"/>
    </row>
    <row r="99" spans="1:26" ht="15.75" customHeight="1" x14ac:dyDescent="0.25">
      <c r="A99" s="28"/>
      <c r="B99" s="28"/>
      <c r="C99" s="310" t="s">
        <v>29</v>
      </c>
      <c r="D99" s="297"/>
      <c r="E99" s="297"/>
      <c r="F99" s="297"/>
      <c r="G99" s="297"/>
      <c r="H99" s="306"/>
      <c r="I99" s="28"/>
      <c r="J99" s="12" t="s">
        <v>12</v>
      </c>
      <c r="K99" s="17">
        <f>E100</f>
        <v>580</v>
      </c>
      <c r="L99" s="11">
        <f>G100</f>
        <v>720</v>
      </c>
      <c r="M99" s="17" t="s">
        <v>247</v>
      </c>
      <c r="N99" s="28"/>
      <c r="O99" s="28"/>
      <c r="P99" s="28"/>
      <c r="Q99" s="28"/>
      <c r="R99" s="28"/>
      <c r="S99" s="28"/>
      <c r="T99" s="28"/>
      <c r="U99" s="28"/>
      <c r="V99" s="28"/>
      <c r="W99" s="28"/>
      <c r="X99" s="28"/>
      <c r="Y99" s="28"/>
      <c r="Z99" s="28"/>
    </row>
    <row r="100" spans="1:26" ht="15.75" customHeight="1" x14ac:dyDescent="0.25">
      <c r="A100" s="28"/>
      <c r="B100" s="28"/>
      <c r="C100" s="9" t="s">
        <v>11</v>
      </c>
      <c r="D100" s="12" t="s">
        <v>12</v>
      </c>
      <c r="E100" s="17">
        <v>580</v>
      </c>
      <c r="F100" s="22">
        <v>580</v>
      </c>
      <c r="G100" s="22">
        <v>720</v>
      </c>
      <c r="H100" s="110">
        <f>((F100-G100)/F100)</f>
        <v>-0.2413793103448276</v>
      </c>
      <c r="I100" s="28"/>
      <c r="J100" s="12" t="s">
        <v>18</v>
      </c>
      <c r="K100" s="17">
        <v>0</v>
      </c>
      <c r="L100" s="11">
        <v>0</v>
      </c>
      <c r="M100" s="17" t="s">
        <v>248</v>
      </c>
      <c r="N100" s="28"/>
      <c r="O100" s="28"/>
      <c r="P100" s="28"/>
      <c r="Q100" s="28"/>
      <c r="R100" s="28"/>
      <c r="S100" s="28"/>
      <c r="T100" s="28"/>
      <c r="U100" s="28"/>
      <c r="V100" s="28"/>
      <c r="W100" s="28"/>
      <c r="X100" s="28"/>
      <c r="Y100" s="28"/>
      <c r="Z100" s="28"/>
    </row>
    <row r="101" spans="1:26" ht="15.75" customHeight="1" x14ac:dyDescent="0.25">
      <c r="A101" s="28"/>
      <c r="B101" s="28"/>
      <c r="C101" s="9" t="s">
        <v>11</v>
      </c>
      <c r="D101" s="12" t="s">
        <v>18</v>
      </c>
      <c r="E101" s="17">
        <v>0</v>
      </c>
      <c r="F101" s="22">
        <v>0</v>
      </c>
      <c r="G101" s="22">
        <v>0</v>
      </c>
      <c r="H101" s="110">
        <v>0</v>
      </c>
      <c r="I101" s="28"/>
      <c r="J101" s="28"/>
      <c r="K101" s="28"/>
      <c r="L101" s="28"/>
      <c r="M101" s="28"/>
      <c r="N101" s="28"/>
      <c r="O101" s="28"/>
      <c r="P101" s="28"/>
      <c r="Q101" s="28"/>
      <c r="R101" s="28"/>
      <c r="S101" s="28"/>
      <c r="T101" s="28"/>
      <c r="U101" s="28"/>
      <c r="V101" s="28"/>
      <c r="W101" s="28"/>
      <c r="X101" s="28"/>
      <c r="Y101" s="28"/>
      <c r="Z101" s="28"/>
    </row>
    <row r="102" spans="1:26" ht="15.75" customHeight="1" x14ac:dyDescent="0.25">
      <c r="A102" s="28"/>
      <c r="B102" s="28"/>
      <c r="C102" s="9" t="s">
        <v>21</v>
      </c>
      <c r="D102" s="12" t="s">
        <v>59</v>
      </c>
      <c r="E102" s="17">
        <v>430</v>
      </c>
      <c r="F102" s="22">
        <v>380</v>
      </c>
      <c r="G102" s="22">
        <v>414</v>
      </c>
      <c r="H102" s="110">
        <f t="shared" ref="H102:H103" si="5">((F102-G102)/F102)</f>
        <v>-8.9473684210526316E-2</v>
      </c>
      <c r="I102" s="28"/>
      <c r="J102" s="28"/>
      <c r="K102" s="28"/>
      <c r="L102" s="28"/>
      <c r="M102" s="28"/>
      <c r="N102" s="28"/>
      <c r="O102" s="28"/>
      <c r="P102" s="28"/>
      <c r="Q102" s="28"/>
      <c r="R102" s="28"/>
      <c r="S102" s="28"/>
      <c r="T102" s="28"/>
      <c r="U102" s="28"/>
      <c r="V102" s="28"/>
      <c r="W102" s="28"/>
      <c r="X102" s="28"/>
      <c r="Y102" s="28"/>
      <c r="Z102" s="28"/>
    </row>
    <row r="103" spans="1:26" ht="15.75" customHeight="1" x14ac:dyDescent="0.25">
      <c r="A103" s="28"/>
      <c r="B103" s="28"/>
      <c r="C103" s="9" t="s">
        <v>21</v>
      </c>
      <c r="D103" s="12" t="s">
        <v>63</v>
      </c>
      <c r="E103" s="17">
        <v>150</v>
      </c>
      <c r="F103" s="22">
        <v>140</v>
      </c>
      <c r="G103" s="22">
        <v>150</v>
      </c>
      <c r="H103" s="110">
        <f t="shared" si="5"/>
        <v>-7.1428571428571425E-2</v>
      </c>
      <c r="I103" s="28"/>
      <c r="J103" s="28"/>
      <c r="K103" s="28"/>
      <c r="L103" s="28"/>
      <c r="M103" s="28"/>
      <c r="N103" s="28"/>
      <c r="O103" s="28"/>
      <c r="P103" s="28"/>
      <c r="Q103" s="28"/>
      <c r="R103" s="28"/>
      <c r="S103" s="28"/>
      <c r="T103" s="28"/>
      <c r="U103" s="28"/>
      <c r="V103" s="28"/>
      <c r="W103" s="28"/>
      <c r="X103" s="28"/>
      <c r="Y103" s="28"/>
      <c r="Z103" s="28"/>
    </row>
    <row r="104" spans="1:26" ht="15.75" customHeight="1" x14ac:dyDescent="0.25">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5.75" customHeight="1" x14ac:dyDescent="0.2"/>
    <row r="106" spans="1:26" ht="15.75" customHeight="1" x14ac:dyDescent="0.25">
      <c r="A106" s="23" t="s">
        <v>115</v>
      </c>
      <c r="B106" s="43" t="s">
        <v>221</v>
      </c>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5.75" customHeight="1" x14ac:dyDescent="0.25">
      <c r="A107" s="304"/>
      <c r="B107" s="297"/>
      <c r="C107" s="297"/>
      <c r="D107" s="297"/>
      <c r="E107" s="298"/>
      <c r="F107" s="28"/>
      <c r="G107" s="28"/>
      <c r="H107" s="3"/>
      <c r="I107" s="28"/>
      <c r="J107" s="28"/>
      <c r="K107" s="28"/>
      <c r="L107" s="28"/>
      <c r="M107" s="28"/>
      <c r="N107" s="28"/>
      <c r="O107" s="28"/>
      <c r="P107" s="28"/>
      <c r="Q107" s="28"/>
      <c r="R107" s="28"/>
      <c r="S107" s="28"/>
      <c r="T107" s="28"/>
      <c r="U107" s="28"/>
      <c r="V107" s="28"/>
      <c r="W107" s="28"/>
      <c r="X107" s="28"/>
      <c r="Y107" s="28"/>
      <c r="Z107" s="28"/>
    </row>
    <row r="108" spans="1:26" ht="15.75" customHeight="1" x14ac:dyDescent="0.25">
      <c r="A108" s="4" t="s">
        <v>0</v>
      </c>
      <c r="B108" s="5" t="s">
        <v>1</v>
      </c>
      <c r="C108" s="5" t="s">
        <v>2</v>
      </c>
      <c r="D108" s="5" t="s">
        <v>43</v>
      </c>
      <c r="E108" s="45" t="s">
        <v>125</v>
      </c>
      <c r="F108" s="28"/>
      <c r="G108" s="296" t="s">
        <v>6</v>
      </c>
      <c r="H108" s="297"/>
      <c r="I108" s="297"/>
      <c r="J108" s="297"/>
      <c r="K108" s="297"/>
      <c r="L108" s="298"/>
      <c r="M108" s="28"/>
      <c r="N108" s="28"/>
      <c r="O108" s="28"/>
      <c r="P108" s="28"/>
      <c r="Q108" s="28"/>
      <c r="R108" s="28"/>
      <c r="S108" s="28"/>
      <c r="T108" s="28"/>
      <c r="U108" s="28"/>
      <c r="V108" s="28"/>
      <c r="W108" s="28"/>
      <c r="X108" s="28"/>
      <c r="Y108" s="28"/>
      <c r="Z108" s="28"/>
    </row>
    <row r="109" spans="1:26" ht="15.75" customHeight="1" x14ac:dyDescent="0.25">
      <c r="A109" s="9" t="s">
        <v>7</v>
      </c>
      <c r="B109" s="302" t="s">
        <v>9</v>
      </c>
      <c r="C109" s="47">
        <v>28.1</v>
      </c>
      <c r="D109" s="47">
        <v>40</v>
      </c>
      <c r="E109" s="47">
        <v>26</v>
      </c>
      <c r="F109" s="28"/>
      <c r="G109" s="296" t="s">
        <v>106</v>
      </c>
      <c r="H109" s="297"/>
      <c r="I109" s="298"/>
      <c r="J109" s="296" t="s">
        <v>107</v>
      </c>
      <c r="K109" s="297"/>
      <c r="L109" s="298"/>
      <c r="M109" s="28"/>
      <c r="N109" s="28"/>
      <c r="O109" s="28"/>
      <c r="P109" s="28"/>
      <c r="Q109" s="28"/>
      <c r="R109" s="28"/>
      <c r="S109" s="28"/>
      <c r="T109" s="28"/>
      <c r="U109" s="28"/>
      <c r="V109" s="28"/>
      <c r="W109" s="28"/>
      <c r="X109" s="28"/>
      <c r="Y109" s="28"/>
      <c r="Z109" s="28"/>
    </row>
    <row r="110" spans="1:26" ht="15.75" customHeight="1" x14ac:dyDescent="0.25">
      <c r="A110" s="9" t="s">
        <v>17</v>
      </c>
      <c r="B110" s="300"/>
      <c r="C110" s="47">
        <v>63.911000000000001</v>
      </c>
      <c r="D110" s="47">
        <v>69</v>
      </c>
      <c r="E110" s="47">
        <v>54</v>
      </c>
      <c r="F110" s="28"/>
      <c r="G110" s="13" t="s">
        <v>13</v>
      </c>
      <c r="H110" s="39">
        <f>+H112+H112*0.1</f>
        <v>821.7</v>
      </c>
      <c r="I110" s="17" t="s">
        <v>257</v>
      </c>
      <c r="J110" s="13" t="s">
        <v>13</v>
      </c>
      <c r="K110" s="39">
        <f>+K112+K112*0.1</f>
        <v>803</v>
      </c>
      <c r="L110" s="17" t="s">
        <v>258</v>
      </c>
      <c r="M110" s="28"/>
      <c r="N110" s="28"/>
      <c r="O110" s="28"/>
      <c r="P110" s="28"/>
      <c r="Q110" s="28"/>
      <c r="R110" s="28"/>
      <c r="S110" s="28"/>
      <c r="T110" s="28"/>
      <c r="U110" s="28"/>
      <c r="V110" s="28"/>
      <c r="W110" s="28"/>
      <c r="X110" s="28"/>
      <c r="Y110" s="28"/>
      <c r="Z110" s="28"/>
    </row>
    <row r="111" spans="1:26" ht="15.75" customHeight="1" x14ac:dyDescent="0.25">
      <c r="A111" s="9" t="s">
        <v>26</v>
      </c>
      <c r="B111" s="300"/>
      <c r="C111" s="47">
        <v>69.921999999999997</v>
      </c>
      <c r="D111" s="47">
        <v>70</v>
      </c>
      <c r="E111" s="47">
        <v>62</v>
      </c>
      <c r="F111" s="28"/>
      <c r="G111" s="13" t="s">
        <v>19</v>
      </c>
      <c r="H111" s="40">
        <f>+H112-H112*0.1</f>
        <v>672.3</v>
      </c>
      <c r="I111" s="17" t="s">
        <v>259</v>
      </c>
      <c r="J111" s="13" t="s">
        <v>19</v>
      </c>
      <c r="K111" s="40">
        <f>+K112-K112*0.1</f>
        <v>657</v>
      </c>
      <c r="L111" s="17" t="s">
        <v>260</v>
      </c>
      <c r="M111" s="28"/>
      <c r="N111" s="28"/>
      <c r="O111" s="28"/>
      <c r="P111" s="28"/>
      <c r="Q111" s="28"/>
      <c r="R111" s="28"/>
      <c r="S111" s="28"/>
      <c r="T111" s="28"/>
      <c r="U111" s="28"/>
      <c r="V111" s="28"/>
      <c r="W111" s="28"/>
      <c r="X111" s="28"/>
      <c r="Y111" s="28"/>
      <c r="Z111" s="28"/>
    </row>
    <row r="112" spans="1:26" ht="15.75" customHeight="1" x14ac:dyDescent="0.25">
      <c r="A112" s="9" t="s">
        <v>32</v>
      </c>
      <c r="B112" s="300"/>
      <c r="C112" s="47">
        <v>96.744</v>
      </c>
      <c r="D112" s="47">
        <v>85</v>
      </c>
      <c r="E112" s="47">
        <v>80</v>
      </c>
      <c r="F112" s="28"/>
      <c r="G112" s="13" t="s">
        <v>27</v>
      </c>
      <c r="H112" s="20">
        <v>747</v>
      </c>
      <c r="I112" s="17" t="s">
        <v>261</v>
      </c>
      <c r="J112" s="13" t="s">
        <v>27</v>
      </c>
      <c r="K112" s="20">
        <v>730</v>
      </c>
      <c r="L112" s="17" t="s">
        <v>262</v>
      </c>
      <c r="M112" s="28"/>
      <c r="N112" s="28"/>
      <c r="O112" s="28"/>
      <c r="P112" s="28"/>
      <c r="Q112" s="28"/>
      <c r="R112" s="28"/>
      <c r="S112" s="28"/>
      <c r="T112" s="28"/>
      <c r="U112" s="28"/>
      <c r="V112" s="28"/>
      <c r="W112" s="28"/>
      <c r="X112" s="28"/>
      <c r="Y112" s="28"/>
      <c r="Z112" s="28"/>
    </row>
    <row r="113" spans="1:26" ht="15.75" customHeight="1" x14ac:dyDescent="0.25">
      <c r="A113" s="9" t="s">
        <v>33</v>
      </c>
      <c r="B113" s="301"/>
      <c r="C113" s="47">
        <v>128.11000000000001</v>
      </c>
      <c r="D113" s="47">
        <v>120</v>
      </c>
      <c r="E113" s="47">
        <v>113</v>
      </c>
      <c r="F113" s="28"/>
      <c r="G113" s="13" t="s">
        <v>121</v>
      </c>
      <c r="H113" s="20">
        <v>717</v>
      </c>
      <c r="I113" s="17" t="s">
        <v>263</v>
      </c>
      <c r="J113" s="13" t="s">
        <v>121</v>
      </c>
      <c r="K113" s="20">
        <v>730</v>
      </c>
      <c r="L113" s="17" t="s">
        <v>264</v>
      </c>
      <c r="M113" s="28"/>
      <c r="N113" s="28"/>
      <c r="O113" s="28"/>
      <c r="P113" s="28"/>
      <c r="Q113" s="28"/>
      <c r="R113" s="28"/>
      <c r="S113" s="28"/>
      <c r="T113" s="28"/>
      <c r="U113" s="28"/>
      <c r="V113" s="28"/>
      <c r="W113" s="28"/>
      <c r="X113" s="28"/>
      <c r="Y113" s="28"/>
      <c r="Z113" s="28"/>
    </row>
    <row r="114" spans="1:26" ht="15.75" customHeight="1" x14ac:dyDescent="0.25">
      <c r="A114" s="41"/>
      <c r="B114" s="125"/>
      <c r="C114" s="42"/>
      <c r="D114" s="25"/>
      <c r="E114" s="25"/>
      <c r="F114" s="28"/>
      <c r="G114" s="28"/>
      <c r="H114" s="3"/>
      <c r="I114" s="28"/>
      <c r="J114" s="28"/>
      <c r="K114" s="28"/>
      <c r="L114" s="28"/>
      <c r="M114" s="28"/>
      <c r="N114" s="28"/>
      <c r="O114" s="28"/>
      <c r="P114" s="28"/>
      <c r="Q114" s="28"/>
      <c r="R114" s="28"/>
      <c r="S114" s="28"/>
      <c r="T114" s="28"/>
      <c r="U114" s="28"/>
      <c r="V114" s="28"/>
      <c r="W114" s="28"/>
      <c r="X114" s="28"/>
      <c r="Y114" s="28"/>
      <c r="Z114" s="28"/>
    </row>
    <row r="115" spans="1:26" ht="15.75" customHeight="1" x14ac:dyDescent="0.25">
      <c r="A115" s="126" t="s">
        <v>35</v>
      </c>
      <c r="B115" s="302" t="s">
        <v>36</v>
      </c>
      <c r="C115" s="47">
        <v>207.78</v>
      </c>
      <c r="D115" s="47">
        <v>151</v>
      </c>
      <c r="E115" s="47">
        <v>151</v>
      </c>
      <c r="F115" s="127"/>
      <c r="G115" s="28"/>
      <c r="H115" s="3"/>
      <c r="I115" s="27" t="s">
        <v>241</v>
      </c>
      <c r="J115" s="128">
        <v>43842</v>
      </c>
      <c r="K115" s="28"/>
      <c r="L115" s="28"/>
      <c r="M115" s="28"/>
      <c r="N115" s="28"/>
      <c r="O115" s="28"/>
      <c r="P115" s="28"/>
      <c r="Q115" s="28"/>
      <c r="R115" s="28"/>
      <c r="S115" s="28"/>
      <c r="T115" s="28"/>
      <c r="U115" s="28"/>
      <c r="V115" s="28"/>
      <c r="W115" s="28"/>
      <c r="X115" s="28"/>
      <c r="Y115" s="28"/>
      <c r="Z115" s="28"/>
    </row>
    <row r="116" spans="1:26" ht="15.75" customHeight="1" x14ac:dyDescent="0.25">
      <c r="A116" s="126" t="s">
        <v>37</v>
      </c>
      <c r="B116" s="300"/>
      <c r="C116" s="47">
        <v>444.11</v>
      </c>
      <c r="D116" s="47">
        <v>209</v>
      </c>
      <c r="E116" s="47">
        <v>194</v>
      </c>
      <c r="F116" s="127"/>
      <c r="G116" s="28"/>
      <c r="H116" s="3"/>
      <c r="I116" s="28"/>
      <c r="J116" s="28"/>
      <c r="K116" s="28"/>
      <c r="L116" s="28"/>
      <c r="M116" s="28"/>
      <c r="N116" s="28"/>
      <c r="O116" s="28"/>
      <c r="P116" s="28"/>
      <c r="Q116" s="28"/>
      <c r="R116" s="28"/>
      <c r="S116" s="28"/>
      <c r="T116" s="28"/>
      <c r="U116" s="28"/>
      <c r="V116" s="28"/>
      <c r="W116" s="28"/>
      <c r="X116" s="28"/>
      <c r="Y116" s="28"/>
      <c r="Z116" s="28"/>
    </row>
    <row r="117" spans="1:26" ht="15.75" customHeight="1" x14ac:dyDescent="0.25">
      <c r="A117" s="126" t="s">
        <v>38</v>
      </c>
      <c r="B117" s="300"/>
      <c r="C117" s="47">
        <v>579.55999999999995</v>
      </c>
      <c r="D117" s="47">
        <v>536</v>
      </c>
      <c r="E117" s="47">
        <v>513</v>
      </c>
      <c r="F117" s="127"/>
      <c r="G117" s="28"/>
      <c r="H117" s="3"/>
      <c r="I117" s="28"/>
      <c r="J117" s="28"/>
      <c r="K117" s="28"/>
      <c r="L117" s="28"/>
      <c r="M117" s="28"/>
      <c r="N117" s="28"/>
      <c r="O117" s="28"/>
      <c r="P117" s="28"/>
      <c r="Q117" s="28"/>
      <c r="R117" s="28"/>
      <c r="S117" s="28"/>
      <c r="T117" s="28"/>
      <c r="U117" s="28"/>
      <c r="V117" s="28"/>
      <c r="W117" s="28"/>
      <c r="X117" s="28"/>
      <c r="Y117" s="28"/>
      <c r="Z117" s="28"/>
    </row>
    <row r="118" spans="1:26" ht="15.75" customHeight="1" x14ac:dyDescent="0.25">
      <c r="A118" s="129" t="s">
        <v>39</v>
      </c>
      <c r="B118" s="300"/>
      <c r="C118" s="50">
        <v>746.22</v>
      </c>
      <c r="D118" s="47">
        <v>726</v>
      </c>
      <c r="E118" s="47">
        <v>710</v>
      </c>
      <c r="F118" s="127"/>
      <c r="G118" s="28"/>
      <c r="H118" s="3"/>
      <c r="I118" s="28"/>
      <c r="J118" s="28"/>
      <c r="K118" s="28"/>
      <c r="L118" s="28"/>
      <c r="M118" s="28"/>
      <c r="N118" s="28"/>
      <c r="O118" s="28"/>
      <c r="P118" s="28"/>
      <c r="Q118" s="28"/>
      <c r="R118" s="28"/>
      <c r="S118" s="28"/>
      <c r="T118" s="28"/>
      <c r="U118" s="28"/>
      <c r="V118" s="28"/>
      <c r="W118" s="28"/>
      <c r="X118" s="28"/>
      <c r="Y118" s="28"/>
      <c r="Z118" s="28"/>
    </row>
    <row r="119" spans="1:26" ht="15.75" customHeight="1" x14ac:dyDescent="0.25">
      <c r="A119" s="12" t="s">
        <v>41</v>
      </c>
      <c r="B119" s="301"/>
      <c r="C119" s="71">
        <v>869.5</v>
      </c>
      <c r="D119" s="47">
        <v>778</v>
      </c>
      <c r="E119" s="47">
        <v>792</v>
      </c>
      <c r="F119" s="127"/>
      <c r="G119" s="28"/>
      <c r="H119" s="3"/>
      <c r="I119" s="28"/>
      <c r="J119" s="28"/>
      <c r="K119" s="28"/>
      <c r="L119" s="28"/>
      <c r="M119" s="28"/>
      <c r="N119" s="28"/>
      <c r="O119" s="28"/>
      <c r="P119" s="28"/>
      <c r="Q119" s="28"/>
      <c r="R119" s="28"/>
      <c r="S119" s="28"/>
      <c r="T119" s="28"/>
      <c r="U119" s="28"/>
      <c r="V119" s="28"/>
      <c r="W119" s="28"/>
      <c r="X119" s="28"/>
      <c r="Y119" s="28"/>
      <c r="Z119" s="28"/>
    </row>
    <row r="120" spans="1:26" ht="15.75" customHeight="1" x14ac:dyDescent="0.25">
      <c r="A120" s="130"/>
      <c r="B120" s="131"/>
      <c r="C120" s="131"/>
      <c r="D120" s="131"/>
      <c r="E120" s="131"/>
      <c r="F120" s="28"/>
      <c r="G120" s="28"/>
      <c r="H120" s="3"/>
      <c r="I120" s="28"/>
      <c r="J120" s="28"/>
      <c r="K120" s="28"/>
      <c r="L120" s="28"/>
      <c r="M120" s="28"/>
      <c r="N120" s="28"/>
      <c r="O120" s="28"/>
      <c r="P120" s="28"/>
      <c r="Q120" s="28"/>
      <c r="R120" s="28"/>
      <c r="S120" s="28"/>
      <c r="T120" s="28"/>
      <c r="U120" s="28"/>
      <c r="V120" s="28"/>
      <c r="W120" s="28"/>
      <c r="X120" s="28"/>
      <c r="Y120" s="28"/>
      <c r="Z120" s="28"/>
    </row>
    <row r="121" spans="1:26" ht="15.75" customHeight="1" x14ac:dyDescent="0.25">
      <c r="A121" s="9" t="s">
        <v>46</v>
      </c>
      <c r="B121" s="299" t="s">
        <v>47</v>
      </c>
      <c r="C121" s="11">
        <v>88.4</v>
      </c>
      <c r="D121" s="47">
        <v>100</v>
      </c>
      <c r="E121" s="47">
        <v>85</v>
      </c>
      <c r="F121" s="28"/>
      <c r="G121" s="28"/>
      <c r="H121" s="3"/>
      <c r="I121" s="28"/>
      <c r="J121" s="28"/>
      <c r="K121" s="28"/>
      <c r="L121" s="28"/>
      <c r="M121" s="28"/>
      <c r="N121" s="28"/>
      <c r="O121" s="28"/>
      <c r="P121" s="28"/>
      <c r="Q121" s="28"/>
      <c r="R121" s="28"/>
      <c r="S121" s="28"/>
      <c r="T121" s="28"/>
      <c r="U121" s="28"/>
      <c r="V121" s="28"/>
      <c r="W121" s="28"/>
      <c r="X121" s="28"/>
      <c r="Y121" s="28"/>
      <c r="Z121" s="28"/>
    </row>
    <row r="122" spans="1:26" ht="15.75" customHeight="1" x14ac:dyDescent="0.25">
      <c r="A122" s="9" t="s">
        <v>48</v>
      </c>
      <c r="B122" s="300"/>
      <c r="C122" s="11">
        <v>94.6</v>
      </c>
      <c r="D122" s="47">
        <v>106</v>
      </c>
      <c r="E122" s="47">
        <v>98</v>
      </c>
      <c r="F122" s="28"/>
      <c r="G122" s="28"/>
      <c r="H122" s="3"/>
      <c r="I122" s="28"/>
      <c r="J122" s="28"/>
      <c r="K122" s="28"/>
      <c r="L122" s="28"/>
      <c r="M122" s="28"/>
      <c r="N122" s="28"/>
      <c r="O122" s="28"/>
      <c r="P122" s="28"/>
      <c r="Q122" s="28"/>
      <c r="R122" s="28"/>
      <c r="S122" s="28"/>
      <c r="T122" s="28"/>
      <c r="U122" s="28"/>
      <c r="V122" s="28"/>
      <c r="W122" s="28"/>
      <c r="X122" s="28"/>
      <c r="Y122" s="28"/>
      <c r="Z122" s="28"/>
    </row>
    <row r="123" spans="1:26" ht="15.75" customHeight="1" x14ac:dyDescent="0.25">
      <c r="A123" s="41"/>
      <c r="B123" s="125"/>
      <c r="C123" s="42"/>
      <c r="D123" s="42"/>
      <c r="E123" s="42"/>
      <c r="F123" s="28"/>
      <c r="G123" s="28"/>
      <c r="H123" s="3"/>
      <c r="I123" s="28"/>
      <c r="J123" s="28"/>
      <c r="K123" s="28"/>
      <c r="L123" s="28"/>
      <c r="M123" s="28"/>
      <c r="N123" s="28"/>
      <c r="O123" s="28"/>
      <c r="P123" s="28"/>
      <c r="Q123" s="28"/>
      <c r="R123" s="28"/>
      <c r="S123" s="28"/>
      <c r="T123" s="28"/>
      <c r="U123" s="28"/>
      <c r="V123" s="28"/>
      <c r="W123" s="28"/>
      <c r="X123" s="28"/>
      <c r="Y123" s="28"/>
      <c r="Z123" s="28"/>
    </row>
    <row r="124" spans="1:26" ht="15.75" customHeight="1" x14ac:dyDescent="0.25">
      <c r="A124" s="126" t="s">
        <v>50</v>
      </c>
      <c r="B124" s="302" t="s">
        <v>51</v>
      </c>
      <c r="C124" s="47">
        <v>271.44</v>
      </c>
      <c r="D124" s="47">
        <v>258</v>
      </c>
      <c r="E124" s="47">
        <v>240</v>
      </c>
      <c r="F124" s="28"/>
      <c r="G124" s="28"/>
      <c r="H124" s="3"/>
      <c r="I124" s="28"/>
      <c r="J124" s="28"/>
      <c r="K124" s="28"/>
      <c r="L124" s="28"/>
      <c r="M124" s="28"/>
      <c r="N124" s="28"/>
      <c r="O124" s="28"/>
      <c r="P124" s="28"/>
      <c r="Q124" s="28"/>
      <c r="R124" s="28"/>
      <c r="S124" s="28"/>
      <c r="T124" s="28"/>
      <c r="U124" s="28"/>
      <c r="V124" s="28"/>
      <c r="W124" s="28"/>
      <c r="X124" s="28"/>
      <c r="Y124" s="28"/>
      <c r="Z124" s="28"/>
    </row>
    <row r="125" spans="1:26" ht="15.75" customHeight="1" x14ac:dyDescent="0.25">
      <c r="A125" s="126" t="s">
        <v>54</v>
      </c>
      <c r="B125" s="300"/>
      <c r="C125" s="47">
        <v>550.22199999999998</v>
      </c>
      <c r="D125" s="47">
        <v>277</v>
      </c>
      <c r="E125" s="47">
        <v>260</v>
      </c>
      <c r="F125" s="28"/>
      <c r="G125" s="28"/>
      <c r="H125" s="3"/>
      <c r="I125" s="28"/>
      <c r="J125" s="28"/>
      <c r="K125" s="28"/>
      <c r="L125" s="28"/>
      <c r="M125" s="28"/>
      <c r="N125" s="28"/>
      <c r="O125" s="28"/>
      <c r="P125" s="28"/>
      <c r="Q125" s="28"/>
      <c r="R125" s="28"/>
      <c r="S125" s="28"/>
      <c r="T125" s="28"/>
      <c r="U125" s="28"/>
      <c r="V125" s="28"/>
      <c r="W125" s="28"/>
      <c r="X125" s="28"/>
      <c r="Y125" s="28"/>
      <c r="Z125" s="28"/>
    </row>
    <row r="126" spans="1:26" ht="15.75" customHeight="1" x14ac:dyDescent="0.25">
      <c r="A126" s="126" t="s">
        <v>55</v>
      </c>
      <c r="B126" s="300"/>
      <c r="C126" s="47">
        <v>746.8</v>
      </c>
      <c r="D126" s="47">
        <v>688</v>
      </c>
      <c r="E126" s="47">
        <v>655</v>
      </c>
      <c r="F126" s="28"/>
      <c r="G126" s="28"/>
      <c r="H126" s="3"/>
      <c r="I126" s="28"/>
      <c r="J126" s="28"/>
      <c r="K126" s="28"/>
      <c r="L126" s="28"/>
      <c r="M126" s="28"/>
      <c r="N126" s="28"/>
      <c r="O126" s="28"/>
      <c r="P126" s="28"/>
      <c r="Q126" s="28"/>
      <c r="R126" s="28"/>
      <c r="S126" s="28"/>
      <c r="T126" s="28"/>
      <c r="U126" s="28"/>
      <c r="V126" s="28"/>
      <c r="W126" s="28"/>
      <c r="X126" s="28"/>
      <c r="Y126" s="28"/>
      <c r="Z126" s="28"/>
    </row>
    <row r="127" spans="1:26" ht="15.75" customHeight="1" x14ac:dyDescent="0.25">
      <c r="A127" s="129" t="s">
        <v>56</v>
      </c>
      <c r="B127" s="300"/>
      <c r="C127" s="50">
        <v>768.33333333333337</v>
      </c>
      <c r="D127" s="47">
        <v>776</v>
      </c>
      <c r="E127" s="47">
        <v>754</v>
      </c>
      <c r="F127" s="28"/>
      <c r="G127" s="28"/>
      <c r="H127" s="3"/>
      <c r="I127" s="28"/>
      <c r="J127" s="28"/>
      <c r="K127" s="28"/>
      <c r="L127" s="28"/>
      <c r="M127" s="28"/>
      <c r="N127" s="28"/>
      <c r="O127" s="28"/>
      <c r="P127" s="28"/>
      <c r="Q127" s="28"/>
      <c r="R127" s="28"/>
      <c r="S127" s="28"/>
      <c r="T127" s="28"/>
      <c r="U127" s="28"/>
      <c r="V127" s="28"/>
      <c r="W127" s="28"/>
      <c r="X127" s="28"/>
      <c r="Y127" s="28"/>
      <c r="Z127" s="28"/>
    </row>
    <row r="128" spans="1:26" ht="15.75" customHeight="1" x14ac:dyDescent="0.25">
      <c r="A128" s="8" t="s">
        <v>57</v>
      </c>
      <c r="B128" s="301"/>
      <c r="C128" s="71">
        <v>609</v>
      </c>
      <c r="D128" s="47">
        <v>627</v>
      </c>
      <c r="E128" s="47">
        <v>601</v>
      </c>
      <c r="F128" s="28"/>
      <c r="G128" s="28"/>
      <c r="H128" s="3"/>
      <c r="I128" s="28"/>
      <c r="J128" s="28"/>
      <c r="K128" s="28"/>
      <c r="L128" s="28"/>
      <c r="M128" s="28"/>
      <c r="N128" s="28"/>
      <c r="O128" s="28"/>
      <c r="P128" s="28"/>
      <c r="Q128" s="28"/>
      <c r="R128" s="28"/>
      <c r="S128" s="28"/>
      <c r="T128" s="28"/>
      <c r="U128" s="28"/>
      <c r="V128" s="28"/>
      <c r="W128" s="28"/>
      <c r="X128" s="28"/>
      <c r="Y128" s="28"/>
      <c r="Z128" s="28"/>
    </row>
    <row r="129" spans="1:26" ht="15.75" customHeight="1" x14ac:dyDescent="0.25">
      <c r="A129" s="130"/>
      <c r="B129" s="131"/>
      <c r="C129" s="131"/>
      <c r="D129" s="131"/>
      <c r="E129" s="131"/>
      <c r="F129" s="28"/>
      <c r="G129" s="28"/>
      <c r="H129" s="3"/>
      <c r="I129" s="28"/>
      <c r="J129" s="28"/>
      <c r="K129" s="28"/>
      <c r="L129" s="28"/>
      <c r="M129" s="28"/>
      <c r="N129" s="28"/>
      <c r="O129" s="28"/>
      <c r="P129" s="28"/>
      <c r="Q129" s="28"/>
      <c r="R129" s="28"/>
      <c r="S129" s="28"/>
      <c r="T129" s="28"/>
      <c r="U129" s="28"/>
      <c r="V129" s="28"/>
      <c r="W129" s="28"/>
      <c r="X129" s="28"/>
      <c r="Y129" s="28"/>
      <c r="Z129" s="28"/>
    </row>
    <row r="130" spans="1:26" ht="15.75" customHeight="1" x14ac:dyDescent="0.25">
      <c r="A130" s="9" t="s">
        <v>60</v>
      </c>
      <c r="B130" s="299" t="s">
        <v>62</v>
      </c>
      <c r="C130" s="47">
        <v>19.741666666666667</v>
      </c>
      <c r="D130" s="53">
        <v>17</v>
      </c>
      <c r="E130" s="53">
        <v>17</v>
      </c>
      <c r="F130" s="28"/>
      <c r="G130" s="28"/>
      <c r="H130" s="3"/>
      <c r="I130" s="28"/>
      <c r="J130" s="28"/>
      <c r="K130" s="28"/>
      <c r="L130" s="28"/>
      <c r="M130" s="28"/>
      <c r="N130" s="28"/>
      <c r="O130" s="28"/>
      <c r="P130" s="28"/>
      <c r="Q130" s="28"/>
      <c r="R130" s="28"/>
      <c r="S130" s="28"/>
      <c r="T130" s="28"/>
      <c r="U130" s="28"/>
      <c r="V130" s="28"/>
      <c r="W130" s="28"/>
      <c r="X130" s="28"/>
      <c r="Y130" s="28"/>
      <c r="Z130" s="28"/>
    </row>
    <row r="131" spans="1:26" ht="15.75" customHeight="1" x14ac:dyDescent="0.25">
      <c r="A131" s="9" t="s">
        <v>65</v>
      </c>
      <c r="B131" s="300"/>
      <c r="C131" s="11">
        <v>42</v>
      </c>
      <c r="D131" s="54">
        <v>34</v>
      </c>
      <c r="E131" s="54">
        <v>34</v>
      </c>
      <c r="F131" s="28"/>
      <c r="G131" s="28"/>
      <c r="H131" s="3"/>
      <c r="I131" s="28"/>
      <c r="J131" s="28"/>
      <c r="K131" s="28"/>
      <c r="L131" s="28"/>
      <c r="M131" s="28"/>
      <c r="N131" s="28"/>
      <c r="O131" s="28"/>
      <c r="P131" s="28"/>
      <c r="Q131" s="28"/>
      <c r="R131" s="28"/>
      <c r="S131" s="28"/>
      <c r="T131" s="28"/>
      <c r="U131" s="28"/>
      <c r="V131" s="28"/>
      <c r="W131" s="28"/>
      <c r="X131" s="28"/>
      <c r="Y131" s="28"/>
      <c r="Z131" s="28"/>
    </row>
    <row r="132" spans="1:26" ht="15.75" customHeight="1" x14ac:dyDescent="0.25">
      <c r="A132" s="9" t="s">
        <v>64</v>
      </c>
      <c r="B132" s="301"/>
      <c r="C132" s="11">
        <v>42</v>
      </c>
      <c r="D132" s="54">
        <v>34</v>
      </c>
      <c r="E132" s="54">
        <v>34</v>
      </c>
      <c r="F132" s="28"/>
      <c r="G132" s="28"/>
      <c r="H132" s="3"/>
      <c r="I132" s="28"/>
      <c r="J132" s="28"/>
      <c r="K132" s="28"/>
      <c r="L132" s="28"/>
      <c r="M132" s="28"/>
      <c r="N132" s="28"/>
      <c r="O132" s="28"/>
      <c r="P132" s="28"/>
      <c r="Q132" s="28"/>
      <c r="R132" s="28"/>
      <c r="S132" s="28"/>
      <c r="T132" s="28"/>
      <c r="U132" s="28"/>
      <c r="V132" s="28"/>
      <c r="W132" s="28"/>
      <c r="X132" s="28"/>
      <c r="Y132" s="28"/>
      <c r="Z132" s="28"/>
    </row>
    <row r="133" spans="1:26" ht="15.75" customHeight="1" x14ac:dyDescent="0.25">
      <c r="A133" s="41"/>
      <c r="B133" s="125"/>
      <c r="C133" s="42"/>
      <c r="D133" s="25"/>
      <c r="E133" s="25"/>
      <c r="F133" s="28"/>
      <c r="G133" s="28"/>
      <c r="H133" s="3"/>
      <c r="I133" s="28"/>
      <c r="J133" s="28"/>
      <c r="K133" s="28"/>
      <c r="L133" s="28"/>
      <c r="M133" s="28"/>
      <c r="N133" s="28"/>
      <c r="O133" s="28"/>
      <c r="P133" s="28"/>
      <c r="Q133" s="28"/>
      <c r="R133" s="28"/>
      <c r="S133" s="28"/>
      <c r="T133" s="28"/>
      <c r="U133" s="28"/>
      <c r="V133" s="28"/>
      <c r="W133" s="28"/>
      <c r="X133" s="28"/>
      <c r="Y133" s="28"/>
      <c r="Z133" s="28"/>
    </row>
    <row r="134" spans="1:26" ht="15.75" customHeight="1" x14ac:dyDescent="0.25">
      <c r="A134" s="129" t="s">
        <v>66</v>
      </c>
      <c r="B134" s="302" t="s">
        <v>68</v>
      </c>
      <c r="C134" s="50">
        <v>204.5</v>
      </c>
      <c r="D134" s="47">
        <v>204</v>
      </c>
      <c r="E134" s="47">
        <v>204</v>
      </c>
      <c r="F134" s="28"/>
      <c r="G134" s="28"/>
      <c r="H134" s="3"/>
      <c r="I134" s="28"/>
      <c r="J134" s="28"/>
      <c r="K134" s="28"/>
      <c r="L134" s="28"/>
      <c r="M134" s="28"/>
      <c r="N134" s="28"/>
      <c r="O134" s="28"/>
      <c r="P134" s="28"/>
      <c r="Q134" s="28"/>
      <c r="R134" s="28"/>
      <c r="S134" s="28"/>
      <c r="T134" s="28"/>
      <c r="U134" s="28"/>
      <c r="V134" s="28"/>
      <c r="W134" s="28"/>
      <c r="X134" s="28"/>
      <c r="Y134" s="28"/>
      <c r="Z134" s="28"/>
    </row>
    <row r="135" spans="1:26" ht="15.75" customHeight="1" x14ac:dyDescent="0.25">
      <c r="A135" s="12" t="s">
        <v>69</v>
      </c>
      <c r="B135" s="301"/>
      <c r="C135" s="71">
        <v>277.7</v>
      </c>
      <c r="D135" s="47">
        <v>264</v>
      </c>
      <c r="E135" s="47">
        <v>264</v>
      </c>
      <c r="F135" s="28"/>
      <c r="G135" s="28"/>
      <c r="H135" s="3"/>
      <c r="I135" s="28"/>
      <c r="J135" s="28"/>
      <c r="K135" s="28"/>
      <c r="L135" s="28"/>
      <c r="M135" s="28"/>
      <c r="N135" s="28"/>
      <c r="O135" s="28"/>
      <c r="P135" s="28"/>
      <c r="Q135" s="28"/>
      <c r="R135" s="28"/>
      <c r="S135" s="28"/>
      <c r="T135" s="28"/>
      <c r="U135" s="28"/>
      <c r="V135" s="28"/>
      <c r="W135" s="28"/>
      <c r="X135" s="28"/>
      <c r="Y135" s="28"/>
      <c r="Z135" s="28"/>
    </row>
    <row r="136" spans="1:26" ht="15.75" customHeight="1" x14ac:dyDescent="0.25">
      <c r="A136" s="132"/>
      <c r="B136" s="133"/>
      <c r="C136" s="133"/>
      <c r="D136" s="133"/>
      <c r="E136" s="133"/>
      <c r="F136" s="28"/>
      <c r="G136" s="28"/>
      <c r="H136" s="3"/>
      <c r="I136" s="28"/>
      <c r="J136" s="28"/>
      <c r="K136" s="28"/>
      <c r="L136" s="28"/>
      <c r="M136" s="28"/>
      <c r="N136" s="28"/>
      <c r="O136" s="28"/>
      <c r="P136" s="28"/>
      <c r="Q136" s="28"/>
      <c r="R136" s="28"/>
      <c r="S136" s="28"/>
      <c r="T136" s="28"/>
      <c r="U136" s="28"/>
      <c r="V136" s="28"/>
      <c r="W136" s="28"/>
      <c r="X136" s="28"/>
      <c r="Y136" s="28"/>
      <c r="Z136" s="28"/>
    </row>
    <row r="137" spans="1:26" ht="15.75" customHeight="1" x14ac:dyDescent="0.25">
      <c r="A137" s="56" t="s">
        <v>69</v>
      </c>
      <c r="B137" s="303" t="s">
        <v>71</v>
      </c>
      <c r="C137" s="47">
        <v>12</v>
      </c>
      <c r="D137" s="47">
        <v>7</v>
      </c>
      <c r="E137" s="47">
        <v>7</v>
      </c>
      <c r="F137" s="28"/>
      <c r="G137" s="28"/>
      <c r="H137" s="3"/>
      <c r="I137" s="28"/>
      <c r="J137" s="28"/>
      <c r="K137" s="28"/>
      <c r="L137" s="28"/>
      <c r="M137" s="28"/>
      <c r="N137" s="28"/>
      <c r="O137" s="28"/>
      <c r="P137" s="28"/>
      <c r="Q137" s="28"/>
      <c r="R137" s="28"/>
      <c r="S137" s="28"/>
      <c r="T137" s="28"/>
      <c r="U137" s="28"/>
      <c r="V137" s="28"/>
      <c r="W137" s="28"/>
      <c r="X137" s="28"/>
      <c r="Y137" s="28"/>
      <c r="Z137" s="28"/>
    </row>
    <row r="138" spans="1:26" ht="15.75" customHeight="1" x14ac:dyDescent="0.25">
      <c r="A138" s="56" t="s">
        <v>72</v>
      </c>
      <c r="B138" s="300"/>
      <c r="C138" s="47">
        <v>14</v>
      </c>
      <c r="D138" s="47">
        <v>9</v>
      </c>
      <c r="E138" s="47">
        <v>9</v>
      </c>
      <c r="F138" s="28"/>
      <c r="G138" s="28"/>
      <c r="H138" s="3"/>
      <c r="I138" s="28"/>
      <c r="J138" s="28"/>
      <c r="K138" s="28"/>
      <c r="L138" s="28"/>
      <c r="M138" s="28"/>
      <c r="N138" s="28"/>
      <c r="O138" s="28"/>
      <c r="P138" s="28"/>
      <c r="Q138" s="28"/>
      <c r="R138" s="28"/>
      <c r="S138" s="28"/>
      <c r="T138" s="28"/>
      <c r="U138" s="28"/>
      <c r="V138" s="28"/>
      <c r="W138" s="28"/>
      <c r="X138" s="28"/>
      <c r="Y138" s="28"/>
      <c r="Z138" s="28"/>
    </row>
    <row r="139" spans="1:26" ht="15.75" customHeight="1" x14ac:dyDescent="0.25">
      <c r="A139" s="56" t="s">
        <v>73</v>
      </c>
      <c r="B139" s="301"/>
      <c r="C139" s="47">
        <v>17.43333333333333</v>
      </c>
      <c r="D139" s="47">
        <v>25</v>
      </c>
      <c r="E139" s="47">
        <v>25</v>
      </c>
      <c r="F139" s="28"/>
      <c r="G139" s="28"/>
      <c r="H139" s="3"/>
      <c r="I139" s="28"/>
      <c r="J139" s="28"/>
      <c r="K139" s="28"/>
      <c r="L139" s="28"/>
      <c r="M139" s="28"/>
      <c r="N139" s="28"/>
      <c r="O139" s="28"/>
      <c r="P139" s="28"/>
      <c r="Q139" s="28"/>
      <c r="R139" s="28"/>
      <c r="S139" s="28"/>
      <c r="T139" s="28"/>
      <c r="U139" s="28"/>
      <c r="V139" s="28"/>
      <c r="W139" s="28"/>
      <c r="X139" s="28"/>
      <c r="Y139" s="28"/>
      <c r="Z139" s="28"/>
    </row>
    <row r="140" spans="1:26" ht="15.75" customHeight="1" x14ac:dyDescent="0.25">
      <c r="A140" s="92"/>
      <c r="B140" s="69"/>
      <c r="C140" s="69"/>
      <c r="D140" s="25"/>
      <c r="E140" s="25"/>
      <c r="F140" s="28"/>
      <c r="G140" s="28"/>
      <c r="H140" s="3"/>
      <c r="I140" s="28"/>
      <c r="J140" s="28"/>
      <c r="K140" s="28"/>
      <c r="L140" s="28"/>
      <c r="M140" s="28"/>
      <c r="N140" s="28"/>
      <c r="O140" s="28"/>
      <c r="P140" s="28"/>
      <c r="Q140" s="28"/>
      <c r="R140" s="28"/>
      <c r="S140" s="28"/>
      <c r="T140" s="28"/>
      <c r="U140" s="28"/>
      <c r="V140" s="28"/>
      <c r="W140" s="28"/>
      <c r="X140" s="28"/>
      <c r="Y140" s="28"/>
      <c r="Z140" s="28"/>
    </row>
    <row r="141" spans="1:26" ht="15.75" customHeight="1" x14ac:dyDescent="0.25">
      <c r="A141" s="56" t="s">
        <v>80</v>
      </c>
      <c r="B141" s="309" t="s">
        <v>77</v>
      </c>
      <c r="C141" s="47">
        <v>117</v>
      </c>
      <c r="D141" s="47">
        <v>69</v>
      </c>
      <c r="E141" s="47">
        <v>69</v>
      </c>
      <c r="F141" s="28"/>
      <c r="G141" s="28"/>
      <c r="H141" s="3"/>
      <c r="I141" s="28"/>
      <c r="J141" s="28"/>
      <c r="K141" s="28"/>
      <c r="L141" s="28"/>
      <c r="M141" s="28"/>
      <c r="N141" s="28"/>
      <c r="O141" s="28"/>
      <c r="P141" s="28"/>
      <c r="Q141" s="28"/>
      <c r="R141" s="28"/>
      <c r="S141" s="28"/>
      <c r="T141" s="28"/>
      <c r="U141" s="28"/>
      <c r="V141" s="28"/>
      <c r="W141" s="28"/>
      <c r="X141" s="28"/>
      <c r="Y141" s="28"/>
      <c r="Z141" s="28"/>
    </row>
    <row r="142" spans="1:26" ht="15.75" customHeight="1" x14ac:dyDescent="0.25">
      <c r="A142" s="56" t="s">
        <v>78</v>
      </c>
      <c r="B142" s="300"/>
      <c r="C142" s="47">
        <v>188</v>
      </c>
      <c r="D142" s="47">
        <v>101</v>
      </c>
      <c r="E142" s="47">
        <v>101</v>
      </c>
      <c r="F142" s="28"/>
      <c r="G142" s="28"/>
      <c r="H142" s="3"/>
      <c r="I142" s="28"/>
      <c r="J142" s="28"/>
      <c r="K142" s="28"/>
      <c r="L142" s="28"/>
      <c r="M142" s="28"/>
      <c r="N142" s="28"/>
      <c r="O142" s="28"/>
      <c r="P142" s="28"/>
      <c r="Q142" s="28"/>
      <c r="R142" s="28"/>
      <c r="S142" s="28"/>
      <c r="T142" s="28"/>
      <c r="U142" s="28"/>
      <c r="V142" s="28"/>
      <c r="W142" s="28"/>
      <c r="X142" s="28"/>
      <c r="Y142" s="28"/>
      <c r="Z142" s="28"/>
    </row>
    <row r="143" spans="1:26" ht="15.75" customHeight="1" x14ac:dyDescent="0.25">
      <c r="A143" s="56" t="s">
        <v>76</v>
      </c>
      <c r="B143" s="300"/>
      <c r="C143" s="50">
        <v>218</v>
      </c>
      <c r="D143" s="47">
        <v>147</v>
      </c>
      <c r="E143" s="47">
        <v>147</v>
      </c>
      <c r="F143" s="28"/>
      <c r="G143" s="28"/>
      <c r="H143" s="3"/>
      <c r="I143" s="28"/>
      <c r="J143" s="28"/>
      <c r="K143" s="28"/>
      <c r="L143" s="28"/>
      <c r="M143" s="28"/>
      <c r="N143" s="28"/>
      <c r="O143" s="28"/>
      <c r="P143" s="28"/>
      <c r="Q143" s="28"/>
      <c r="R143" s="28"/>
      <c r="S143" s="28"/>
      <c r="T143" s="28"/>
      <c r="U143" s="28"/>
      <c r="V143" s="28"/>
      <c r="W143" s="28"/>
      <c r="X143" s="28"/>
      <c r="Y143" s="28"/>
      <c r="Z143" s="28"/>
    </row>
    <row r="144" spans="1:26" ht="15.75" customHeight="1" x14ac:dyDescent="0.25">
      <c r="A144" s="57" t="s">
        <v>79</v>
      </c>
      <c r="B144" s="300"/>
      <c r="C144" s="134">
        <v>239</v>
      </c>
      <c r="D144" s="47">
        <v>209</v>
      </c>
      <c r="E144" s="47">
        <v>209</v>
      </c>
      <c r="F144" s="28"/>
      <c r="G144" s="28"/>
      <c r="H144" s="3"/>
      <c r="I144" s="28"/>
      <c r="J144" s="28"/>
      <c r="K144" s="28"/>
      <c r="L144" s="28"/>
      <c r="M144" s="28"/>
      <c r="N144" s="28"/>
      <c r="O144" s="28"/>
      <c r="P144" s="28"/>
      <c r="Q144" s="28"/>
      <c r="R144" s="28"/>
      <c r="S144" s="28"/>
      <c r="T144" s="28"/>
      <c r="U144" s="28"/>
      <c r="V144" s="28"/>
      <c r="W144" s="28"/>
      <c r="X144" s="28"/>
      <c r="Y144" s="28"/>
      <c r="Z144" s="28"/>
    </row>
    <row r="145" spans="1:26" ht="15.75" customHeight="1" x14ac:dyDescent="0.25">
      <c r="A145" s="132"/>
      <c r="B145" s="133"/>
      <c r="C145" s="133"/>
      <c r="D145" s="133"/>
      <c r="E145" s="133"/>
      <c r="F145" s="28"/>
      <c r="G145" s="28"/>
      <c r="H145" s="3"/>
      <c r="I145" s="28"/>
      <c r="J145" s="28"/>
      <c r="K145" s="28"/>
      <c r="L145" s="28"/>
      <c r="M145" s="28"/>
      <c r="N145" s="28"/>
      <c r="O145" s="28"/>
      <c r="P145" s="28"/>
      <c r="Q145" s="28"/>
      <c r="R145" s="28"/>
      <c r="S145" s="28"/>
      <c r="T145" s="28"/>
      <c r="U145" s="28"/>
      <c r="V145" s="28"/>
      <c r="W145" s="28"/>
      <c r="X145" s="28"/>
      <c r="Y145" s="28"/>
      <c r="Z145" s="28"/>
    </row>
    <row r="146" spans="1:26" ht="15.75" customHeight="1" x14ac:dyDescent="0.25">
      <c r="A146" s="9" t="s">
        <v>81</v>
      </c>
      <c r="B146" s="299" t="s">
        <v>82</v>
      </c>
      <c r="C146" s="11">
        <v>2</v>
      </c>
      <c r="D146" s="47">
        <v>1</v>
      </c>
      <c r="E146" s="47">
        <v>1</v>
      </c>
      <c r="F146" s="28"/>
      <c r="G146" s="28"/>
      <c r="H146" s="3"/>
      <c r="I146" s="28"/>
      <c r="J146" s="28"/>
      <c r="K146" s="28"/>
      <c r="L146" s="28"/>
      <c r="M146" s="28"/>
      <c r="N146" s="28"/>
      <c r="O146" s="28"/>
      <c r="P146" s="28"/>
      <c r="Q146" s="28"/>
      <c r="R146" s="28"/>
      <c r="S146" s="28"/>
      <c r="T146" s="28"/>
      <c r="U146" s="28"/>
      <c r="V146" s="28"/>
      <c r="W146" s="28"/>
      <c r="X146" s="28"/>
      <c r="Y146" s="28"/>
      <c r="Z146" s="28"/>
    </row>
    <row r="147" spans="1:26" ht="15.75" customHeight="1" x14ac:dyDescent="0.25">
      <c r="A147" s="9" t="s">
        <v>83</v>
      </c>
      <c r="B147" s="300"/>
      <c r="C147" s="11">
        <v>7.133</v>
      </c>
      <c r="D147" s="47">
        <v>2</v>
      </c>
      <c r="E147" s="47">
        <v>2</v>
      </c>
      <c r="F147" s="28"/>
      <c r="G147" s="28"/>
      <c r="H147" s="3"/>
      <c r="I147" s="28"/>
      <c r="J147" s="28"/>
      <c r="K147" s="28"/>
      <c r="L147" s="28"/>
      <c r="M147" s="28"/>
      <c r="N147" s="28"/>
      <c r="O147" s="28"/>
      <c r="P147" s="28"/>
      <c r="Q147" s="28"/>
      <c r="R147" s="28"/>
      <c r="S147" s="28"/>
      <c r="T147" s="28"/>
      <c r="U147" s="28"/>
      <c r="V147" s="28"/>
      <c r="W147" s="28"/>
      <c r="X147" s="28"/>
      <c r="Y147" s="28"/>
      <c r="Z147" s="28"/>
    </row>
    <row r="148" spans="1:26" ht="15.75" customHeight="1" x14ac:dyDescent="0.25">
      <c r="A148" s="9" t="s">
        <v>155</v>
      </c>
      <c r="B148" s="301"/>
      <c r="C148" s="11">
        <v>10.72</v>
      </c>
      <c r="D148" s="47">
        <v>2</v>
      </c>
      <c r="E148" s="47">
        <v>2</v>
      </c>
      <c r="F148" s="28"/>
      <c r="G148" s="28"/>
      <c r="H148" s="3"/>
      <c r="I148" s="28"/>
      <c r="J148" s="28"/>
      <c r="K148" s="28"/>
      <c r="L148" s="28"/>
      <c r="M148" s="28"/>
      <c r="N148" s="28"/>
      <c r="O148" s="28"/>
      <c r="P148" s="28"/>
      <c r="Q148" s="28"/>
      <c r="R148" s="28"/>
      <c r="S148" s="28"/>
      <c r="T148" s="28"/>
      <c r="U148" s="28"/>
      <c r="V148" s="28"/>
      <c r="W148" s="28"/>
      <c r="X148" s="28"/>
      <c r="Y148" s="28"/>
      <c r="Z148" s="28"/>
    </row>
    <row r="149" spans="1:26" ht="15.75" customHeight="1" x14ac:dyDescent="0.25">
      <c r="A149" s="41"/>
      <c r="B149" s="125"/>
      <c r="C149" s="42"/>
      <c r="D149" s="25"/>
      <c r="E149" s="25"/>
      <c r="F149" s="28"/>
      <c r="G149" s="28"/>
      <c r="H149" s="3"/>
      <c r="I149" s="28"/>
      <c r="J149" s="28"/>
      <c r="K149" s="28"/>
      <c r="L149" s="28"/>
      <c r="M149" s="28"/>
      <c r="N149" s="28"/>
      <c r="O149" s="28"/>
      <c r="P149" s="28"/>
      <c r="Q149" s="28"/>
      <c r="R149" s="28"/>
      <c r="S149" s="28"/>
      <c r="T149" s="28"/>
      <c r="U149" s="28"/>
      <c r="V149" s="28"/>
      <c r="W149" s="28"/>
      <c r="X149" s="28"/>
      <c r="Y149" s="28"/>
      <c r="Z149" s="28"/>
    </row>
    <row r="150" spans="1:26" ht="15.75" customHeight="1" x14ac:dyDescent="0.25">
      <c r="A150" s="129" t="s">
        <v>86</v>
      </c>
      <c r="B150" s="302" t="s">
        <v>87</v>
      </c>
      <c r="C150" s="51">
        <v>19</v>
      </c>
      <c r="D150" s="47">
        <v>20</v>
      </c>
      <c r="E150" s="47">
        <v>20</v>
      </c>
      <c r="F150" s="28"/>
      <c r="G150" s="28"/>
      <c r="H150" s="3"/>
      <c r="I150" s="28"/>
      <c r="J150" s="28"/>
      <c r="K150" s="28"/>
      <c r="L150" s="28"/>
      <c r="M150" s="28"/>
      <c r="N150" s="28"/>
      <c r="O150" s="28"/>
      <c r="P150" s="28"/>
      <c r="Q150" s="28"/>
      <c r="R150" s="28"/>
      <c r="S150" s="28"/>
      <c r="T150" s="28"/>
      <c r="U150" s="28"/>
      <c r="V150" s="28"/>
      <c r="W150" s="28"/>
      <c r="X150" s="28"/>
      <c r="Y150" s="28"/>
      <c r="Z150" s="28"/>
    </row>
    <row r="151" spans="1:26" ht="15.75" customHeight="1" x14ac:dyDescent="0.25">
      <c r="A151" s="12" t="s">
        <v>88</v>
      </c>
      <c r="B151" s="301"/>
      <c r="C151" s="25">
        <v>20</v>
      </c>
      <c r="D151" s="47">
        <v>20</v>
      </c>
      <c r="E151" s="47">
        <v>20</v>
      </c>
      <c r="F151" s="28"/>
      <c r="G151" s="28"/>
      <c r="H151" s="3"/>
      <c r="I151" s="28"/>
      <c r="J151" s="28"/>
      <c r="K151" s="28"/>
      <c r="L151" s="28"/>
      <c r="M151" s="28"/>
      <c r="N151" s="28"/>
      <c r="O151" s="28"/>
      <c r="P151" s="28"/>
      <c r="Q151" s="28"/>
      <c r="R151" s="28"/>
      <c r="S151" s="28"/>
      <c r="T151" s="28"/>
      <c r="U151" s="28"/>
      <c r="V151" s="28"/>
      <c r="W151" s="28"/>
      <c r="X151" s="28"/>
      <c r="Y151" s="28"/>
      <c r="Z151" s="28"/>
    </row>
    <row r="152" spans="1:26" ht="15.75" customHeight="1" x14ac:dyDescent="0.25">
      <c r="A152" s="132"/>
      <c r="B152" s="133"/>
      <c r="C152" s="133"/>
      <c r="D152" s="133"/>
      <c r="E152" s="133"/>
      <c r="F152" s="28"/>
      <c r="G152" s="28"/>
      <c r="H152" s="3"/>
      <c r="I152" s="28"/>
      <c r="J152" s="28"/>
      <c r="K152" s="28"/>
      <c r="L152" s="28"/>
      <c r="M152" s="28"/>
      <c r="N152" s="28"/>
      <c r="O152" s="28"/>
      <c r="P152" s="28"/>
      <c r="Q152" s="28"/>
      <c r="R152" s="28"/>
      <c r="S152" s="28"/>
      <c r="T152" s="28"/>
      <c r="U152" s="28"/>
      <c r="V152" s="28"/>
      <c r="W152" s="28"/>
      <c r="X152" s="28"/>
      <c r="Y152" s="28"/>
      <c r="Z152" s="28"/>
    </row>
    <row r="153" spans="1:26" ht="15.75" customHeight="1" x14ac:dyDescent="0.25">
      <c r="A153" s="8" t="s">
        <v>89</v>
      </c>
      <c r="B153" s="302" t="s">
        <v>90</v>
      </c>
      <c r="C153" s="25">
        <v>6</v>
      </c>
      <c r="D153" s="47">
        <v>13</v>
      </c>
      <c r="E153" s="47">
        <v>13</v>
      </c>
      <c r="F153" s="28"/>
      <c r="G153" s="28"/>
      <c r="H153" s="3"/>
      <c r="I153" s="28"/>
      <c r="J153" s="28"/>
      <c r="K153" s="28"/>
      <c r="L153" s="28"/>
      <c r="M153" s="28"/>
      <c r="N153" s="28"/>
      <c r="O153" s="28"/>
      <c r="P153" s="28"/>
      <c r="Q153" s="28"/>
      <c r="R153" s="28"/>
      <c r="S153" s="28"/>
      <c r="T153" s="28"/>
      <c r="U153" s="28"/>
      <c r="V153" s="28"/>
      <c r="W153" s="28"/>
      <c r="X153" s="28"/>
      <c r="Y153" s="28"/>
      <c r="Z153" s="28"/>
    </row>
    <row r="154" spans="1:26" ht="15.75" customHeight="1" x14ac:dyDescent="0.25">
      <c r="A154" s="126" t="s">
        <v>91</v>
      </c>
      <c r="B154" s="301"/>
      <c r="C154" s="11">
        <v>16</v>
      </c>
      <c r="D154" s="47">
        <v>14</v>
      </c>
      <c r="E154" s="47">
        <v>14</v>
      </c>
      <c r="F154" s="28"/>
      <c r="G154" s="28"/>
      <c r="H154" s="3"/>
      <c r="I154" s="28"/>
      <c r="J154" s="28"/>
      <c r="K154" s="28"/>
      <c r="L154" s="28"/>
      <c r="M154" s="28"/>
      <c r="N154" s="28"/>
      <c r="O154" s="28"/>
      <c r="P154" s="28"/>
      <c r="Q154" s="28"/>
      <c r="R154" s="28"/>
      <c r="S154" s="28"/>
      <c r="T154" s="28"/>
      <c r="U154" s="28"/>
      <c r="V154" s="28"/>
      <c r="W154" s="28"/>
      <c r="X154" s="28"/>
      <c r="Y154" s="28"/>
      <c r="Z154" s="28"/>
    </row>
    <row r="155" spans="1:26" ht="15.75" customHeight="1" x14ac:dyDescent="0.25">
      <c r="A155" s="135"/>
      <c r="B155" s="136"/>
      <c r="C155" s="136"/>
      <c r="D155" s="25"/>
      <c r="E155" s="25"/>
      <c r="F155" s="28"/>
      <c r="G155" s="28"/>
      <c r="H155" s="3"/>
      <c r="I155" s="28"/>
      <c r="J155" s="28"/>
      <c r="K155" s="28"/>
      <c r="L155" s="28"/>
      <c r="M155" s="28"/>
      <c r="N155" s="28"/>
      <c r="O155" s="28"/>
      <c r="P155" s="28"/>
      <c r="Q155" s="28"/>
      <c r="R155" s="28"/>
      <c r="S155" s="28"/>
      <c r="T155" s="28"/>
      <c r="U155" s="28"/>
      <c r="V155" s="28"/>
      <c r="W155" s="28"/>
      <c r="X155" s="28"/>
      <c r="Y155" s="28"/>
      <c r="Z155" s="28"/>
    </row>
    <row r="156" spans="1:26" ht="15.75" customHeight="1" x14ac:dyDescent="0.25">
      <c r="A156" s="9" t="s">
        <v>94</v>
      </c>
      <c r="B156" s="299" t="s">
        <v>95</v>
      </c>
      <c r="C156" s="47">
        <v>49.666666666666664</v>
      </c>
      <c r="D156" s="47">
        <v>49</v>
      </c>
      <c r="E156" s="47">
        <v>49</v>
      </c>
      <c r="F156" s="28"/>
      <c r="G156" s="28"/>
      <c r="H156" s="3"/>
      <c r="I156" s="28"/>
      <c r="J156" s="28"/>
      <c r="K156" s="28"/>
      <c r="L156" s="28"/>
      <c r="M156" s="28"/>
      <c r="N156" s="28"/>
      <c r="O156" s="28"/>
      <c r="P156" s="28"/>
      <c r="Q156" s="28"/>
      <c r="R156" s="28"/>
      <c r="S156" s="28"/>
      <c r="T156" s="28"/>
      <c r="U156" s="28"/>
      <c r="V156" s="28"/>
      <c r="W156" s="28"/>
      <c r="X156" s="28"/>
      <c r="Y156" s="28"/>
      <c r="Z156" s="28"/>
    </row>
    <row r="157" spans="1:26" ht="15.75" customHeight="1" x14ac:dyDescent="0.25">
      <c r="A157" s="9" t="s">
        <v>96</v>
      </c>
      <c r="B157" s="300"/>
      <c r="C157" s="47">
        <v>122</v>
      </c>
      <c r="D157" s="47">
        <v>90</v>
      </c>
      <c r="E157" s="47">
        <v>90</v>
      </c>
      <c r="F157" s="28"/>
      <c r="G157" s="28"/>
      <c r="H157" s="3"/>
      <c r="I157" s="28"/>
      <c r="J157" s="28"/>
      <c r="K157" s="28"/>
      <c r="L157" s="28"/>
      <c r="M157" s="28"/>
      <c r="N157" s="28"/>
      <c r="O157" s="28"/>
      <c r="P157" s="28"/>
      <c r="Q157" s="28"/>
      <c r="R157" s="28"/>
      <c r="S157" s="28"/>
      <c r="T157" s="28"/>
      <c r="U157" s="28"/>
      <c r="V157" s="28"/>
      <c r="W157" s="28"/>
      <c r="X157" s="28"/>
      <c r="Y157" s="28"/>
      <c r="Z157" s="28"/>
    </row>
    <row r="158" spans="1:26" ht="15.75" customHeight="1" x14ac:dyDescent="0.25">
      <c r="A158" s="9" t="s">
        <v>97</v>
      </c>
      <c r="B158" s="300"/>
      <c r="C158" s="47">
        <v>130</v>
      </c>
      <c r="D158" s="47">
        <v>80</v>
      </c>
      <c r="E158" s="47">
        <v>80</v>
      </c>
      <c r="F158" s="28"/>
      <c r="G158" s="28"/>
      <c r="H158" s="3"/>
      <c r="I158" s="28"/>
      <c r="J158" s="28"/>
      <c r="K158" s="28"/>
      <c r="L158" s="28"/>
      <c r="M158" s="28"/>
      <c r="N158" s="28"/>
      <c r="O158" s="28"/>
      <c r="P158" s="28"/>
      <c r="Q158" s="28"/>
      <c r="R158" s="28"/>
      <c r="S158" s="28"/>
      <c r="T158" s="28"/>
      <c r="U158" s="28"/>
      <c r="V158" s="28"/>
      <c r="W158" s="28"/>
      <c r="X158" s="28"/>
      <c r="Y158" s="28"/>
      <c r="Z158" s="28"/>
    </row>
    <row r="159" spans="1:26" ht="15.75" customHeight="1" x14ac:dyDescent="0.25">
      <c r="A159" s="9" t="s">
        <v>98</v>
      </c>
      <c r="B159" s="300"/>
      <c r="C159" s="47">
        <v>142</v>
      </c>
      <c r="D159" s="47">
        <v>90</v>
      </c>
      <c r="E159" s="47">
        <v>90</v>
      </c>
      <c r="F159" s="28"/>
      <c r="G159" s="28"/>
      <c r="H159" s="3"/>
      <c r="I159" s="28"/>
      <c r="J159" s="28"/>
      <c r="K159" s="28"/>
      <c r="L159" s="28"/>
      <c r="M159" s="28"/>
      <c r="N159" s="28"/>
      <c r="O159" s="28"/>
      <c r="P159" s="28"/>
      <c r="Q159" s="28"/>
      <c r="R159" s="28"/>
      <c r="S159" s="28"/>
      <c r="T159" s="28"/>
      <c r="U159" s="28"/>
      <c r="V159" s="28"/>
      <c r="W159" s="28"/>
      <c r="X159" s="28"/>
      <c r="Y159" s="28"/>
      <c r="Z159" s="28"/>
    </row>
    <row r="160" spans="1:26" ht="15.75" customHeight="1" x14ac:dyDescent="0.25">
      <c r="A160" s="9" t="s">
        <v>99</v>
      </c>
      <c r="B160" s="301"/>
      <c r="C160" s="47">
        <v>146</v>
      </c>
      <c r="D160" s="47">
        <v>105</v>
      </c>
      <c r="E160" s="47">
        <v>105</v>
      </c>
      <c r="F160" s="28"/>
      <c r="G160" s="28"/>
      <c r="H160" s="3"/>
      <c r="I160" s="28"/>
      <c r="J160" s="28"/>
      <c r="K160" s="28"/>
      <c r="L160" s="28"/>
      <c r="M160" s="28"/>
      <c r="N160" s="28"/>
      <c r="O160" s="28"/>
      <c r="P160" s="28"/>
      <c r="Q160" s="28"/>
      <c r="R160" s="28"/>
      <c r="S160" s="28"/>
      <c r="T160" s="28"/>
      <c r="U160" s="28"/>
      <c r="V160" s="28"/>
      <c r="W160" s="28"/>
      <c r="X160" s="28"/>
      <c r="Y160" s="28"/>
      <c r="Z160" s="28"/>
    </row>
    <row r="161" spans="1:26" ht="15.75" customHeight="1" x14ac:dyDescent="0.25">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5.75" customHeight="1" x14ac:dyDescent="0.2"/>
    <row r="163" spans="1:26" ht="15.75" customHeight="1" x14ac:dyDescent="0.2"/>
    <row r="164" spans="1:26" ht="15.75" customHeight="1" x14ac:dyDescent="0.2"/>
    <row r="165" spans="1:26" ht="15.75" customHeight="1" x14ac:dyDescent="0.2"/>
    <row r="166" spans="1:26" ht="15.75" customHeight="1" x14ac:dyDescent="0.2"/>
    <row r="167" spans="1:26" ht="15.75" customHeight="1" x14ac:dyDescent="0.2"/>
    <row r="168" spans="1:26" ht="15.75" customHeight="1" x14ac:dyDescent="0.2"/>
    <row r="169" spans="1:26" ht="15.75" customHeight="1" x14ac:dyDescent="0.2"/>
    <row r="170" spans="1:26" ht="15.75" customHeight="1" x14ac:dyDescent="0.2"/>
    <row r="171" spans="1:26" ht="15.75" customHeight="1" x14ac:dyDescent="0.2"/>
    <row r="172" spans="1:26" ht="15.75" customHeight="1" x14ac:dyDescent="0.2"/>
    <row r="173" spans="1:26" ht="15.75" customHeight="1" x14ac:dyDescent="0.2"/>
    <row r="174" spans="1:26" ht="15.75" customHeight="1" x14ac:dyDescent="0.2"/>
    <row r="175" spans="1:26" ht="15.75" customHeight="1" x14ac:dyDescent="0.2"/>
    <row r="176" spans="1:2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7">
    <mergeCell ref="B150:B151"/>
    <mergeCell ref="B153:B154"/>
    <mergeCell ref="B156:B160"/>
    <mergeCell ref="B109:B113"/>
    <mergeCell ref="B115:B119"/>
    <mergeCell ref="B121:B122"/>
    <mergeCell ref="B124:B128"/>
    <mergeCell ref="B130:B132"/>
    <mergeCell ref="B134:B135"/>
    <mergeCell ref="B137:B139"/>
    <mergeCell ref="B56:B58"/>
    <mergeCell ref="B60:B61"/>
    <mergeCell ref="B63:B65"/>
    <mergeCell ref="B141:B144"/>
    <mergeCell ref="B146:B148"/>
    <mergeCell ref="J98:M98"/>
    <mergeCell ref="C99:H99"/>
    <mergeCell ref="A107:E107"/>
    <mergeCell ref="G108:L108"/>
    <mergeCell ref="G109:I109"/>
    <mergeCell ref="J109:L109"/>
    <mergeCell ref="A33:E33"/>
    <mergeCell ref="G34:L34"/>
    <mergeCell ref="G35:I35"/>
    <mergeCell ref="J35:L35"/>
    <mergeCell ref="J94:M94"/>
    <mergeCell ref="B67:B70"/>
    <mergeCell ref="B72:B74"/>
    <mergeCell ref="B76:B77"/>
    <mergeCell ref="B79:B80"/>
    <mergeCell ref="B82:B86"/>
    <mergeCell ref="J93:M93"/>
    <mergeCell ref="C94:H94"/>
    <mergeCell ref="B35:B39"/>
    <mergeCell ref="B41:B45"/>
    <mergeCell ref="B47:B48"/>
    <mergeCell ref="B50:B54"/>
    <mergeCell ref="J15:M15"/>
    <mergeCell ref="C16:H16"/>
    <mergeCell ref="J16:M16"/>
    <mergeCell ref="J20:M20"/>
    <mergeCell ref="C21:H21"/>
    <mergeCell ref="J2:M2"/>
    <mergeCell ref="C3:H3"/>
    <mergeCell ref="J3:M3"/>
    <mergeCell ref="J7:M7"/>
    <mergeCell ref="C8:H8"/>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2.625" defaultRowHeight="15" customHeight="1" x14ac:dyDescent="0.2"/>
  <cols>
    <col min="1" max="5" width="10" customWidth="1"/>
    <col min="6" max="6" width="11" customWidth="1"/>
    <col min="7" max="13" width="10" customWidth="1"/>
    <col min="14" max="14" width="12.25" customWidth="1"/>
    <col min="15" max="26" width="10" customWidth="1"/>
  </cols>
  <sheetData>
    <row r="1" spans="2:15" x14ac:dyDescent="0.25">
      <c r="B1" s="304" t="s">
        <v>245</v>
      </c>
      <c r="C1" s="297"/>
      <c r="D1" s="297"/>
      <c r="E1" s="297"/>
      <c r="F1" s="298"/>
      <c r="G1" s="137"/>
      <c r="K1" s="3"/>
    </row>
    <row r="2" spans="2:15" ht="24.75" customHeight="1" x14ac:dyDescent="0.2">
      <c r="B2" s="4" t="s">
        <v>0</v>
      </c>
      <c r="C2" s="5" t="s">
        <v>1</v>
      </c>
      <c r="D2" s="5" t="s">
        <v>2</v>
      </c>
      <c r="E2" s="5" t="s">
        <v>3</v>
      </c>
      <c r="F2" s="7" t="s">
        <v>4</v>
      </c>
      <c r="G2" s="45" t="s">
        <v>125</v>
      </c>
      <c r="H2" s="138" t="s">
        <v>4</v>
      </c>
      <c r="J2" s="296" t="s">
        <v>6</v>
      </c>
      <c r="K2" s="297"/>
      <c r="L2" s="297"/>
      <c r="M2" s="297"/>
      <c r="N2" s="297"/>
      <c r="O2" s="298"/>
    </row>
    <row r="3" spans="2:15" ht="14.25" x14ac:dyDescent="0.2">
      <c r="B3" s="9" t="s">
        <v>7</v>
      </c>
      <c r="C3" s="302" t="s">
        <v>9</v>
      </c>
      <c r="D3" s="11">
        <v>28.1</v>
      </c>
      <c r="E3" s="11">
        <v>24</v>
      </c>
      <c r="F3" s="16">
        <f t="shared" ref="F3:F7" si="0">((D3-E3)/D3)</f>
        <v>0.14590747330960857</v>
      </c>
      <c r="G3" s="139">
        <v>62</v>
      </c>
      <c r="H3" s="140">
        <f t="shared" ref="H3:H7" si="1">((D3-G3)/D3)</f>
        <v>-1.2064056939501777</v>
      </c>
      <c r="J3" s="296" t="s">
        <v>106</v>
      </c>
      <c r="K3" s="297"/>
      <c r="L3" s="298"/>
      <c r="M3" s="296" t="s">
        <v>107</v>
      </c>
      <c r="N3" s="297"/>
      <c r="O3" s="298"/>
    </row>
    <row r="4" spans="2:15" ht="14.25" x14ac:dyDescent="0.2">
      <c r="B4" s="9" t="s">
        <v>17</v>
      </c>
      <c r="C4" s="300"/>
      <c r="D4" s="11">
        <v>63.911000000000001</v>
      </c>
      <c r="E4" s="11">
        <v>57</v>
      </c>
      <c r="F4" s="16">
        <f t="shared" si="0"/>
        <v>0.10813474988656102</v>
      </c>
      <c r="G4" s="139">
        <v>67</v>
      </c>
      <c r="H4" s="140">
        <f t="shared" si="1"/>
        <v>-4.8332837852638803E-2</v>
      </c>
      <c r="J4" s="13" t="s">
        <v>13</v>
      </c>
      <c r="K4" s="14">
        <v>610</v>
      </c>
      <c r="L4" s="17" t="s">
        <v>249</v>
      </c>
      <c r="M4" s="13" t="s">
        <v>13</v>
      </c>
      <c r="N4" s="14">
        <f>N6+N6*0.05</f>
        <v>687.75</v>
      </c>
      <c r="O4" s="17" t="s">
        <v>250</v>
      </c>
    </row>
    <row r="5" spans="2:15" ht="14.25" x14ac:dyDescent="0.2">
      <c r="B5" s="9" t="s">
        <v>26</v>
      </c>
      <c r="C5" s="300"/>
      <c r="D5" s="11">
        <v>69.921999999999997</v>
      </c>
      <c r="E5" s="11">
        <v>59</v>
      </c>
      <c r="F5" s="16">
        <f t="shared" si="0"/>
        <v>0.15620262578301533</v>
      </c>
      <c r="G5" s="139">
        <v>71</v>
      </c>
      <c r="H5" s="140">
        <f t="shared" si="1"/>
        <v>-1.5417179142473085E-2</v>
      </c>
      <c r="J5" s="13" t="s">
        <v>19</v>
      </c>
      <c r="K5" s="18">
        <v>674</v>
      </c>
      <c r="L5" s="17" t="s">
        <v>251</v>
      </c>
      <c r="M5" s="13" t="s">
        <v>19</v>
      </c>
      <c r="N5" s="18">
        <f>N6-N6*0.05</f>
        <v>622.25</v>
      </c>
      <c r="O5" s="17" t="s">
        <v>252</v>
      </c>
    </row>
    <row r="6" spans="2:15" ht="14.25" x14ac:dyDescent="0.2">
      <c r="B6" s="9" t="s">
        <v>32</v>
      </c>
      <c r="C6" s="300"/>
      <c r="D6" s="11">
        <v>96.744</v>
      </c>
      <c r="E6" s="11">
        <v>72</v>
      </c>
      <c r="F6" s="16">
        <f t="shared" si="0"/>
        <v>0.25576779955346068</v>
      </c>
      <c r="G6" s="139">
        <v>86</v>
      </c>
      <c r="H6" s="140">
        <f t="shared" si="1"/>
        <v>0.11105598279996692</v>
      </c>
      <c r="J6" s="13" t="s">
        <v>27</v>
      </c>
      <c r="K6" s="20">
        <v>655</v>
      </c>
      <c r="L6" s="17" t="s">
        <v>253</v>
      </c>
      <c r="M6" s="13" t="s">
        <v>27</v>
      </c>
      <c r="N6" s="20">
        <v>655</v>
      </c>
      <c r="O6" s="17" t="s">
        <v>254</v>
      </c>
    </row>
    <row r="7" spans="2:15" ht="14.25" x14ac:dyDescent="0.2">
      <c r="B7" s="9" t="s">
        <v>33</v>
      </c>
      <c r="C7" s="301"/>
      <c r="D7" s="11">
        <v>128.11000000000001</v>
      </c>
      <c r="E7" s="11">
        <v>104</v>
      </c>
      <c r="F7" s="16">
        <f t="shared" si="0"/>
        <v>0.18819764265084701</v>
      </c>
      <c r="G7" s="139">
        <v>122</v>
      </c>
      <c r="H7" s="140">
        <f t="shared" si="1"/>
        <v>4.7693388494262842E-2</v>
      </c>
      <c r="J7" s="13" t="s">
        <v>121</v>
      </c>
      <c r="K7" s="20">
        <v>580</v>
      </c>
      <c r="L7" s="17" t="s">
        <v>255</v>
      </c>
      <c r="M7" s="13" t="s">
        <v>121</v>
      </c>
      <c r="N7" s="20">
        <v>654</v>
      </c>
      <c r="O7" s="17" t="s">
        <v>256</v>
      </c>
    </row>
    <row r="8" spans="2:15" x14ac:dyDescent="0.25">
      <c r="B8" s="296"/>
      <c r="C8" s="297"/>
      <c r="D8" s="297"/>
      <c r="E8" s="297"/>
      <c r="F8" s="298"/>
      <c r="G8" s="139"/>
      <c r="H8" s="140"/>
      <c r="K8" s="3"/>
    </row>
    <row r="9" spans="2:15" x14ac:dyDescent="0.25">
      <c r="B9" s="9" t="s">
        <v>35</v>
      </c>
      <c r="C9" s="302" t="s">
        <v>36</v>
      </c>
      <c r="D9" s="11">
        <v>207.78</v>
      </c>
      <c r="E9" s="11">
        <v>153</v>
      </c>
      <c r="F9" s="16">
        <f t="shared" ref="F9:F13" si="2">((D9-E9)/D9)</f>
        <v>0.26364423909904705</v>
      </c>
      <c r="G9" s="139">
        <v>208</v>
      </c>
      <c r="H9" s="140">
        <f t="shared" ref="H9:H13" si="3">((D9-G9)/D9)</f>
        <v>-1.0588122052170509E-3</v>
      </c>
      <c r="K9" s="3"/>
    </row>
    <row r="10" spans="2:15" x14ac:dyDescent="0.25">
      <c r="B10" s="9" t="s">
        <v>37</v>
      </c>
      <c r="C10" s="300"/>
      <c r="D10" s="11">
        <v>444.11</v>
      </c>
      <c r="E10" s="11">
        <v>177</v>
      </c>
      <c r="F10" s="16">
        <f t="shared" si="2"/>
        <v>0.60145009119362325</v>
      </c>
      <c r="G10" s="139">
        <v>238</v>
      </c>
      <c r="H10" s="140">
        <f t="shared" si="3"/>
        <v>0.46409673279142555</v>
      </c>
      <c r="K10" s="3"/>
    </row>
    <row r="11" spans="2:15" x14ac:dyDescent="0.25">
      <c r="B11" s="9" t="s">
        <v>38</v>
      </c>
      <c r="C11" s="300"/>
      <c r="D11" s="11">
        <v>579.55999999999995</v>
      </c>
      <c r="E11" s="11">
        <v>414</v>
      </c>
      <c r="F11" s="16">
        <f t="shared" si="2"/>
        <v>0.28566498723169292</v>
      </c>
      <c r="G11" s="139">
        <v>469</v>
      </c>
      <c r="H11" s="140">
        <f t="shared" si="3"/>
        <v>0.19076540824073426</v>
      </c>
      <c r="K11" s="3"/>
    </row>
    <row r="12" spans="2:15" x14ac:dyDescent="0.25">
      <c r="B12" s="9" t="s">
        <v>39</v>
      </c>
      <c r="C12" s="300"/>
      <c r="D12" s="11">
        <v>746.22</v>
      </c>
      <c r="E12" s="11">
        <v>579</v>
      </c>
      <c r="F12" s="16">
        <f t="shared" si="2"/>
        <v>0.22408941062957308</v>
      </c>
      <c r="G12" s="139">
        <v>657</v>
      </c>
      <c r="H12" s="140">
        <f t="shared" si="3"/>
        <v>0.11956259548122541</v>
      </c>
      <c r="K12" s="3"/>
    </row>
    <row r="13" spans="2:15" x14ac:dyDescent="0.25">
      <c r="B13" s="49" t="s">
        <v>41</v>
      </c>
      <c r="C13" s="300"/>
      <c r="D13" s="51">
        <v>869.5</v>
      </c>
      <c r="E13" s="51">
        <v>612</v>
      </c>
      <c r="F13" s="141">
        <f t="shared" si="2"/>
        <v>0.29614721104082808</v>
      </c>
      <c r="G13" s="142">
        <v>695</v>
      </c>
      <c r="H13" s="143">
        <f t="shared" si="3"/>
        <v>0.20069005175388155</v>
      </c>
      <c r="K13" s="3"/>
    </row>
    <row r="14" spans="2:15" x14ac:dyDescent="0.25">
      <c r="B14" s="308"/>
      <c r="C14" s="297"/>
      <c r="D14" s="297"/>
      <c r="E14" s="297"/>
      <c r="F14" s="297"/>
      <c r="G14" s="297"/>
      <c r="H14" s="298"/>
      <c r="K14" s="3"/>
    </row>
    <row r="15" spans="2:15" x14ac:dyDescent="0.25">
      <c r="B15" s="9" t="s">
        <v>46</v>
      </c>
      <c r="C15" s="299" t="s">
        <v>47</v>
      </c>
      <c r="D15" s="11">
        <v>88.4</v>
      </c>
      <c r="E15" s="11">
        <v>66</v>
      </c>
      <c r="F15" s="16">
        <f t="shared" ref="F15:F17" si="4">((D15-E15)/D15)</f>
        <v>0.25339366515837108</v>
      </c>
      <c r="G15" s="144">
        <v>87</v>
      </c>
      <c r="H15" s="145">
        <f t="shared" ref="H15:H17" si="5">((D15-G15)/D15)</f>
        <v>1.5837104072398252E-2</v>
      </c>
      <c r="K15" s="3"/>
    </row>
    <row r="16" spans="2:15" x14ac:dyDescent="0.25">
      <c r="B16" s="9" t="s">
        <v>48</v>
      </c>
      <c r="C16" s="300"/>
      <c r="D16" s="11">
        <v>94.6</v>
      </c>
      <c r="E16" s="11">
        <v>67</v>
      </c>
      <c r="F16" s="16">
        <f t="shared" si="4"/>
        <v>0.29175475687103591</v>
      </c>
      <c r="G16" s="139">
        <v>90</v>
      </c>
      <c r="H16" s="140">
        <f t="shared" si="5"/>
        <v>4.8625792811839263E-2</v>
      </c>
      <c r="K16" s="3"/>
    </row>
    <row r="17" spans="2:11" x14ac:dyDescent="0.25">
      <c r="B17" s="9" t="s">
        <v>49</v>
      </c>
      <c r="C17" s="301"/>
      <c r="D17" s="11">
        <v>123.11669999999999</v>
      </c>
      <c r="E17" s="11"/>
      <c r="F17" s="16">
        <f t="shared" si="4"/>
        <v>1</v>
      </c>
      <c r="G17" s="139"/>
      <c r="H17" s="140">
        <f t="shared" si="5"/>
        <v>1</v>
      </c>
      <c r="K17" s="3"/>
    </row>
    <row r="18" spans="2:11" x14ac:dyDescent="0.25">
      <c r="B18" s="296"/>
      <c r="C18" s="297"/>
      <c r="D18" s="297"/>
      <c r="E18" s="297"/>
      <c r="F18" s="298"/>
      <c r="G18" s="139"/>
      <c r="H18" s="140"/>
      <c r="K18" s="3"/>
    </row>
    <row r="19" spans="2:11" x14ac:dyDescent="0.25">
      <c r="B19" s="9" t="s">
        <v>50</v>
      </c>
      <c r="C19" s="302" t="s">
        <v>51</v>
      </c>
      <c r="D19" s="11">
        <v>271.44400000000002</v>
      </c>
      <c r="E19" s="11">
        <v>205</v>
      </c>
      <c r="F19" s="16">
        <f t="shared" ref="F19:F23" si="6">((D19-E19)/D19)</f>
        <v>0.24477977041305024</v>
      </c>
      <c r="G19" s="139">
        <v>268</v>
      </c>
      <c r="H19" s="140">
        <f t="shared" ref="H19:H23" si="7">((D19-G19)/D19)</f>
        <v>1.2687699857060818E-2</v>
      </c>
      <c r="K19" s="3"/>
    </row>
    <row r="20" spans="2:11" x14ac:dyDescent="0.25">
      <c r="B20" s="9" t="s">
        <v>54</v>
      </c>
      <c r="C20" s="300"/>
      <c r="D20" s="11">
        <v>550.22199999999998</v>
      </c>
      <c r="E20" s="11">
        <v>230</v>
      </c>
      <c r="F20" s="16">
        <f t="shared" si="6"/>
        <v>0.5819869071029512</v>
      </c>
      <c r="G20" s="139">
        <v>286</v>
      </c>
      <c r="H20" s="140">
        <f t="shared" si="7"/>
        <v>0.48020980622366971</v>
      </c>
      <c r="K20" s="3"/>
    </row>
    <row r="21" spans="2:11" ht="15.75" customHeight="1" x14ac:dyDescent="0.25">
      <c r="B21" s="9" t="s">
        <v>55</v>
      </c>
      <c r="C21" s="300"/>
      <c r="D21" s="11">
        <v>609</v>
      </c>
      <c r="E21" s="11">
        <v>605</v>
      </c>
      <c r="F21" s="16">
        <f t="shared" si="6"/>
        <v>6.5681444991789817E-3</v>
      </c>
      <c r="G21" s="139">
        <v>658</v>
      </c>
      <c r="H21" s="140">
        <f t="shared" si="7"/>
        <v>-8.0459770114942528E-2</v>
      </c>
      <c r="K21" s="3"/>
    </row>
    <row r="22" spans="2:11" ht="15.75" customHeight="1" x14ac:dyDescent="0.25">
      <c r="B22" s="9" t="s">
        <v>56</v>
      </c>
      <c r="C22" s="300"/>
      <c r="D22" s="11">
        <v>739.11099999999999</v>
      </c>
      <c r="E22" s="11">
        <v>675</v>
      </c>
      <c r="F22" s="16">
        <f t="shared" si="6"/>
        <v>8.6740692534680169E-2</v>
      </c>
      <c r="G22" s="139">
        <v>735</v>
      </c>
      <c r="H22" s="140">
        <f t="shared" si="7"/>
        <v>5.5620874266517342E-3</v>
      </c>
      <c r="K22" s="3"/>
    </row>
    <row r="23" spans="2:11" ht="15.75" customHeight="1" x14ac:dyDescent="0.25">
      <c r="B23" s="49" t="s">
        <v>57</v>
      </c>
      <c r="C23" s="300"/>
      <c r="D23" s="51">
        <v>746.88900000000001</v>
      </c>
      <c r="E23" s="51">
        <v>346</v>
      </c>
      <c r="F23" s="141">
        <f t="shared" si="6"/>
        <v>0.53674508528040976</v>
      </c>
      <c r="G23" s="142">
        <v>603</v>
      </c>
      <c r="H23" s="143">
        <f t="shared" si="7"/>
        <v>0.19265111683262173</v>
      </c>
      <c r="K23" s="3"/>
    </row>
    <row r="24" spans="2:11" ht="15.75" customHeight="1" x14ac:dyDescent="0.25">
      <c r="B24" s="308"/>
      <c r="C24" s="297"/>
      <c r="D24" s="297"/>
      <c r="E24" s="297"/>
      <c r="F24" s="297"/>
      <c r="G24" s="297"/>
      <c r="H24" s="298"/>
      <c r="K24" s="3"/>
    </row>
    <row r="25" spans="2:11" ht="15.75" customHeight="1" x14ac:dyDescent="0.25">
      <c r="B25" s="9" t="s">
        <v>60</v>
      </c>
      <c r="C25" s="299" t="s">
        <v>62</v>
      </c>
      <c r="D25" s="11">
        <v>19.36</v>
      </c>
      <c r="E25" s="11">
        <v>13</v>
      </c>
      <c r="F25" s="16">
        <f t="shared" ref="F25:F27" si="8">((D25-E25)/D25)</f>
        <v>0.32851239669421484</v>
      </c>
      <c r="G25" s="144">
        <v>19</v>
      </c>
      <c r="H25" s="145">
        <f t="shared" ref="H25:H27" si="9">((D25-G25)/D25)</f>
        <v>1.8595041322314022E-2</v>
      </c>
      <c r="K25" s="3"/>
    </row>
    <row r="26" spans="2:11" ht="15.75" customHeight="1" x14ac:dyDescent="0.25">
      <c r="B26" s="9" t="s">
        <v>64</v>
      </c>
      <c r="C26" s="300"/>
      <c r="D26" s="11">
        <v>33.31</v>
      </c>
      <c r="E26" s="11">
        <v>19</v>
      </c>
      <c r="F26" s="16">
        <f t="shared" si="8"/>
        <v>0.42960072050435311</v>
      </c>
      <c r="G26" s="139">
        <v>34</v>
      </c>
      <c r="H26" s="140">
        <f t="shared" si="9"/>
        <v>-2.0714500150105005E-2</v>
      </c>
      <c r="K26" s="3"/>
    </row>
    <row r="27" spans="2:11" ht="15.75" customHeight="1" x14ac:dyDescent="0.25">
      <c r="B27" s="9" t="s">
        <v>65</v>
      </c>
      <c r="C27" s="301"/>
      <c r="D27" s="11">
        <v>41.74</v>
      </c>
      <c r="E27" s="11">
        <v>15</v>
      </c>
      <c r="F27" s="16">
        <f t="shared" si="8"/>
        <v>0.64063248682319118</v>
      </c>
      <c r="G27" s="139">
        <v>21</v>
      </c>
      <c r="H27" s="140">
        <f t="shared" si="9"/>
        <v>0.4968854815524677</v>
      </c>
      <c r="K27" s="3"/>
    </row>
    <row r="28" spans="2:11" ht="15.75" customHeight="1" x14ac:dyDescent="0.25">
      <c r="B28" s="296"/>
      <c r="C28" s="297"/>
      <c r="D28" s="297"/>
      <c r="E28" s="297"/>
      <c r="F28" s="298"/>
      <c r="G28" s="139"/>
      <c r="H28" s="140"/>
      <c r="K28" s="3"/>
    </row>
    <row r="29" spans="2:11" ht="15.75" customHeight="1" x14ac:dyDescent="0.25">
      <c r="B29" s="9" t="s">
        <v>66</v>
      </c>
      <c r="C29" s="302" t="s">
        <v>68</v>
      </c>
      <c r="D29" s="11">
        <v>204.5</v>
      </c>
      <c r="E29" s="11">
        <v>175</v>
      </c>
      <c r="F29" s="16">
        <f t="shared" ref="F29:F30" si="10">((D29-E29)/D29)</f>
        <v>0.14425427872860636</v>
      </c>
      <c r="G29" s="139">
        <v>217</v>
      </c>
      <c r="H29" s="140">
        <f t="shared" ref="H29:H30" si="11">((D29-G29)/D29)</f>
        <v>-6.1124694376528114E-2</v>
      </c>
      <c r="K29" s="3"/>
    </row>
    <row r="30" spans="2:11" ht="15.75" customHeight="1" x14ac:dyDescent="0.25">
      <c r="B30" s="49" t="s">
        <v>69</v>
      </c>
      <c r="C30" s="300"/>
      <c r="D30" s="51">
        <v>277.7</v>
      </c>
      <c r="E30" s="51">
        <v>231</v>
      </c>
      <c r="F30" s="141">
        <f t="shared" si="10"/>
        <v>0.16816708678429956</v>
      </c>
      <c r="G30" s="142">
        <v>289</v>
      </c>
      <c r="H30" s="143">
        <f t="shared" si="11"/>
        <v>-4.0691393590205301E-2</v>
      </c>
      <c r="K30" s="3"/>
    </row>
    <row r="31" spans="2:11" ht="15.75" customHeight="1" x14ac:dyDescent="0.25">
      <c r="B31" s="305"/>
      <c r="C31" s="297"/>
      <c r="D31" s="297"/>
      <c r="E31" s="297"/>
      <c r="F31" s="297"/>
      <c r="G31" s="297"/>
      <c r="H31" s="298"/>
      <c r="K31" s="3"/>
    </row>
    <row r="32" spans="2:11" ht="15.75" customHeight="1" x14ac:dyDescent="0.25">
      <c r="B32" s="9" t="s">
        <v>69</v>
      </c>
      <c r="C32" s="299" t="s">
        <v>71</v>
      </c>
      <c r="D32" s="11">
        <v>10.283300000000001</v>
      </c>
      <c r="E32" s="11">
        <v>3</v>
      </c>
      <c r="F32" s="16">
        <f t="shared" ref="F32:F34" si="12">((D32-E32)/D32)</f>
        <v>0.70826485661217709</v>
      </c>
      <c r="G32" s="144">
        <v>10</v>
      </c>
      <c r="H32" s="145">
        <f t="shared" ref="H32:H34" si="13">((D32-G32)/D32)</f>
        <v>2.7549522040590135E-2</v>
      </c>
      <c r="K32" s="3"/>
    </row>
    <row r="33" spans="2:11" ht="15.75" customHeight="1" x14ac:dyDescent="0.25">
      <c r="B33" s="9" t="s">
        <v>72</v>
      </c>
      <c r="C33" s="300"/>
      <c r="D33" s="11">
        <v>11.8833</v>
      </c>
      <c r="E33" s="11">
        <v>4</v>
      </c>
      <c r="F33" s="16">
        <f t="shared" si="12"/>
        <v>0.66339316519821934</v>
      </c>
      <c r="G33" s="139">
        <v>13</v>
      </c>
      <c r="H33" s="140">
        <f t="shared" si="13"/>
        <v>-9.39722131057871E-2</v>
      </c>
      <c r="K33" s="3"/>
    </row>
    <row r="34" spans="2:11" ht="15.75" customHeight="1" x14ac:dyDescent="0.25">
      <c r="B34" s="9" t="s">
        <v>73</v>
      </c>
      <c r="C34" s="301"/>
      <c r="D34" s="11">
        <v>17.433299999999999</v>
      </c>
      <c r="E34" s="11">
        <v>8</v>
      </c>
      <c r="F34" s="16">
        <f t="shared" si="12"/>
        <v>0.54110810919332542</v>
      </c>
      <c r="G34" s="139">
        <v>17</v>
      </c>
      <c r="H34" s="140">
        <f t="shared" si="13"/>
        <v>2.4854732035816462E-2</v>
      </c>
      <c r="K34" s="3"/>
    </row>
    <row r="35" spans="2:11" ht="15.75" customHeight="1" x14ac:dyDescent="0.25">
      <c r="B35" s="296"/>
      <c r="C35" s="297"/>
      <c r="D35" s="297"/>
      <c r="E35" s="297"/>
      <c r="F35" s="298"/>
      <c r="G35" s="139"/>
      <c r="H35" s="140"/>
      <c r="K35" s="3"/>
    </row>
    <row r="36" spans="2:11" ht="15.75" customHeight="1" x14ac:dyDescent="0.25">
      <c r="B36" s="9" t="s">
        <v>76</v>
      </c>
      <c r="C36" s="302" t="s">
        <v>77</v>
      </c>
      <c r="D36" s="11">
        <v>117.467</v>
      </c>
      <c r="E36" s="11">
        <v>167</v>
      </c>
      <c r="F36" s="16">
        <f t="shared" ref="F36:F39" si="14">((D36-E36)/D36)</f>
        <v>-0.42167587492657516</v>
      </c>
      <c r="G36" s="139">
        <v>205</v>
      </c>
      <c r="H36" s="140">
        <f t="shared" ref="H36:H39" si="15">((D36-G36)/D36)</f>
        <v>-0.74517098419130479</v>
      </c>
      <c r="K36" s="3"/>
    </row>
    <row r="37" spans="2:11" ht="15.75" customHeight="1" x14ac:dyDescent="0.25">
      <c r="B37" s="9" t="s">
        <v>78</v>
      </c>
      <c r="C37" s="300"/>
      <c r="D37" s="11">
        <v>187.833</v>
      </c>
      <c r="E37" s="11">
        <v>114</v>
      </c>
      <c r="F37" s="16">
        <f t="shared" si="14"/>
        <v>0.39307789366085832</v>
      </c>
      <c r="G37" s="139">
        <v>147</v>
      </c>
      <c r="H37" s="140">
        <f t="shared" si="15"/>
        <v>0.21738991551005413</v>
      </c>
      <c r="K37" s="3"/>
    </row>
    <row r="38" spans="2:11" ht="15.75" customHeight="1" x14ac:dyDescent="0.25">
      <c r="B38" s="9" t="s">
        <v>79</v>
      </c>
      <c r="C38" s="300"/>
      <c r="D38" s="11">
        <v>218.333</v>
      </c>
      <c r="E38" s="11">
        <v>221</v>
      </c>
      <c r="F38" s="16">
        <f t="shared" si="14"/>
        <v>-1.2215285824863862E-2</v>
      </c>
      <c r="G38" s="139">
        <v>261</v>
      </c>
      <c r="H38" s="140">
        <f t="shared" si="15"/>
        <v>-0.19542167239949987</v>
      </c>
      <c r="K38" s="3"/>
    </row>
    <row r="39" spans="2:11" ht="15.75" customHeight="1" x14ac:dyDescent="0.25">
      <c r="B39" s="49" t="s">
        <v>80</v>
      </c>
      <c r="C39" s="300"/>
      <c r="D39" s="51">
        <v>238.5</v>
      </c>
      <c r="E39" s="51">
        <v>82</v>
      </c>
      <c r="F39" s="141">
        <f t="shared" si="14"/>
        <v>0.65618448637316562</v>
      </c>
      <c r="G39" s="142">
        <v>108</v>
      </c>
      <c r="H39" s="143">
        <f t="shared" si="15"/>
        <v>0.54716981132075471</v>
      </c>
      <c r="K39" s="3"/>
    </row>
    <row r="40" spans="2:11" ht="15.75" customHeight="1" x14ac:dyDescent="0.25">
      <c r="B40" s="305"/>
      <c r="C40" s="297"/>
      <c r="D40" s="297"/>
      <c r="E40" s="297"/>
      <c r="F40" s="297"/>
      <c r="G40" s="297"/>
      <c r="H40" s="298"/>
      <c r="K40" s="3"/>
    </row>
    <row r="41" spans="2:11" ht="15.75" customHeight="1" x14ac:dyDescent="0.25">
      <c r="B41" s="9" t="s">
        <v>81</v>
      </c>
      <c r="C41" s="299" t="s">
        <v>82</v>
      </c>
      <c r="D41" s="11">
        <v>2</v>
      </c>
      <c r="E41" s="11">
        <v>2</v>
      </c>
      <c r="F41" s="16">
        <f t="shared" ref="F41:F43" si="16">((D41-E41)/D41)</f>
        <v>0</v>
      </c>
      <c r="G41" s="144">
        <v>2</v>
      </c>
      <c r="H41" s="145">
        <f t="shared" ref="H41:H43" si="17">((D41-G41)/D41)</f>
        <v>0</v>
      </c>
      <c r="K41" s="3"/>
    </row>
    <row r="42" spans="2:11" ht="15.75" customHeight="1" x14ac:dyDescent="0.25">
      <c r="B42" s="9" t="s">
        <v>83</v>
      </c>
      <c r="C42" s="300"/>
      <c r="D42" s="11">
        <v>7.133</v>
      </c>
      <c r="E42" s="11">
        <v>2</v>
      </c>
      <c r="F42" s="16">
        <f t="shared" si="16"/>
        <v>0.71961306603112296</v>
      </c>
      <c r="G42" s="139">
        <v>18</v>
      </c>
      <c r="H42" s="140">
        <f t="shared" si="17"/>
        <v>-1.5234824057198937</v>
      </c>
      <c r="K42" s="3"/>
    </row>
    <row r="43" spans="2:11" ht="15.75" customHeight="1" x14ac:dyDescent="0.25">
      <c r="B43" s="9" t="s">
        <v>84</v>
      </c>
      <c r="C43" s="301"/>
      <c r="D43" s="11">
        <v>10.72</v>
      </c>
      <c r="E43" s="11">
        <v>2</v>
      </c>
      <c r="F43" s="16">
        <f t="shared" si="16"/>
        <v>0.81343283582089554</v>
      </c>
      <c r="G43" s="139">
        <v>2</v>
      </c>
      <c r="H43" s="140">
        <f t="shared" si="17"/>
        <v>0.81343283582089554</v>
      </c>
      <c r="K43" s="3"/>
    </row>
    <row r="44" spans="2:11" ht="15.75" customHeight="1" x14ac:dyDescent="0.25">
      <c r="B44" s="296"/>
      <c r="C44" s="297"/>
      <c r="D44" s="297"/>
      <c r="E44" s="297"/>
      <c r="F44" s="298"/>
      <c r="G44" s="139"/>
      <c r="H44" s="140"/>
      <c r="K44" s="3"/>
    </row>
    <row r="45" spans="2:11" ht="15.75" customHeight="1" x14ac:dyDescent="0.25">
      <c r="B45" s="9" t="s">
        <v>86</v>
      </c>
      <c r="C45" s="302" t="s">
        <v>87</v>
      </c>
      <c r="D45" s="11">
        <v>20.466999999999999</v>
      </c>
      <c r="E45" s="11">
        <v>19</v>
      </c>
      <c r="F45" s="16">
        <f t="shared" ref="F45:F46" si="18">((D45-E45)/D45)</f>
        <v>7.16763570625885E-2</v>
      </c>
      <c r="G45" s="139">
        <v>22</v>
      </c>
      <c r="H45" s="140">
        <f t="shared" ref="H45:H46" si="19">((D45-G45)/D45)</f>
        <v>-7.4901060243318579E-2</v>
      </c>
      <c r="K45" s="3"/>
    </row>
    <row r="46" spans="2:11" ht="15.75" customHeight="1" x14ac:dyDescent="0.25">
      <c r="B46" s="49" t="s">
        <v>88</v>
      </c>
      <c r="C46" s="300"/>
      <c r="D46" s="51">
        <v>20.367000000000001</v>
      </c>
      <c r="E46" s="51">
        <v>19</v>
      </c>
      <c r="F46" s="141">
        <f t="shared" si="18"/>
        <v>6.711837776795801E-2</v>
      </c>
      <c r="G46" s="142">
        <v>22</v>
      </c>
      <c r="H46" s="143">
        <f t="shared" si="19"/>
        <v>-8.0178720479206517E-2</v>
      </c>
      <c r="K46" s="3"/>
    </row>
    <row r="47" spans="2:11" ht="15.75" customHeight="1" x14ac:dyDescent="0.25">
      <c r="B47" s="305"/>
      <c r="C47" s="297"/>
      <c r="D47" s="297"/>
      <c r="E47" s="297"/>
      <c r="F47" s="297"/>
      <c r="G47" s="297"/>
      <c r="H47" s="298"/>
      <c r="K47" s="3"/>
    </row>
    <row r="48" spans="2:11" ht="15.75" customHeight="1" x14ac:dyDescent="0.25">
      <c r="B48" s="9" t="s">
        <v>89</v>
      </c>
      <c r="C48" s="299" t="s">
        <v>90</v>
      </c>
      <c r="D48" s="11">
        <v>5.15</v>
      </c>
      <c r="E48" s="11">
        <v>16</v>
      </c>
      <c r="F48" s="16">
        <f t="shared" ref="F48:F50" si="20">((D48-E48)/D48)</f>
        <v>-2.1067961165048543</v>
      </c>
      <c r="G48" s="144">
        <v>18</v>
      </c>
      <c r="H48" s="145">
        <f t="shared" ref="H48:H50" si="21">((D48-G48)/D48)</f>
        <v>-2.4951456310679609</v>
      </c>
      <c r="K48" s="3"/>
    </row>
    <row r="49" spans="2:12" ht="15.75" customHeight="1" x14ac:dyDescent="0.25">
      <c r="B49" s="9" t="s">
        <v>91</v>
      </c>
      <c r="C49" s="300"/>
      <c r="D49" s="11">
        <v>16.2</v>
      </c>
      <c r="E49" s="11">
        <v>16</v>
      </c>
      <c r="F49" s="16">
        <f t="shared" si="20"/>
        <v>1.2345679012345635E-2</v>
      </c>
      <c r="G49" s="139">
        <v>18</v>
      </c>
      <c r="H49" s="140">
        <f t="shared" si="21"/>
        <v>-0.11111111111111116</v>
      </c>
      <c r="K49" s="3"/>
    </row>
    <row r="50" spans="2:12" ht="15.75" customHeight="1" x14ac:dyDescent="0.25">
      <c r="B50" s="49" t="s">
        <v>92</v>
      </c>
      <c r="C50" s="300"/>
      <c r="D50" s="51">
        <v>17.260000000000002</v>
      </c>
      <c r="E50" s="51"/>
      <c r="F50" s="141">
        <f t="shared" si="20"/>
        <v>1</v>
      </c>
      <c r="G50" s="142"/>
      <c r="H50" s="143">
        <f t="shared" si="21"/>
        <v>1</v>
      </c>
      <c r="K50" s="3"/>
    </row>
    <row r="51" spans="2:12" ht="15.75" customHeight="1" x14ac:dyDescent="0.25">
      <c r="B51" s="296"/>
      <c r="C51" s="297"/>
      <c r="D51" s="297"/>
      <c r="E51" s="297"/>
      <c r="F51" s="297"/>
      <c r="G51" s="297"/>
      <c r="H51" s="298"/>
      <c r="K51" s="3"/>
    </row>
    <row r="52" spans="2:12" ht="15.75" customHeight="1" x14ac:dyDescent="0.25">
      <c r="B52" s="9" t="s">
        <v>94</v>
      </c>
      <c r="C52" s="299" t="s">
        <v>95</v>
      </c>
      <c r="D52" s="11">
        <v>50.082999999999998</v>
      </c>
      <c r="E52" s="11">
        <v>48</v>
      </c>
      <c r="F52" s="16">
        <f t="shared" ref="F52:F56" si="22">((D52-E52)/D52)</f>
        <v>4.1590959008046609E-2</v>
      </c>
      <c r="G52" s="144">
        <v>54</v>
      </c>
      <c r="H52" s="145">
        <f t="shared" ref="H52:H56" si="23">((D52-G52)/D52)</f>
        <v>-7.8210171115947566E-2</v>
      </c>
      <c r="K52" s="3"/>
    </row>
    <row r="53" spans="2:12" ht="15.75" customHeight="1" x14ac:dyDescent="0.25">
      <c r="B53" s="9" t="s">
        <v>96</v>
      </c>
      <c r="C53" s="300"/>
      <c r="D53" s="11">
        <v>93.992999999999995</v>
      </c>
      <c r="E53" s="11">
        <v>55</v>
      </c>
      <c r="F53" s="16">
        <f t="shared" si="22"/>
        <v>0.41485004202440606</v>
      </c>
      <c r="G53" s="139">
        <v>114</v>
      </c>
      <c r="H53" s="140">
        <f t="shared" si="23"/>
        <v>-0.21285627653123113</v>
      </c>
      <c r="K53" s="3"/>
    </row>
    <row r="54" spans="2:12" ht="15.75" customHeight="1" x14ac:dyDescent="0.25">
      <c r="B54" s="9" t="s">
        <v>97</v>
      </c>
      <c r="C54" s="300"/>
      <c r="D54" s="11">
        <v>95.516999999999996</v>
      </c>
      <c r="E54" s="11">
        <v>49</v>
      </c>
      <c r="F54" s="16">
        <f t="shared" si="22"/>
        <v>0.48700231372425851</v>
      </c>
      <c r="G54" s="139">
        <v>55</v>
      </c>
      <c r="H54" s="140">
        <f t="shared" si="23"/>
        <v>0.42418627050682073</v>
      </c>
      <c r="K54" s="3"/>
    </row>
    <row r="55" spans="2:12" ht="15.75" customHeight="1" x14ac:dyDescent="0.25">
      <c r="B55" s="9" t="s">
        <v>98</v>
      </c>
      <c r="C55" s="300"/>
      <c r="D55" s="11">
        <v>100.92</v>
      </c>
      <c r="E55" s="11">
        <v>56</v>
      </c>
      <c r="F55" s="16">
        <f t="shared" si="22"/>
        <v>0.44510503369005155</v>
      </c>
      <c r="G55" s="139">
        <v>114</v>
      </c>
      <c r="H55" s="140">
        <f t="shared" si="23"/>
        <v>-0.12960760998810938</v>
      </c>
      <c r="K55" s="3"/>
    </row>
    <row r="56" spans="2:12" ht="15.75" customHeight="1" x14ac:dyDescent="0.25">
      <c r="B56" s="9" t="s">
        <v>99</v>
      </c>
      <c r="C56" s="301"/>
      <c r="D56" s="11">
        <v>115.37</v>
      </c>
      <c r="E56" s="11">
        <v>56</v>
      </c>
      <c r="F56" s="16">
        <f t="shared" si="22"/>
        <v>0.51460518332322092</v>
      </c>
      <c r="G56" s="139">
        <v>115</v>
      </c>
      <c r="H56" s="140">
        <f t="shared" si="23"/>
        <v>3.2070728959001866E-3</v>
      </c>
      <c r="K56" s="3"/>
    </row>
    <row r="57" spans="2:12" ht="15.75" customHeight="1" x14ac:dyDescent="0.25">
      <c r="B57" s="1"/>
      <c r="C57" s="1"/>
      <c r="D57" s="2"/>
      <c r="E57" s="2"/>
      <c r="F57" s="6"/>
      <c r="G57" s="146"/>
      <c r="H57" s="6"/>
      <c r="K57" s="3"/>
    </row>
    <row r="58" spans="2:12" ht="15.75" customHeight="1" x14ac:dyDescent="0.25">
      <c r="B58" s="1"/>
      <c r="C58" s="1"/>
      <c r="D58" s="2"/>
      <c r="E58" s="2"/>
      <c r="F58" s="6"/>
      <c r="G58" s="146"/>
      <c r="H58" s="6"/>
      <c r="K58" s="3"/>
    </row>
    <row r="59" spans="2:12" ht="15.75" customHeight="1" x14ac:dyDescent="0.25">
      <c r="G59" s="123"/>
      <c r="K59" s="3"/>
    </row>
    <row r="60" spans="2:12" ht="15.75" customHeight="1" x14ac:dyDescent="0.25">
      <c r="G60" s="123"/>
    </row>
    <row r="61" spans="2:12" ht="15.75" customHeight="1" x14ac:dyDescent="0.25">
      <c r="B61" s="28"/>
      <c r="C61" s="23"/>
      <c r="D61" s="23"/>
      <c r="E61" s="23"/>
      <c r="F61" s="23"/>
      <c r="G61" s="23"/>
      <c r="H61" s="28"/>
      <c r="I61" s="28"/>
      <c r="J61" s="28"/>
      <c r="K61" s="28"/>
      <c r="L61" s="28"/>
    </row>
    <row r="62" spans="2:12" ht="15.75" customHeight="1" x14ac:dyDescent="0.25">
      <c r="B62" s="332" t="s">
        <v>265</v>
      </c>
      <c r="C62" s="297"/>
      <c r="D62" s="297"/>
      <c r="E62" s="297"/>
      <c r="F62" s="297"/>
      <c r="G62" s="298"/>
    </row>
    <row r="63" spans="2:12" ht="15.75" customHeight="1" x14ac:dyDescent="0.2">
      <c r="B63" s="4" t="s">
        <v>0</v>
      </c>
      <c r="C63" s="5" t="s">
        <v>1</v>
      </c>
      <c r="D63" s="5" t="s">
        <v>42</v>
      </c>
      <c r="E63" s="5" t="s">
        <v>43</v>
      </c>
      <c r="F63" s="5" t="s">
        <v>44</v>
      </c>
      <c r="G63" s="7" t="s">
        <v>206</v>
      </c>
      <c r="I63" s="296" t="s">
        <v>45</v>
      </c>
      <c r="J63" s="297"/>
      <c r="K63" s="297"/>
      <c r="L63" s="298"/>
    </row>
    <row r="64" spans="2:12" ht="15.75" customHeight="1" x14ac:dyDescent="0.2">
      <c r="B64" s="310" t="s">
        <v>8</v>
      </c>
      <c r="C64" s="297"/>
      <c r="D64" s="297"/>
      <c r="E64" s="297"/>
      <c r="F64" s="297"/>
      <c r="G64" s="306"/>
      <c r="I64" s="305" t="s">
        <v>10</v>
      </c>
      <c r="J64" s="297"/>
      <c r="K64" s="297"/>
      <c r="L64" s="298"/>
    </row>
    <row r="65" spans="1:12" ht="15.75" customHeight="1" x14ac:dyDescent="0.2">
      <c r="B65" s="9" t="s">
        <v>11</v>
      </c>
      <c r="C65" s="12" t="s">
        <v>12</v>
      </c>
      <c r="D65" s="17">
        <v>750</v>
      </c>
      <c r="E65" s="22">
        <v>749</v>
      </c>
      <c r="F65" s="11">
        <v>740</v>
      </c>
      <c r="G65" s="110">
        <f>((E65-F65)/E65)</f>
        <v>1.2016021361815754E-2</v>
      </c>
      <c r="I65" s="12"/>
      <c r="J65" s="12" t="s">
        <v>52</v>
      </c>
      <c r="K65" s="12" t="s">
        <v>53</v>
      </c>
      <c r="L65" s="12"/>
    </row>
    <row r="66" spans="1:12" ht="15.75" customHeight="1" x14ac:dyDescent="0.2">
      <c r="B66" s="9" t="s">
        <v>11</v>
      </c>
      <c r="C66" s="12" t="s">
        <v>18</v>
      </c>
      <c r="D66" s="17">
        <v>0</v>
      </c>
      <c r="E66" s="22">
        <v>0</v>
      </c>
      <c r="F66" s="11">
        <v>0</v>
      </c>
      <c r="G66" s="110">
        <v>0</v>
      </c>
      <c r="I66" s="12" t="s">
        <v>12</v>
      </c>
      <c r="J66" s="17">
        <v>750</v>
      </c>
      <c r="K66" s="11">
        <v>740</v>
      </c>
      <c r="L66" s="17" t="s">
        <v>266</v>
      </c>
    </row>
    <row r="67" spans="1:12" ht="15.75" customHeight="1" x14ac:dyDescent="0.2">
      <c r="B67" s="9" t="s">
        <v>21</v>
      </c>
      <c r="C67" s="12" t="s">
        <v>59</v>
      </c>
      <c r="D67" s="17">
        <v>440</v>
      </c>
      <c r="E67" s="22">
        <v>460</v>
      </c>
      <c r="F67" s="11">
        <v>442</v>
      </c>
      <c r="G67" s="110">
        <f t="shared" ref="G67:G68" si="24">((E67-F67)/E67)</f>
        <v>3.9130434782608699E-2</v>
      </c>
      <c r="I67" s="12" t="s">
        <v>18</v>
      </c>
      <c r="J67" s="24">
        <v>0</v>
      </c>
      <c r="K67" s="25">
        <v>0</v>
      </c>
      <c r="L67" s="24" t="s">
        <v>267</v>
      </c>
    </row>
    <row r="68" spans="1:12" ht="15.75" customHeight="1" x14ac:dyDescent="0.2">
      <c r="B68" s="12" t="s">
        <v>21</v>
      </c>
      <c r="C68" s="12" t="s">
        <v>63</v>
      </c>
      <c r="D68" s="24">
        <v>160</v>
      </c>
      <c r="E68" s="26">
        <v>176</v>
      </c>
      <c r="F68" s="25">
        <v>159</v>
      </c>
      <c r="G68" s="148">
        <f t="shared" si="24"/>
        <v>9.6590909090909088E-2</v>
      </c>
      <c r="I68" s="330"/>
      <c r="J68" s="315"/>
      <c r="K68" s="315"/>
      <c r="L68" s="315"/>
    </row>
    <row r="69" spans="1:12" ht="15.75" customHeight="1" x14ac:dyDescent="0.25">
      <c r="A69" s="28"/>
      <c r="B69" s="329"/>
      <c r="C69" s="315"/>
      <c r="D69" s="315"/>
      <c r="E69" s="315"/>
      <c r="F69" s="315"/>
      <c r="G69" s="315"/>
      <c r="H69" s="28"/>
      <c r="I69" s="27"/>
      <c r="J69" s="27"/>
      <c r="K69" s="31"/>
      <c r="L69" s="27"/>
    </row>
    <row r="70" spans="1:12" ht="15.75" customHeight="1" x14ac:dyDescent="0.25">
      <c r="A70" s="28"/>
      <c r="B70" s="27"/>
      <c r="C70" s="27"/>
      <c r="D70" s="27"/>
      <c r="E70" s="38"/>
      <c r="F70" s="38"/>
      <c r="G70" s="149"/>
      <c r="H70" s="28"/>
      <c r="I70" s="27"/>
      <c r="J70" s="27"/>
      <c r="K70" s="31"/>
      <c r="L70" s="27"/>
    </row>
    <row r="71" spans="1:12" ht="15.75" customHeight="1" x14ac:dyDescent="0.25">
      <c r="A71" s="28"/>
      <c r="B71" s="27"/>
      <c r="C71" s="27"/>
      <c r="D71" s="27"/>
      <c r="E71" s="38"/>
      <c r="F71" s="38"/>
      <c r="G71" s="149"/>
      <c r="H71" s="28"/>
    </row>
    <row r="72" spans="1:12" ht="15.75" customHeight="1" x14ac:dyDescent="0.25">
      <c r="A72" s="28"/>
      <c r="B72" s="27" t="s">
        <v>270</v>
      </c>
      <c r="C72" s="27"/>
      <c r="D72" s="27"/>
      <c r="E72" s="38"/>
      <c r="F72" s="38"/>
      <c r="G72" s="149"/>
      <c r="H72" s="28"/>
    </row>
    <row r="73" spans="1:12" ht="15.75" customHeight="1" x14ac:dyDescent="0.25">
      <c r="A73" s="28"/>
      <c r="B73" s="27"/>
      <c r="C73" s="27"/>
      <c r="D73" s="27"/>
      <c r="E73" s="38"/>
      <c r="F73" s="38"/>
      <c r="G73" s="149"/>
      <c r="H73" s="28"/>
    </row>
    <row r="74" spans="1:12" ht="15.75" customHeight="1" x14ac:dyDescent="0.25">
      <c r="B74" s="28"/>
      <c r="C74" s="23"/>
      <c r="D74" s="23"/>
      <c r="E74" s="23"/>
      <c r="F74" s="23"/>
      <c r="G74" s="23"/>
      <c r="H74" s="28"/>
      <c r="I74" s="28"/>
      <c r="J74" s="28"/>
      <c r="K74" s="28"/>
      <c r="L74" s="28"/>
    </row>
    <row r="75" spans="1:12" ht="15.75" customHeight="1" x14ac:dyDescent="0.25">
      <c r="B75" s="332" t="s">
        <v>272</v>
      </c>
      <c r="C75" s="297"/>
      <c r="D75" s="297"/>
      <c r="E75" s="297"/>
      <c r="F75" s="297"/>
      <c r="G75" s="298"/>
    </row>
    <row r="76" spans="1:12" ht="15.75" customHeight="1" x14ac:dyDescent="0.2">
      <c r="B76" s="4" t="s">
        <v>0</v>
      </c>
      <c r="C76" s="5" t="s">
        <v>1</v>
      </c>
      <c r="D76" s="5" t="s">
        <v>42</v>
      </c>
      <c r="E76" s="5" t="s">
        <v>43</v>
      </c>
      <c r="F76" s="5" t="s">
        <v>44</v>
      </c>
      <c r="G76" s="7" t="s">
        <v>206</v>
      </c>
      <c r="I76" s="296" t="s">
        <v>45</v>
      </c>
      <c r="J76" s="297"/>
      <c r="K76" s="297"/>
      <c r="L76" s="298"/>
    </row>
    <row r="77" spans="1:12" ht="15.75" customHeight="1" x14ac:dyDescent="0.2">
      <c r="B77" s="310" t="s">
        <v>275</v>
      </c>
      <c r="C77" s="297"/>
      <c r="D77" s="297"/>
      <c r="E77" s="297"/>
      <c r="F77" s="297"/>
      <c r="G77" s="306"/>
      <c r="I77" s="305" t="s">
        <v>275</v>
      </c>
      <c r="J77" s="297"/>
      <c r="K77" s="297"/>
      <c r="L77" s="298"/>
    </row>
    <row r="78" spans="1:12" ht="15.75" customHeight="1" x14ac:dyDescent="0.2">
      <c r="B78" s="9" t="s">
        <v>11</v>
      </c>
      <c r="C78" s="12" t="s">
        <v>12</v>
      </c>
      <c r="D78" s="17">
        <v>760</v>
      </c>
      <c r="E78" s="22">
        <v>760</v>
      </c>
      <c r="F78" s="11">
        <v>840</v>
      </c>
      <c r="G78" s="110">
        <f>((E78-F78)/E78)</f>
        <v>-0.10526315789473684</v>
      </c>
      <c r="I78" s="12"/>
      <c r="J78" s="12" t="s">
        <v>52</v>
      </c>
      <c r="K78" s="12" t="s">
        <v>53</v>
      </c>
      <c r="L78" s="12"/>
    </row>
    <row r="79" spans="1:12" ht="15.75" customHeight="1" x14ac:dyDescent="0.2">
      <c r="B79" s="9" t="s">
        <v>11</v>
      </c>
      <c r="C79" s="12" t="s">
        <v>18</v>
      </c>
      <c r="D79" s="17">
        <v>0</v>
      </c>
      <c r="E79" s="22">
        <v>0</v>
      </c>
      <c r="F79" s="11">
        <v>0</v>
      </c>
      <c r="G79" s="110">
        <v>0</v>
      </c>
      <c r="I79" s="12" t="s">
        <v>12</v>
      </c>
      <c r="J79" s="17">
        <v>760</v>
      </c>
      <c r="K79" s="11">
        <v>840</v>
      </c>
      <c r="L79" s="17" t="s">
        <v>278</v>
      </c>
    </row>
    <row r="80" spans="1:12" ht="15.75" customHeight="1" x14ac:dyDescent="0.2">
      <c r="B80" s="9" t="s">
        <v>21</v>
      </c>
      <c r="C80" s="12" t="s">
        <v>59</v>
      </c>
      <c r="D80" s="17">
        <v>440</v>
      </c>
      <c r="E80" s="22">
        <v>443</v>
      </c>
      <c r="F80" s="11">
        <v>440</v>
      </c>
      <c r="G80" s="110">
        <f t="shared" ref="G80:G81" si="25">((E80-F80)/E80)</f>
        <v>6.7720090293453723E-3</v>
      </c>
      <c r="I80" s="12" t="s">
        <v>18</v>
      </c>
      <c r="J80" s="24">
        <v>0</v>
      </c>
      <c r="K80" s="25">
        <v>0</v>
      </c>
      <c r="L80" s="24" t="s">
        <v>280</v>
      </c>
    </row>
    <row r="81" spans="1:13" ht="15.75" customHeight="1" x14ac:dyDescent="0.2">
      <c r="B81" s="12" t="s">
        <v>21</v>
      </c>
      <c r="C81" s="12" t="s">
        <v>63</v>
      </c>
      <c r="D81" s="24">
        <v>160</v>
      </c>
      <c r="E81" s="26">
        <v>158</v>
      </c>
      <c r="F81" s="25">
        <v>158</v>
      </c>
      <c r="G81" s="148">
        <f t="shared" si="25"/>
        <v>0</v>
      </c>
      <c r="I81" s="330"/>
      <c r="J81" s="315"/>
      <c r="K81" s="315"/>
      <c r="L81" s="315"/>
    </row>
    <row r="82" spans="1:13" ht="15.75" customHeight="1" x14ac:dyDescent="0.25">
      <c r="A82" s="28"/>
      <c r="B82" s="329"/>
      <c r="C82" s="315"/>
      <c r="D82" s="315"/>
      <c r="E82" s="315"/>
      <c r="F82" s="315"/>
      <c r="G82" s="315"/>
      <c r="H82" s="28"/>
      <c r="I82" s="27"/>
      <c r="J82" s="27"/>
      <c r="K82" s="31"/>
      <c r="L82" s="27"/>
    </row>
    <row r="83" spans="1:13" ht="15.75" customHeight="1" x14ac:dyDescent="0.25">
      <c r="G83" s="123"/>
    </row>
    <row r="84" spans="1:13" ht="15.75" customHeight="1" x14ac:dyDescent="0.25">
      <c r="G84" s="123"/>
    </row>
    <row r="85" spans="1:13" ht="15.75" customHeight="1" x14ac:dyDescent="0.25">
      <c r="G85" s="123"/>
    </row>
    <row r="86" spans="1:13" ht="15.75" customHeight="1" x14ac:dyDescent="0.2">
      <c r="B86" s="43" t="s">
        <v>282</v>
      </c>
    </row>
    <row r="87" spans="1:13" ht="15.75" customHeight="1" x14ac:dyDescent="0.25">
      <c r="B87" s="304" t="s">
        <v>283</v>
      </c>
      <c r="C87" s="297"/>
      <c r="D87" s="297"/>
      <c r="E87" s="297"/>
      <c r="F87" s="154"/>
      <c r="I87" s="3"/>
    </row>
    <row r="88" spans="1:13" ht="15.75" customHeight="1" x14ac:dyDescent="0.2">
      <c r="B88" s="4" t="s">
        <v>0</v>
      </c>
      <c r="C88" s="5" t="s">
        <v>1</v>
      </c>
      <c r="D88" s="5" t="s">
        <v>2</v>
      </c>
      <c r="E88" s="5" t="s">
        <v>43</v>
      </c>
      <c r="F88" s="45" t="s">
        <v>125</v>
      </c>
      <c r="H88" s="296" t="s">
        <v>6</v>
      </c>
      <c r="I88" s="297"/>
      <c r="J88" s="297"/>
      <c r="K88" s="297"/>
      <c r="L88" s="297"/>
      <c r="M88" s="298"/>
    </row>
    <row r="89" spans="1:13" ht="15.75" customHeight="1" x14ac:dyDescent="0.2">
      <c r="B89" s="9" t="s">
        <v>7</v>
      </c>
      <c r="C89" s="302" t="s">
        <v>9</v>
      </c>
      <c r="D89" s="11">
        <v>28.1</v>
      </c>
      <c r="E89" s="11">
        <v>22</v>
      </c>
      <c r="F89" s="11">
        <v>75</v>
      </c>
      <c r="H89" s="296" t="s">
        <v>106</v>
      </c>
      <c r="I89" s="297"/>
      <c r="J89" s="298"/>
      <c r="K89" s="296" t="s">
        <v>107</v>
      </c>
      <c r="L89" s="297"/>
      <c r="M89" s="298"/>
    </row>
    <row r="90" spans="1:13" ht="15.75" customHeight="1" x14ac:dyDescent="0.2">
      <c r="B90" s="9" t="s">
        <v>17</v>
      </c>
      <c r="C90" s="300"/>
      <c r="D90" s="11">
        <v>63.911000000000001</v>
      </c>
      <c r="E90" s="11">
        <v>55</v>
      </c>
      <c r="F90" s="11">
        <v>81</v>
      </c>
      <c r="H90" s="13" t="s">
        <v>13</v>
      </c>
      <c r="I90" s="14">
        <v>688</v>
      </c>
      <c r="J90" s="17" t="s">
        <v>286</v>
      </c>
      <c r="K90" s="13" t="s">
        <v>13</v>
      </c>
      <c r="L90" s="14">
        <v>688</v>
      </c>
      <c r="M90" s="17" t="s">
        <v>288</v>
      </c>
    </row>
    <row r="91" spans="1:13" ht="15.75" customHeight="1" x14ac:dyDescent="0.2">
      <c r="B91" s="9" t="s">
        <v>26</v>
      </c>
      <c r="C91" s="300"/>
      <c r="D91" s="11">
        <v>69.921999999999997</v>
      </c>
      <c r="E91" s="11">
        <v>29</v>
      </c>
      <c r="F91" s="11">
        <v>81</v>
      </c>
      <c r="H91" s="13" t="s">
        <v>19</v>
      </c>
      <c r="I91" s="18">
        <v>622</v>
      </c>
      <c r="J91" s="17" t="s">
        <v>289</v>
      </c>
      <c r="K91" s="13" t="s">
        <v>19</v>
      </c>
      <c r="L91" s="18">
        <v>622</v>
      </c>
      <c r="M91" s="17" t="s">
        <v>291</v>
      </c>
    </row>
    <row r="92" spans="1:13" ht="15.75" customHeight="1" x14ac:dyDescent="0.2">
      <c r="B92" s="9" t="s">
        <v>32</v>
      </c>
      <c r="C92" s="300"/>
      <c r="D92" s="11">
        <v>96.744</v>
      </c>
      <c r="E92" s="11">
        <v>70</v>
      </c>
      <c r="F92" s="11">
        <v>98</v>
      </c>
      <c r="H92" s="13" t="s">
        <v>27</v>
      </c>
      <c r="I92" s="20">
        <v>655</v>
      </c>
      <c r="J92" s="17" t="s">
        <v>293</v>
      </c>
      <c r="K92" s="13" t="s">
        <v>27</v>
      </c>
      <c r="L92" s="20">
        <v>655</v>
      </c>
      <c r="M92" s="17" t="s">
        <v>294</v>
      </c>
    </row>
    <row r="93" spans="1:13" ht="15.75" customHeight="1" x14ac:dyDescent="0.2">
      <c r="B93" s="9" t="s">
        <v>33</v>
      </c>
      <c r="C93" s="301"/>
      <c r="D93" s="11">
        <v>128.11000000000001</v>
      </c>
      <c r="E93" s="11">
        <v>107</v>
      </c>
      <c r="F93" s="11">
        <v>134</v>
      </c>
      <c r="H93" s="13" t="s">
        <v>121</v>
      </c>
      <c r="I93" s="20">
        <v>558</v>
      </c>
      <c r="J93" s="17" t="s">
        <v>295</v>
      </c>
      <c r="K93" s="13" t="s">
        <v>121</v>
      </c>
      <c r="L93" s="20">
        <v>660</v>
      </c>
      <c r="M93" s="17" t="s">
        <v>296</v>
      </c>
    </row>
    <row r="94" spans="1:13" ht="15.75" customHeight="1" x14ac:dyDescent="0.25">
      <c r="B94" s="296"/>
      <c r="C94" s="297"/>
      <c r="D94" s="297"/>
      <c r="E94" s="297"/>
      <c r="F94" s="11"/>
      <c r="I94" s="3"/>
    </row>
    <row r="95" spans="1:13" ht="15.75" customHeight="1" x14ac:dyDescent="0.25">
      <c r="B95" s="9" t="s">
        <v>35</v>
      </c>
      <c r="C95" s="302" t="s">
        <v>36</v>
      </c>
      <c r="D95" s="11">
        <v>207.78</v>
      </c>
      <c r="E95" s="11">
        <v>146</v>
      </c>
      <c r="F95" s="11">
        <v>247</v>
      </c>
      <c r="I95" s="3"/>
    </row>
    <row r="96" spans="1:13" ht="15.75" customHeight="1" x14ac:dyDescent="0.25">
      <c r="B96" s="9" t="s">
        <v>37</v>
      </c>
      <c r="C96" s="300"/>
      <c r="D96" s="11">
        <v>444.11</v>
      </c>
      <c r="E96" s="11">
        <v>209</v>
      </c>
      <c r="F96" s="11">
        <v>431</v>
      </c>
      <c r="I96" s="3"/>
    </row>
    <row r="97" spans="2:9" ht="15.75" customHeight="1" x14ac:dyDescent="0.25">
      <c r="B97" s="9" t="s">
        <v>38</v>
      </c>
      <c r="C97" s="300"/>
      <c r="D97" s="11">
        <v>579.55999999999995</v>
      </c>
      <c r="E97" s="11">
        <v>402</v>
      </c>
      <c r="F97" s="11">
        <v>499</v>
      </c>
      <c r="I97" s="3"/>
    </row>
    <row r="98" spans="2:9" ht="15.75" customHeight="1" x14ac:dyDescent="0.25">
      <c r="B98" s="9" t="s">
        <v>39</v>
      </c>
      <c r="C98" s="300"/>
      <c r="D98" s="11">
        <v>746.22</v>
      </c>
      <c r="E98" s="11">
        <v>562</v>
      </c>
      <c r="F98" s="11">
        <v>658</v>
      </c>
      <c r="I98" s="3"/>
    </row>
    <row r="99" spans="2:9" ht="15.75" customHeight="1" x14ac:dyDescent="0.25">
      <c r="B99" s="49" t="s">
        <v>41</v>
      </c>
      <c r="C99" s="300"/>
      <c r="D99" s="51">
        <v>869.5</v>
      </c>
      <c r="E99" s="51">
        <v>606</v>
      </c>
      <c r="F99" s="11">
        <v>714</v>
      </c>
      <c r="I99" s="3"/>
    </row>
    <row r="100" spans="2:9" ht="15.75" customHeight="1" x14ac:dyDescent="0.25">
      <c r="B100" s="308"/>
      <c r="C100" s="297"/>
      <c r="D100" s="297"/>
      <c r="E100" s="297"/>
      <c r="F100" s="306"/>
      <c r="I100" s="3"/>
    </row>
    <row r="101" spans="2:9" ht="15.75" customHeight="1" x14ac:dyDescent="0.25">
      <c r="B101" s="9" t="s">
        <v>46</v>
      </c>
      <c r="C101" s="299" t="s">
        <v>47</v>
      </c>
      <c r="D101" s="11">
        <v>88.4</v>
      </c>
      <c r="E101" s="11">
        <v>62</v>
      </c>
      <c r="F101" s="11">
        <v>96</v>
      </c>
      <c r="I101" s="3"/>
    </row>
    <row r="102" spans="2:9" ht="15.75" customHeight="1" x14ac:dyDescent="0.25">
      <c r="B102" s="9" t="s">
        <v>48</v>
      </c>
      <c r="C102" s="300"/>
      <c r="D102" s="11">
        <v>94.6</v>
      </c>
      <c r="E102" s="11">
        <v>64</v>
      </c>
      <c r="F102" s="11">
        <v>102</v>
      </c>
      <c r="I102" s="3"/>
    </row>
    <row r="103" spans="2:9" ht="15.75" customHeight="1" x14ac:dyDescent="0.25">
      <c r="B103" s="296"/>
      <c r="C103" s="297"/>
      <c r="D103" s="297"/>
      <c r="E103" s="297"/>
      <c r="F103" s="11"/>
      <c r="I103" s="3"/>
    </row>
    <row r="104" spans="2:9" ht="15.75" customHeight="1" x14ac:dyDescent="0.25">
      <c r="B104" s="9" t="s">
        <v>50</v>
      </c>
      <c r="C104" s="302" t="s">
        <v>51</v>
      </c>
      <c r="D104" s="11">
        <v>271.44400000000002</v>
      </c>
      <c r="E104" s="11">
        <v>195</v>
      </c>
      <c r="F104" s="11">
        <v>302</v>
      </c>
      <c r="I104" s="3"/>
    </row>
    <row r="105" spans="2:9" ht="15.75" customHeight="1" x14ac:dyDescent="0.25">
      <c r="B105" s="9" t="s">
        <v>54</v>
      </c>
      <c r="C105" s="300"/>
      <c r="D105" s="11">
        <v>550.22199999999998</v>
      </c>
      <c r="E105" s="11">
        <v>242</v>
      </c>
      <c r="F105" s="11">
        <v>345</v>
      </c>
      <c r="I105" s="3"/>
    </row>
    <row r="106" spans="2:9" ht="15.75" customHeight="1" x14ac:dyDescent="0.25">
      <c r="B106" s="9" t="s">
        <v>55</v>
      </c>
      <c r="C106" s="300"/>
      <c r="D106" s="11">
        <v>609</v>
      </c>
      <c r="E106" s="11">
        <v>597</v>
      </c>
      <c r="F106" s="11">
        <v>667</v>
      </c>
      <c r="I106" s="3"/>
    </row>
    <row r="107" spans="2:9" ht="15.75" customHeight="1" x14ac:dyDescent="0.25">
      <c r="B107" s="9" t="s">
        <v>56</v>
      </c>
      <c r="C107" s="300"/>
      <c r="D107" s="11">
        <v>739.11099999999999</v>
      </c>
      <c r="E107" s="11">
        <v>663</v>
      </c>
      <c r="F107" s="11">
        <v>741</v>
      </c>
      <c r="I107" s="3"/>
    </row>
    <row r="108" spans="2:9" ht="15.75" customHeight="1" x14ac:dyDescent="0.25">
      <c r="B108" s="49" t="s">
        <v>57</v>
      </c>
      <c r="C108" s="300"/>
      <c r="D108" s="51">
        <v>746.88900000000001</v>
      </c>
      <c r="E108" s="51">
        <v>331</v>
      </c>
      <c r="F108" s="11">
        <v>616</v>
      </c>
      <c r="I108" s="3"/>
    </row>
    <row r="109" spans="2:9" ht="15.75" customHeight="1" x14ac:dyDescent="0.25">
      <c r="B109" s="308"/>
      <c r="C109" s="297"/>
      <c r="D109" s="297"/>
      <c r="E109" s="297"/>
      <c r="F109" s="306"/>
      <c r="I109" s="3"/>
    </row>
    <row r="110" spans="2:9" ht="15.75" customHeight="1" x14ac:dyDescent="0.25">
      <c r="B110" s="9" t="s">
        <v>60</v>
      </c>
      <c r="C110" s="299" t="s">
        <v>62</v>
      </c>
      <c r="D110" s="11">
        <v>19.36</v>
      </c>
      <c r="E110" s="11">
        <v>13</v>
      </c>
      <c r="F110" s="11">
        <v>34</v>
      </c>
      <c r="I110" s="3"/>
    </row>
    <row r="111" spans="2:9" ht="15.75" customHeight="1" x14ac:dyDescent="0.25">
      <c r="B111" s="9" t="s">
        <v>64</v>
      </c>
      <c r="C111" s="300"/>
      <c r="D111" s="11">
        <v>33.31</v>
      </c>
      <c r="E111" s="11">
        <v>20</v>
      </c>
      <c r="F111" s="11">
        <v>43</v>
      </c>
      <c r="I111" s="3"/>
    </row>
    <row r="112" spans="2:9" ht="15.75" customHeight="1" x14ac:dyDescent="0.25">
      <c r="B112" s="9" t="s">
        <v>65</v>
      </c>
      <c r="C112" s="301"/>
      <c r="D112" s="11">
        <v>41.74</v>
      </c>
      <c r="E112" s="11">
        <v>15</v>
      </c>
      <c r="F112" s="11">
        <v>37</v>
      </c>
      <c r="I112" s="3"/>
    </row>
    <row r="113" spans="2:9" ht="15.75" customHeight="1" x14ac:dyDescent="0.25">
      <c r="B113" s="296"/>
      <c r="C113" s="297"/>
      <c r="D113" s="297"/>
      <c r="E113" s="297"/>
      <c r="F113" s="11"/>
      <c r="I113" s="3"/>
    </row>
    <row r="114" spans="2:9" ht="15.75" customHeight="1" x14ac:dyDescent="0.25">
      <c r="B114" s="9" t="s">
        <v>66</v>
      </c>
      <c r="C114" s="302" t="s">
        <v>68</v>
      </c>
      <c r="D114" s="11">
        <v>204.5</v>
      </c>
      <c r="E114" s="11">
        <v>173</v>
      </c>
      <c r="F114" s="11">
        <v>240</v>
      </c>
      <c r="I114" s="3"/>
    </row>
    <row r="115" spans="2:9" ht="15.75" customHeight="1" x14ac:dyDescent="0.25">
      <c r="B115" s="49" t="s">
        <v>69</v>
      </c>
      <c r="C115" s="300"/>
      <c r="D115" s="51">
        <v>277.7</v>
      </c>
      <c r="E115" s="51">
        <v>234</v>
      </c>
      <c r="F115" s="11">
        <v>305</v>
      </c>
      <c r="I115" s="3"/>
    </row>
    <row r="116" spans="2:9" ht="15.75" customHeight="1" x14ac:dyDescent="0.25">
      <c r="B116" s="305"/>
      <c r="C116" s="297"/>
      <c r="D116" s="297"/>
      <c r="E116" s="297"/>
      <c r="F116" s="306"/>
      <c r="I116" s="3"/>
    </row>
    <row r="117" spans="2:9" ht="15.75" customHeight="1" x14ac:dyDescent="0.25">
      <c r="B117" s="9" t="s">
        <v>69</v>
      </c>
      <c r="C117" s="299" t="s">
        <v>71</v>
      </c>
      <c r="D117" s="11">
        <v>10.283300000000001</v>
      </c>
      <c r="E117" s="11">
        <v>4</v>
      </c>
      <c r="F117" s="11">
        <v>22</v>
      </c>
      <c r="I117" s="3"/>
    </row>
    <row r="118" spans="2:9" ht="15.75" customHeight="1" x14ac:dyDescent="0.25">
      <c r="B118" s="9" t="s">
        <v>72</v>
      </c>
      <c r="C118" s="300"/>
      <c r="D118" s="11">
        <v>11.8833</v>
      </c>
      <c r="E118" s="11">
        <v>4</v>
      </c>
      <c r="F118" s="11">
        <v>22</v>
      </c>
      <c r="I118" s="3"/>
    </row>
    <row r="119" spans="2:9" ht="15.75" customHeight="1" x14ac:dyDescent="0.25">
      <c r="B119" s="9" t="s">
        <v>73</v>
      </c>
      <c r="C119" s="301"/>
      <c r="D119" s="11">
        <v>17.433299999999999</v>
      </c>
      <c r="E119" s="11">
        <v>8</v>
      </c>
      <c r="F119" s="11">
        <v>27</v>
      </c>
      <c r="I119" s="3"/>
    </row>
    <row r="120" spans="2:9" ht="15.75" customHeight="1" x14ac:dyDescent="0.25">
      <c r="B120" s="296"/>
      <c r="C120" s="297"/>
      <c r="D120" s="297"/>
      <c r="E120" s="297"/>
      <c r="F120" s="11"/>
      <c r="I120" s="3"/>
    </row>
    <row r="121" spans="2:9" ht="15.75" customHeight="1" x14ac:dyDescent="0.25">
      <c r="B121" s="9" t="s">
        <v>76</v>
      </c>
      <c r="C121" s="302" t="s">
        <v>77</v>
      </c>
      <c r="D121" s="11">
        <v>117.467</v>
      </c>
      <c r="E121" s="11">
        <v>168</v>
      </c>
      <c r="F121" s="11">
        <v>231</v>
      </c>
      <c r="I121" s="3"/>
    </row>
    <row r="122" spans="2:9" ht="15.75" customHeight="1" x14ac:dyDescent="0.25">
      <c r="B122" s="9" t="s">
        <v>78</v>
      </c>
      <c r="C122" s="300"/>
      <c r="D122" s="11">
        <v>187.833</v>
      </c>
      <c r="E122" s="11">
        <v>112</v>
      </c>
      <c r="F122" s="11">
        <v>170</v>
      </c>
      <c r="I122" s="3"/>
    </row>
    <row r="123" spans="2:9" ht="15.75" customHeight="1" x14ac:dyDescent="0.25">
      <c r="B123" s="9" t="s">
        <v>79</v>
      </c>
      <c r="C123" s="300"/>
      <c r="D123" s="11">
        <v>218.333</v>
      </c>
      <c r="E123" s="11">
        <v>216</v>
      </c>
      <c r="F123" s="11">
        <v>285</v>
      </c>
      <c r="I123" s="3"/>
    </row>
    <row r="124" spans="2:9" ht="15.75" customHeight="1" x14ac:dyDescent="0.25">
      <c r="B124" s="49" t="s">
        <v>80</v>
      </c>
      <c r="C124" s="300"/>
      <c r="D124" s="51">
        <v>238.5</v>
      </c>
      <c r="E124" s="51">
        <v>88</v>
      </c>
      <c r="F124" s="11">
        <v>139</v>
      </c>
      <c r="I124" s="3"/>
    </row>
    <row r="125" spans="2:9" ht="15.75" customHeight="1" x14ac:dyDescent="0.25">
      <c r="B125" s="305"/>
      <c r="C125" s="297"/>
      <c r="D125" s="297"/>
      <c r="E125" s="297"/>
      <c r="F125" s="306"/>
      <c r="I125" s="3"/>
    </row>
    <row r="126" spans="2:9" ht="15.75" customHeight="1" x14ac:dyDescent="0.25">
      <c r="B126" s="9" t="s">
        <v>81</v>
      </c>
      <c r="C126" s="299" t="s">
        <v>82</v>
      </c>
      <c r="D126" s="11">
        <v>2</v>
      </c>
      <c r="E126" s="11">
        <v>2</v>
      </c>
      <c r="F126" s="11">
        <v>23</v>
      </c>
      <c r="I126" s="3"/>
    </row>
    <row r="127" spans="2:9" ht="15.75" customHeight="1" x14ac:dyDescent="0.25">
      <c r="B127" s="9" t="s">
        <v>83</v>
      </c>
      <c r="C127" s="300"/>
      <c r="D127" s="11">
        <v>7.133</v>
      </c>
      <c r="E127" s="11">
        <v>2</v>
      </c>
      <c r="F127" s="11">
        <v>30</v>
      </c>
      <c r="I127" s="3"/>
    </row>
    <row r="128" spans="2:9" ht="15.75" customHeight="1" x14ac:dyDescent="0.25">
      <c r="B128" s="9" t="s">
        <v>84</v>
      </c>
      <c r="C128" s="301"/>
      <c r="D128" s="11">
        <v>10.72</v>
      </c>
      <c r="E128" s="11">
        <v>2</v>
      </c>
      <c r="F128" s="11">
        <v>27</v>
      </c>
      <c r="I128" s="3"/>
    </row>
    <row r="129" spans="2:9" ht="15.75" customHeight="1" x14ac:dyDescent="0.25">
      <c r="B129" s="296"/>
      <c r="C129" s="297"/>
      <c r="D129" s="297"/>
      <c r="E129" s="297"/>
      <c r="F129" s="11"/>
      <c r="I129" s="3"/>
    </row>
    <row r="130" spans="2:9" ht="15.75" customHeight="1" x14ac:dyDescent="0.25">
      <c r="B130" s="9" t="s">
        <v>86</v>
      </c>
      <c r="C130" s="302" t="s">
        <v>87</v>
      </c>
      <c r="D130" s="11">
        <v>20.466999999999999</v>
      </c>
      <c r="E130" s="11">
        <v>20</v>
      </c>
      <c r="F130" s="11">
        <v>27</v>
      </c>
      <c r="I130" s="3"/>
    </row>
    <row r="131" spans="2:9" ht="15.75" customHeight="1" x14ac:dyDescent="0.25">
      <c r="B131" s="49" t="s">
        <v>88</v>
      </c>
      <c r="C131" s="300"/>
      <c r="D131" s="51">
        <v>20.367000000000001</v>
      </c>
      <c r="E131" s="51">
        <v>20</v>
      </c>
      <c r="F131" s="11">
        <v>27</v>
      </c>
      <c r="I131" s="3"/>
    </row>
    <row r="132" spans="2:9" ht="15.75" customHeight="1" x14ac:dyDescent="0.25">
      <c r="B132" s="305"/>
      <c r="C132" s="297"/>
      <c r="D132" s="297"/>
      <c r="E132" s="297"/>
      <c r="F132" s="306"/>
      <c r="I132" s="3"/>
    </row>
    <row r="133" spans="2:9" ht="15.75" customHeight="1" x14ac:dyDescent="0.25">
      <c r="B133" s="9" t="s">
        <v>89</v>
      </c>
      <c r="C133" s="299" t="s">
        <v>90</v>
      </c>
      <c r="D133" s="11">
        <v>5.15</v>
      </c>
      <c r="E133" s="11">
        <v>18</v>
      </c>
      <c r="F133" s="11">
        <v>24</v>
      </c>
      <c r="I133" s="3"/>
    </row>
    <row r="134" spans="2:9" ht="15.75" customHeight="1" x14ac:dyDescent="0.25">
      <c r="B134" s="9" t="s">
        <v>91</v>
      </c>
      <c r="C134" s="300"/>
      <c r="D134" s="11">
        <v>16.2</v>
      </c>
      <c r="E134" s="11">
        <v>16</v>
      </c>
      <c r="F134" s="11">
        <v>23</v>
      </c>
      <c r="I134" s="3"/>
    </row>
    <row r="135" spans="2:9" ht="15.75" customHeight="1" x14ac:dyDescent="0.25">
      <c r="B135" s="49" t="s">
        <v>92</v>
      </c>
      <c r="C135" s="300"/>
      <c r="D135" s="51">
        <v>17.260000000000002</v>
      </c>
      <c r="E135" s="51"/>
      <c r="F135" s="11"/>
      <c r="I135" s="3"/>
    </row>
    <row r="136" spans="2:9" ht="15.75" customHeight="1" x14ac:dyDescent="0.25">
      <c r="B136" s="296"/>
      <c r="C136" s="297"/>
      <c r="D136" s="297"/>
      <c r="E136" s="297"/>
      <c r="F136" s="297"/>
      <c r="I136" s="3"/>
    </row>
    <row r="137" spans="2:9" ht="15.75" customHeight="1" x14ac:dyDescent="0.25">
      <c r="B137" s="9" t="s">
        <v>94</v>
      </c>
      <c r="C137" s="299" t="s">
        <v>95</v>
      </c>
      <c r="D137" s="11">
        <v>50.082999999999998</v>
      </c>
      <c r="E137" s="11">
        <v>49</v>
      </c>
      <c r="F137" s="11">
        <v>118</v>
      </c>
      <c r="I137" s="3"/>
    </row>
    <row r="138" spans="2:9" ht="15.75" customHeight="1" x14ac:dyDescent="0.25">
      <c r="B138" s="9" t="s">
        <v>96</v>
      </c>
      <c r="C138" s="300"/>
      <c r="D138" s="11">
        <v>93.992999999999995</v>
      </c>
      <c r="E138" s="11">
        <v>56</v>
      </c>
      <c r="F138" s="11">
        <v>125</v>
      </c>
      <c r="I138" s="3"/>
    </row>
    <row r="139" spans="2:9" ht="15.75" customHeight="1" x14ac:dyDescent="0.25">
      <c r="B139" s="9" t="s">
        <v>97</v>
      </c>
      <c r="C139" s="300"/>
      <c r="D139" s="11">
        <v>95.516999999999996</v>
      </c>
      <c r="E139" s="11">
        <v>51</v>
      </c>
      <c r="F139" s="11">
        <v>119</v>
      </c>
      <c r="I139" s="3"/>
    </row>
    <row r="140" spans="2:9" ht="15.75" customHeight="1" x14ac:dyDescent="0.25">
      <c r="B140" s="9" t="s">
        <v>98</v>
      </c>
      <c r="C140" s="300"/>
      <c r="D140" s="11">
        <v>100.92</v>
      </c>
      <c r="E140" s="11">
        <v>108</v>
      </c>
      <c r="F140" s="11">
        <v>127</v>
      </c>
      <c r="I140" s="3"/>
    </row>
    <row r="141" spans="2:9" ht="15.75" customHeight="1" x14ac:dyDescent="0.25">
      <c r="B141" s="9" t="s">
        <v>99</v>
      </c>
      <c r="C141" s="301"/>
      <c r="D141" s="11">
        <v>115.37</v>
      </c>
      <c r="E141" s="11">
        <v>108</v>
      </c>
      <c r="F141" s="11">
        <v>127</v>
      </c>
      <c r="I141" s="3"/>
    </row>
    <row r="142" spans="2:9" ht="15.75" customHeight="1" x14ac:dyDescent="0.25">
      <c r="B142" s="1"/>
      <c r="C142" s="1"/>
      <c r="D142" s="2"/>
      <c r="E142" s="2"/>
      <c r="F142" s="146"/>
      <c r="I142" s="3"/>
    </row>
    <row r="143" spans="2:9" ht="15.75" customHeight="1" x14ac:dyDescent="0.25">
      <c r="B143" s="1"/>
      <c r="C143" s="1"/>
      <c r="D143" s="2"/>
      <c r="E143" s="2"/>
      <c r="F143" s="146"/>
      <c r="I143" s="3"/>
    </row>
    <row r="144" spans="2:9" ht="15.75" customHeight="1" x14ac:dyDescent="0.25">
      <c r="G144" s="123"/>
    </row>
    <row r="145" spans="2:12" ht="15.75" customHeight="1" x14ac:dyDescent="0.25">
      <c r="G145" s="123"/>
    </row>
    <row r="146" spans="2:12" ht="15.75" customHeight="1" x14ac:dyDescent="0.2"/>
    <row r="147" spans="2:12" ht="15.75" customHeight="1" x14ac:dyDescent="0.25">
      <c r="B147" s="28" t="s">
        <v>307</v>
      </c>
      <c r="C147" s="28"/>
      <c r="D147" s="28"/>
      <c r="E147" s="28"/>
      <c r="F147" s="28"/>
      <c r="G147" s="28"/>
      <c r="H147" s="28"/>
      <c r="I147" s="28"/>
      <c r="J147" s="28"/>
      <c r="K147" s="28"/>
      <c r="L147" s="28"/>
    </row>
    <row r="148" spans="2:12" ht="15.75" customHeight="1" x14ac:dyDescent="0.25">
      <c r="B148" s="28"/>
      <c r="C148" s="23"/>
      <c r="D148" s="23"/>
      <c r="E148" s="23"/>
      <c r="F148" s="23"/>
      <c r="G148" s="23"/>
      <c r="H148" s="28"/>
      <c r="I148" s="28"/>
      <c r="J148" s="28"/>
      <c r="K148" s="28"/>
      <c r="L148" s="28"/>
    </row>
    <row r="149" spans="2:12" ht="15.75" customHeight="1" x14ac:dyDescent="0.25">
      <c r="B149" s="332" t="s">
        <v>309</v>
      </c>
      <c r="C149" s="297"/>
      <c r="D149" s="297"/>
      <c r="E149" s="297"/>
      <c r="F149" s="297"/>
      <c r="G149" s="298"/>
    </row>
    <row r="150" spans="2:12" ht="15.75" customHeight="1" x14ac:dyDescent="0.2">
      <c r="B150" s="4" t="s">
        <v>0</v>
      </c>
      <c r="C150" s="5" t="s">
        <v>1</v>
      </c>
      <c r="D150" s="5" t="s">
        <v>42</v>
      </c>
      <c r="E150" s="5" t="s">
        <v>43</v>
      </c>
      <c r="F150" s="5" t="s">
        <v>44</v>
      </c>
      <c r="G150" s="7" t="s">
        <v>206</v>
      </c>
      <c r="I150" s="296" t="s">
        <v>45</v>
      </c>
      <c r="J150" s="297"/>
      <c r="K150" s="297"/>
      <c r="L150" s="298"/>
    </row>
    <row r="151" spans="2:12" ht="15.75" customHeight="1" x14ac:dyDescent="0.2">
      <c r="B151" s="310" t="s">
        <v>275</v>
      </c>
      <c r="C151" s="297"/>
      <c r="D151" s="297"/>
      <c r="E151" s="297"/>
      <c r="F151" s="297"/>
      <c r="G151" s="306"/>
      <c r="I151" s="305" t="s">
        <v>275</v>
      </c>
      <c r="J151" s="297"/>
      <c r="K151" s="297"/>
      <c r="L151" s="298"/>
    </row>
    <row r="152" spans="2:12" ht="15.75" customHeight="1" x14ac:dyDescent="0.2">
      <c r="B152" s="9" t="s">
        <v>11</v>
      </c>
      <c r="C152" s="12" t="s">
        <v>12</v>
      </c>
      <c r="D152" s="17">
        <v>500</v>
      </c>
      <c r="E152" s="22"/>
      <c r="F152" s="11">
        <v>500</v>
      </c>
      <c r="G152" s="110"/>
      <c r="I152" s="12"/>
      <c r="J152" s="12" t="s">
        <v>52</v>
      </c>
      <c r="K152" s="12" t="s">
        <v>53</v>
      </c>
      <c r="L152" s="12"/>
    </row>
    <row r="153" spans="2:12" ht="15.75" customHeight="1" x14ac:dyDescent="0.2">
      <c r="B153" s="9" t="s">
        <v>11</v>
      </c>
      <c r="C153" s="12" t="s">
        <v>18</v>
      </c>
      <c r="D153" s="17">
        <v>0</v>
      </c>
      <c r="E153" s="22"/>
      <c r="F153" s="11">
        <v>0</v>
      </c>
      <c r="G153" s="110"/>
      <c r="I153" s="12" t="s">
        <v>12</v>
      </c>
      <c r="J153" s="17"/>
      <c r="K153" s="11">
        <v>500</v>
      </c>
      <c r="L153" s="17" t="s">
        <v>311</v>
      </c>
    </row>
    <row r="154" spans="2:12" ht="15.75" customHeight="1" x14ac:dyDescent="0.2">
      <c r="B154" s="9" t="s">
        <v>21</v>
      </c>
      <c r="C154" s="12" t="s">
        <v>59</v>
      </c>
      <c r="D154" s="17">
        <v>440</v>
      </c>
      <c r="E154" s="22"/>
      <c r="F154" s="11">
        <v>447</v>
      </c>
      <c r="G154" s="110"/>
      <c r="I154" s="12" t="s">
        <v>18</v>
      </c>
      <c r="J154" s="17"/>
      <c r="K154" s="11">
        <v>0</v>
      </c>
      <c r="L154" s="17" t="s">
        <v>312</v>
      </c>
    </row>
    <row r="155" spans="2:12" ht="15.75" customHeight="1" x14ac:dyDescent="0.2">
      <c r="B155" s="9" t="s">
        <v>21</v>
      </c>
      <c r="C155" s="12" t="s">
        <v>63</v>
      </c>
      <c r="D155" s="17">
        <v>160</v>
      </c>
      <c r="E155" s="22"/>
      <c r="F155" s="11">
        <v>157</v>
      </c>
      <c r="G155" s="110"/>
      <c r="I155" s="305" t="s">
        <v>313</v>
      </c>
      <c r="J155" s="297"/>
      <c r="K155" s="297"/>
      <c r="L155" s="298"/>
    </row>
    <row r="156" spans="2:12" ht="15.75" customHeight="1" x14ac:dyDescent="0.2">
      <c r="B156" s="310" t="s">
        <v>313</v>
      </c>
      <c r="C156" s="297"/>
      <c r="D156" s="297"/>
      <c r="E156" s="297"/>
      <c r="F156" s="297"/>
      <c r="G156" s="306"/>
      <c r="I156" s="12" t="s">
        <v>12</v>
      </c>
      <c r="J156" s="17"/>
      <c r="K156" s="11">
        <v>480</v>
      </c>
      <c r="L156" s="17" t="s">
        <v>314</v>
      </c>
    </row>
    <row r="157" spans="2:12" ht="15.75" customHeight="1" x14ac:dyDescent="0.2">
      <c r="B157" s="9" t="s">
        <v>11</v>
      </c>
      <c r="C157" s="12" t="s">
        <v>12</v>
      </c>
      <c r="D157" s="17">
        <v>680</v>
      </c>
      <c r="E157" s="22"/>
      <c r="F157" s="22">
        <v>480</v>
      </c>
      <c r="G157" s="110"/>
      <c r="I157" s="12" t="s">
        <v>18</v>
      </c>
      <c r="J157" s="17"/>
      <c r="K157" s="11">
        <v>0</v>
      </c>
      <c r="L157" s="17" t="s">
        <v>315</v>
      </c>
    </row>
    <row r="158" spans="2:12" ht="15.75" customHeight="1" x14ac:dyDescent="0.2">
      <c r="B158" s="9" t="s">
        <v>11</v>
      </c>
      <c r="C158" s="12" t="s">
        <v>18</v>
      </c>
      <c r="D158" s="17">
        <v>0</v>
      </c>
      <c r="E158" s="22"/>
      <c r="F158" s="22">
        <v>0</v>
      </c>
      <c r="G158" s="110"/>
    </row>
    <row r="159" spans="2:12" ht="15.75" customHeight="1" x14ac:dyDescent="0.2">
      <c r="B159" s="9" t="s">
        <v>21</v>
      </c>
      <c r="C159" s="12" t="s">
        <v>59</v>
      </c>
      <c r="D159" s="17">
        <v>430</v>
      </c>
      <c r="E159" s="22"/>
      <c r="F159" s="22">
        <v>427</v>
      </c>
      <c r="G159" s="110"/>
    </row>
    <row r="160" spans="2:12" ht="15.75" customHeight="1" x14ac:dyDescent="0.2">
      <c r="B160" s="9" t="s">
        <v>21</v>
      </c>
      <c r="C160" s="12" t="s">
        <v>63</v>
      </c>
      <c r="D160" s="17">
        <v>150</v>
      </c>
      <c r="E160" s="22"/>
      <c r="F160" s="22">
        <v>150</v>
      </c>
      <c r="G160" s="110"/>
    </row>
    <row r="161" spans="2:12" ht="15.75" customHeight="1" x14ac:dyDescent="0.2">
      <c r="C161" s="2"/>
      <c r="D161" s="1"/>
    </row>
    <row r="162" spans="2:12" ht="15.75" customHeight="1" x14ac:dyDescent="0.2">
      <c r="C162" s="2"/>
      <c r="D162" s="2"/>
    </row>
    <row r="163" spans="2:12" ht="15.75" customHeight="1" x14ac:dyDescent="0.2">
      <c r="C163" s="2"/>
      <c r="D163" s="2"/>
    </row>
    <row r="164" spans="2:12" ht="15.75" customHeight="1" x14ac:dyDescent="0.25">
      <c r="G164" s="123"/>
    </row>
    <row r="165" spans="2:12" ht="15.75" customHeight="1" x14ac:dyDescent="0.25">
      <c r="G165" s="123"/>
    </row>
    <row r="166" spans="2:12" ht="15.75" customHeight="1" x14ac:dyDescent="0.25">
      <c r="G166" s="123"/>
    </row>
    <row r="167" spans="2:12" ht="15.75" customHeight="1" x14ac:dyDescent="0.25">
      <c r="B167" s="27"/>
      <c r="C167" s="27"/>
      <c r="D167" s="27"/>
      <c r="E167" s="38"/>
      <c r="F167" s="38"/>
      <c r="G167" s="149"/>
      <c r="H167" s="28"/>
    </row>
    <row r="168" spans="2:12" ht="15.75" customHeight="1" x14ac:dyDescent="0.25">
      <c r="B168" s="27" t="s">
        <v>270</v>
      </c>
      <c r="C168" s="27"/>
      <c r="D168" s="27"/>
      <c r="E168" s="38"/>
      <c r="F168" s="38"/>
      <c r="G168" s="149"/>
      <c r="H168" s="28"/>
    </row>
    <row r="169" spans="2:12" ht="15.75" customHeight="1" x14ac:dyDescent="0.25">
      <c r="B169" s="27"/>
      <c r="C169" s="27"/>
      <c r="D169" s="27"/>
      <c r="E169" s="38"/>
      <c r="F169" s="38"/>
      <c r="G169" s="149"/>
      <c r="H169" s="28"/>
    </row>
    <row r="170" spans="2:12" ht="15.75" customHeight="1" x14ac:dyDescent="0.25">
      <c r="B170" s="28"/>
      <c r="C170" s="23"/>
      <c r="D170" s="23"/>
      <c r="E170" s="23"/>
      <c r="F170" s="23"/>
      <c r="G170" s="23"/>
      <c r="H170" s="28"/>
      <c r="I170" s="28"/>
      <c r="J170" s="28"/>
      <c r="K170" s="28"/>
      <c r="L170" s="28"/>
    </row>
    <row r="171" spans="2:12" ht="15.75" customHeight="1" x14ac:dyDescent="0.25">
      <c r="B171" s="332" t="s">
        <v>318</v>
      </c>
      <c r="C171" s="297"/>
      <c r="D171" s="297"/>
      <c r="E171" s="297"/>
      <c r="F171" s="297"/>
      <c r="G171" s="298"/>
    </row>
    <row r="172" spans="2:12" ht="15.75" customHeight="1" x14ac:dyDescent="0.2">
      <c r="B172" s="4" t="s">
        <v>0</v>
      </c>
      <c r="C172" s="5" t="s">
        <v>1</v>
      </c>
      <c r="D172" s="5" t="s">
        <v>42</v>
      </c>
      <c r="E172" s="5" t="s">
        <v>43</v>
      </c>
      <c r="F172" s="5" t="s">
        <v>44</v>
      </c>
      <c r="G172" s="7" t="s">
        <v>206</v>
      </c>
      <c r="I172" s="296" t="s">
        <v>45</v>
      </c>
      <c r="J172" s="297"/>
      <c r="K172" s="297"/>
      <c r="L172" s="298"/>
    </row>
    <row r="173" spans="2:12" ht="15.75" customHeight="1" x14ac:dyDescent="0.2">
      <c r="B173" s="310" t="s">
        <v>275</v>
      </c>
      <c r="C173" s="297"/>
      <c r="D173" s="297"/>
      <c r="E173" s="297"/>
      <c r="F173" s="297"/>
      <c r="G173" s="298"/>
      <c r="I173" s="305" t="s">
        <v>275</v>
      </c>
      <c r="J173" s="297"/>
      <c r="K173" s="297"/>
      <c r="L173" s="298"/>
    </row>
    <row r="174" spans="2:12" ht="15.75" customHeight="1" x14ac:dyDescent="0.2">
      <c r="B174" s="9" t="s">
        <v>11</v>
      </c>
      <c r="C174" s="12" t="s">
        <v>12</v>
      </c>
      <c r="D174" s="17">
        <v>840</v>
      </c>
      <c r="E174" s="22">
        <v>841</v>
      </c>
      <c r="F174" s="11">
        <v>740</v>
      </c>
      <c r="G174" s="110">
        <f>((E174-F174)/E174)</f>
        <v>0.12009512485136742</v>
      </c>
      <c r="I174" s="12"/>
      <c r="J174" s="12" t="s">
        <v>52</v>
      </c>
      <c r="K174" s="12" t="s">
        <v>53</v>
      </c>
      <c r="L174" s="12"/>
    </row>
    <row r="175" spans="2:12" ht="15.75" customHeight="1" x14ac:dyDescent="0.2">
      <c r="B175" s="9" t="s">
        <v>11</v>
      </c>
      <c r="C175" s="12" t="s">
        <v>18</v>
      </c>
      <c r="D175" s="17">
        <v>0</v>
      </c>
      <c r="E175" s="22">
        <v>0</v>
      </c>
      <c r="F175" s="11">
        <v>0</v>
      </c>
      <c r="G175" s="110">
        <v>0</v>
      </c>
      <c r="I175" s="12" t="s">
        <v>12</v>
      </c>
      <c r="J175" s="17">
        <v>840</v>
      </c>
      <c r="K175" s="11">
        <v>740</v>
      </c>
      <c r="L175" s="17" t="s">
        <v>321</v>
      </c>
    </row>
    <row r="176" spans="2:12" ht="15.75" customHeight="1" x14ac:dyDescent="0.2">
      <c r="B176" s="9" t="s">
        <v>21</v>
      </c>
      <c r="C176" s="12" t="s">
        <v>59</v>
      </c>
      <c r="D176" s="17">
        <v>440</v>
      </c>
      <c r="E176" s="22">
        <v>500</v>
      </c>
      <c r="F176" s="11">
        <v>446</v>
      </c>
      <c r="G176" s="110">
        <f t="shared" ref="G176:G177" si="26">((E176-F176)/E176)</f>
        <v>0.108</v>
      </c>
      <c r="I176" s="12" t="s">
        <v>18</v>
      </c>
      <c r="J176" s="24">
        <v>0</v>
      </c>
      <c r="K176" s="25">
        <v>0</v>
      </c>
      <c r="L176" s="24" t="s">
        <v>322</v>
      </c>
    </row>
    <row r="177" spans="2:13" ht="15.75" customHeight="1" x14ac:dyDescent="0.2">
      <c r="B177" s="12" t="s">
        <v>21</v>
      </c>
      <c r="C177" s="12" t="s">
        <v>63</v>
      </c>
      <c r="D177" s="24">
        <v>160</v>
      </c>
      <c r="E177" s="26">
        <v>191</v>
      </c>
      <c r="F177" s="25">
        <v>166</v>
      </c>
      <c r="G177" s="148">
        <f t="shared" si="26"/>
        <v>0.13089005235602094</v>
      </c>
      <c r="I177" s="330"/>
      <c r="J177" s="315"/>
      <c r="K177" s="315"/>
      <c r="L177" s="315"/>
    </row>
    <row r="178" spans="2:13" ht="15.75" customHeight="1" x14ac:dyDescent="0.25">
      <c r="B178" s="329"/>
      <c r="C178" s="315"/>
      <c r="D178" s="315"/>
      <c r="E178" s="315"/>
      <c r="F178" s="315"/>
      <c r="G178" s="315"/>
      <c r="H178" s="28"/>
      <c r="I178" s="27"/>
      <c r="J178" s="27"/>
      <c r="K178" s="31"/>
      <c r="L178" s="27"/>
    </row>
    <row r="179" spans="2:13" ht="15.75" customHeight="1" x14ac:dyDescent="0.25">
      <c r="G179" s="123"/>
    </row>
    <row r="180" spans="2:13" ht="15.75" customHeight="1" x14ac:dyDescent="0.25">
      <c r="G180" s="123"/>
    </row>
    <row r="181" spans="2:13" ht="15.75" customHeight="1" x14ac:dyDescent="0.25">
      <c r="G181" s="123"/>
    </row>
    <row r="182" spans="2:13" ht="15.75" customHeight="1" x14ac:dyDescent="0.25">
      <c r="G182" s="123"/>
    </row>
    <row r="183" spans="2:13" ht="15.75" customHeight="1" x14ac:dyDescent="0.25">
      <c r="G183" s="123"/>
    </row>
    <row r="184" spans="2:13" ht="15.75" customHeight="1" x14ac:dyDescent="0.25">
      <c r="G184" s="123"/>
    </row>
    <row r="185" spans="2:13" ht="15.75" customHeight="1" x14ac:dyDescent="0.2">
      <c r="B185" s="43" t="s">
        <v>282</v>
      </c>
    </row>
    <row r="186" spans="2:13" ht="15.75" customHeight="1" x14ac:dyDescent="0.25">
      <c r="B186" s="304" t="s">
        <v>318</v>
      </c>
      <c r="C186" s="297"/>
      <c r="D186" s="297"/>
      <c r="E186" s="297"/>
      <c r="F186" s="154"/>
      <c r="I186" s="3"/>
    </row>
    <row r="187" spans="2:13" ht="15.75" customHeight="1" x14ac:dyDescent="0.2">
      <c r="B187" s="4" t="s">
        <v>0</v>
      </c>
      <c r="C187" s="5" t="s">
        <v>1</v>
      </c>
      <c r="D187" s="5" t="s">
        <v>2</v>
      </c>
      <c r="E187" s="5" t="s">
        <v>43</v>
      </c>
      <c r="F187" s="45" t="s">
        <v>125</v>
      </c>
      <c r="H187" s="296" t="s">
        <v>6</v>
      </c>
      <c r="I187" s="297"/>
      <c r="J187" s="297"/>
      <c r="K187" s="297"/>
      <c r="L187" s="297"/>
      <c r="M187" s="298"/>
    </row>
    <row r="188" spans="2:13" ht="15.75" customHeight="1" x14ac:dyDescent="0.2">
      <c r="B188" s="9" t="s">
        <v>7</v>
      </c>
      <c r="C188" s="302" t="s">
        <v>9</v>
      </c>
      <c r="D188" s="11">
        <v>28.1</v>
      </c>
      <c r="E188" s="11">
        <v>27</v>
      </c>
      <c r="F188" s="11">
        <v>75</v>
      </c>
      <c r="H188" s="296" t="s">
        <v>106</v>
      </c>
      <c r="I188" s="297"/>
      <c r="J188" s="298"/>
      <c r="K188" s="296" t="s">
        <v>107</v>
      </c>
      <c r="L188" s="297"/>
      <c r="M188" s="298"/>
    </row>
    <row r="189" spans="2:13" ht="15.75" customHeight="1" x14ac:dyDescent="0.2">
      <c r="B189" s="9" t="s">
        <v>17</v>
      </c>
      <c r="C189" s="300"/>
      <c r="D189" s="11">
        <v>63.911000000000001</v>
      </c>
      <c r="E189" s="11">
        <v>57</v>
      </c>
      <c r="F189" s="11">
        <v>84</v>
      </c>
      <c r="H189" s="13" t="s">
        <v>13</v>
      </c>
      <c r="I189" s="14">
        <v>688</v>
      </c>
      <c r="J189" s="17" t="s">
        <v>324</v>
      </c>
      <c r="K189" s="13" t="s">
        <v>13</v>
      </c>
      <c r="L189" s="14">
        <v>693</v>
      </c>
      <c r="M189" s="17" t="s">
        <v>325</v>
      </c>
    </row>
    <row r="190" spans="2:13" ht="15.75" customHeight="1" x14ac:dyDescent="0.2">
      <c r="B190" s="9" t="s">
        <v>26</v>
      </c>
      <c r="C190" s="300"/>
      <c r="D190" s="11">
        <v>69.921999999999997</v>
      </c>
      <c r="E190" s="11">
        <v>57</v>
      </c>
      <c r="F190" s="11">
        <v>90</v>
      </c>
      <c r="H190" s="13" t="s">
        <v>19</v>
      </c>
      <c r="I190" s="18">
        <v>622</v>
      </c>
      <c r="J190" s="17" t="s">
        <v>327</v>
      </c>
      <c r="K190" s="13" t="s">
        <v>19</v>
      </c>
      <c r="L190" s="18">
        <v>627</v>
      </c>
      <c r="M190" s="17" t="s">
        <v>330</v>
      </c>
    </row>
    <row r="191" spans="2:13" ht="15.75" customHeight="1" x14ac:dyDescent="0.2">
      <c r="B191" s="9" t="s">
        <v>32</v>
      </c>
      <c r="C191" s="300"/>
      <c r="D191" s="11">
        <v>96.744</v>
      </c>
      <c r="E191" s="11">
        <v>69</v>
      </c>
      <c r="F191" s="11">
        <v>105</v>
      </c>
      <c r="H191" s="13" t="s">
        <v>27</v>
      </c>
      <c r="I191" s="20">
        <v>655</v>
      </c>
      <c r="J191" s="17" t="s">
        <v>331</v>
      </c>
      <c r="K191" s="13" t="s">
        <v>27</v>
      </c>
      <c r="L191" s="20">
        <v>660</v>
      </c>
      <c r="M191" s="17" t="s">
        <v>332</v>
      </c>
    </row>
    <row r="192" spans="2:13" ht="15.75" customHeight="1" x14ac:dyDescent="0.2">
      <c r="B192" s="9" t="s">
        <v>33</v>
      </c>
      <c r="C192" s="301"/>
      <c r="D192" s="11">
        <v>128.11000000000001</v>
      </c>
      <c r="E192" s="11">
        <v>98</v>
      </c>
      <c r="F192" s="11">
        <v>139</v>
      </c>
      <c r="H192" s="13" t="s">
        <v>121</v>
      </c>
      <c r="I192" s="20">
        <v>500</v>
      </c>
      <c r="J192" s="17" t="s">
        <v>333</v>
      </c>
      <c r="K192" s="13" t="s">
        <v>121</v>
      </c>
      <c r="L192" s="20">
        <v>657</v>
      </c>
      <c r="M192" s="17" t="s">
        <v>334</v>
      </c>
    </row>
    <row r="193" spans="2:9" ht="15.75" customHeight="1" x14ac:dyDescent="0.25">
      <c r="B193" s="296"/>
      <c r="C193" s="297"/>
      <c r="D193" s="297"/>
      <c r="E193" s="297"/>
      <c r="F193" s="11"/>
      <c r="I193" s="3"/>
    </row>
    <row r="194" spans="2:9" ht="15.75" customHeight="1" x14ac:dyDescent="0.25">
      <c r="B194" s="9" t="s">
        <v>35</v>
      </c>
      <c r="C194" s="302" t="s">
        <v>36</v>
      </c>
      <c r="D194" s="11">
        <v>207.78</v>
      </c>
      <c r="E194" s="11">
        <v>146</v>
      </c>
      <c r="F194" s="11">
        <v>397</v>
      </c>
      <c r="I194" s="3"/>
    </row>
    <row r="195" spans="2:9" ht="15.75" customHeight="1" x14ac:dyDescent="0.25">
      <c r="B195" s="9" t="s">
        <v>37</v>
      </c>
      <c r="C195" s="300"/>
      <c r="D195" s="11">
        <v>444.11</v>
      </c>
      <c r="E195" s="11">
        <v>183</v>
      </c>
      <c r="F195" s="11">
        <v>435</v>
      </c>
      <c r="I195" s="3"/>
    </row>
    <row r="196" spans="2:9" ht="15.75" customHeight="1" x14ac:dyDescent="0.25">
      <c r="B196" s="9" t="s">
        <v>38</v>
      </c>
      <c r="C196" s="300"/>
      <c r="D196" s="11">
        <v>579.55999999999995</v>
      </c>
      <c r="E196" s="11">
        <v>253</v>
      </c>
      <c r="F196" s="11">
        <v>509</v>
      </c>
      <c r="I196" s="3"/>
    </row>
    <row r="197" spans="2:9" ht="15.75" customHeight="1" x14ac:dyDescent="0.25">
      <c r="B197" s="9" t="s">
        <v>39</v>
      </c>
      <c r="C197" s="300"/>
      <c r="D197" s="11">
        <v>746.22</v>
      </c>
      <c r="E197" s="11">
        <v>532</v>
      </c>
      <c r="F197" s="11">
        <v>700</v>
      </c>
      <c r="I197" s="3"/>
    </row>
    <row r="198" spans="2:9" ht="15.75" customHeight="1" x14ac:dyDescent="0.25">
      <c r="B198" s="49" t="s">
        <v>41</v>
      </c>
      <c r="C198" s="300"/>
      <c r="D198" s="51">
        <v>869.5</v>
      </c>
      <c r="E198" s="51">
        <v>573</v>
      </c>
      <c r="F198" s="11">
        <v>750</v>
      </c>
      <c r="I198" s="3"/>
    </row>
    <row r="199" spans="2:9" ht="15.75" customHeight="1" x14ac:dyDescent="0.25">
      <c r="B199" s="308"/>
      <c r="C199" s="297"/>
      <c r="D199" s="297"/>
      <c r="E199" s="297"/>
      <c r="F199" s="306"/>
      <c r="I199" s="3"/>
    </row>
    <row r="200" spans="2:9" ht="15.75" customHeight="1" x14ac:dyDescent="0.25">
      <c r="B200" s="9" t="s">
        <v>46</v>
      </c>
      <c r="C200" s="299" t="s">
        <v>47</v>
      </c>
      <c r="D200" s="11">
        <v>88.4</v>
      </c>
      <c r="E200" s="11">
        <v>62</v>
      </c>
      <c r="F200" s="11">
        <v>114</v>
      </c>
      <c r="I200" s="3"/>
    </row>
    <row r="201" spans="2:9" ht="15.75" customHeight="1" x14ac:dyDescent="0.25">
      <c r="B201" s="9" t="s">
        <v>48</v>
      </c>
      <c r="C201" s="300"/>
      <c r="D201" s="11">
        <v>94.6</v>
      </c>
      <c r="E201" s="11">
        <v>59</v>
      </c>
      <c r="F201" s="11">
        <v>115</v>
      </c>
      <c r="I201" s="3"/>
    </row>
    <row r="202" spans="2:9" ht="15.75" customHeight="1" x14ac:dyDescent="0.25">
      <c r="B202" s="296"/>
      <c r="C202" s="297"/>
      <c r="D202" s="297"/>
      <c r="E202" s="297"/>
      <c r="F202" s="11"/>
      <c r="I202" s="3"/>
    </row>
    <row r="203" spans="2:9" ht="15.75" customHeight="1" x14ac:dyDescent="0.25">
      <c r="B203" s="9" t="s">
        <v>50</v>
      </c>
      <c r="C203" s="302" t="s">
        <v>51</v>
      </c>
      <c r="D203" s="11">
        <v>271.44400000000002</v>
      </c>
      <c r="E203" s="11">
        <v>176</v>
      </c>
      <c r="F203" s="11">
        <v>337</v>
      </c>
      <c r="I203" s="3"/>
    </row>
    <row r="204" spans="2:9" ht="15.75" customHeight="1" x14ac:dyDescent="0.25">
      <c r="B204" s="9" t="s">
        <v>54</v>
      </c>
      <c r="C204" s="300"/>
      <c r="D204" s="11">
        <v>550.22199999999998</v>
      </c>
      <c r="E204" s="11">
        <v>192</v>
      </c>
      <c r="F204" s="11">
        <v>367</v>
      </c>
      <c r="I204" s="3"/>
    </row>
    <row r="205" spans="2:9" ht="15.75" customHeight="1" x14ac:dyDescent="0.25">
      <c r="B205" s="9" t="s">
        <v>55</v>
      </c>
      <c r="C205" s="300"/>
      <c r="D205" s="11">
        <v>609</v>
      </c>
      <c r="E205" s="11">
        <v>576</v>
      </c>
      <c r="F205" s="11">
        <v>686</v>
      </c>
      <c r="I205" s="3"/>
    </row>
    <row r="206" spans="2:9" ht="15.75" customHeight="1" x14ac:dyDescent="0.25">
      <c r="B206" s="9" t="s">
        <v>56</v>
      </c>
      <c r="C206" s="300"/>
      <c r="D206" s="11">
        <v>739.11099999999999</v>
      </c>
      <c r="E206" s="11">
        <v>632</v>
      </c>
      <c r="F206" s="11">
        <v>757</v>
      </c>
      <c r="I206" s="3"/>
    </row>
    <row r="207" spans="2:9" ht="15.75" customHeight="1" x14ac:dyDescent="0.25">
      <c r="B207" s="49" t="s">
        <v>57</v>
      </c>
      <c r="C207" s="300"/>
      <c r="D207" s="51">
        <v>746.88900000000001</v>
      </c>
      <c r="E207" s="51">
        <v>298</v>
      </c>
      <c r="F207" s="11">
        <v>634</v>
      </c>
      <c r="I207" s="3"/>
    </row>
    <row r="208" spans="2:9" ht="15.75" customHeight="1" x14ac:dyDescent="0.25">
      <c r="B208" s="308"/>
      <c r="C208" s="297"/>
      <c r="D208" s="297"/>
      <c r="E208" s="297"/>
      <c r="F208" s="306"/>
      <c r="I208" s="3"/>
    </row>
    <row r="209" spans="2:9" ht="15.75" customHeight="1" x14ac:dyDescent="0.25">
      <c r="B209" s="9" t="s">
        <v>60</v>
      </c>
      <c r="C209" s="299" t="s">
        <v>62</v>
      </c>
      <c r="D209" s="11">
        <v>19.36</v>
      </c>
      <c r="E209" s="11">
        <v>15</v>
      </c>
      <c r="F209" s="11">
        <v>37</v>
      </c>
      <c r="I209" s="3"/>
    </row>
    <row r="210" spans="2:9" ht="15.75" customHeight="1" x14ac:dyDescent="0.25">
      <c r="B210" s="9" t="s">
        <v>64</v>
      </c>
      <c r="C210" s="300"/>
      <c r="D210" s="11">
        <v>33.31</v>
      </c>
      <c r="E210" s="11">
        <v>19</v>
      </c>
      <c r="F210" s="11">
        <v>44</v>
      </c>
      <c r="I210" s="3"/>
    </row>
    <row r="211" spans="2:9" ht="15.75" customHeight="1" x14ac:dyDescent="0.25">
      <c r="B211" s="9" t="s">
        <v>65</v>
      </c>
      <c r="C211" s="301"/>
      <c r="D211" s="11">
        <v>41.74</v>
      </c>
      <c r="E211" s="11">
        <v>16</v>
      </c>
      <c r="F211" s="11">
        <v>39</v>
      </c>
      <c r="I211" s="3"/>
    </row>
    <row r="212" spans="2:9" ht="15.75" customHeight="1" x14ac:dyDescent="0.25">
      <c r="B212" s="296"/>
      <c r="C212" s="297"/>
      <c r="D212" s="297"/>
      <c r="E212" s="297"/>
      <c r="F212" s="11"/>
      <c r="I212" s="3"/>
    </row>
    <row r="213" spans="2:9" ht="15.75" customHeight="1" x14ac:dyDescent="0.25">
      <c r="B213" s="9" t="s">
        <v>66</v>
      </c>
      <c r="C213" s="302" t="s">
        <v>68</v>
      </c>
      <c r="D213" s="11">
        <v>204.5</v>
      </c>
      <c r="E213" s="11">
        <v>159</v>
      </c>
      <c r="F213" s="11">
        <v>250</v>
      </c>
      <c r="I213" s="3"/>
    </row>
    <row r="214" spans="2:9" ht="15.75" customHeight="1" x14ac:dyDescent="0.25">
      <c r="B214" s="49" t="s">
        <v>69</v>
      </c>
      <c r="C214" s="300"/>
      <c r="D214" s="51">
        <v>277.7</v>
      </c>
      <c r="E214" s="51">
        <v>216</v>
      </c>
      <c r="F214" s="11">
        <v>324</v>
      </c>
      <c r="I214" s="3"/>
    </row>
    <row r="215" spans="2:9" ht="15.75" customHeight="1" x14ac:dyDescent="0.25">
      <c r="B215" s="305"/>
      <c r="C215" s="297"/>
      <c r="D215" s="297"/>
      <c r="E215" s="297"/>
      <c r="F215" s="306"/>
      <c r="I215" s="3"/>
    </row>
    <row r="216" spans="2:9" ht="15.75" customHeight="1" x14ac:dyDescent="0.25">
      <c r="B216" s="9" t="s">
        <v>69</v>
      </c>
      <c r="C216" s="299" t="s">
        <v>71</v>
      </c>
      <c r="D216" s="11">
        <v>10.283300000000001</v>
      </c>
      <c r="E216" s="11">
        <v>6</v>
      </c>
      <c r="F216" s="11">
        <v>10</v>
      </c>
      <c r="I216" s="3"/>
    </row>
    <row r="217" spans="2:9" ht="15.75" customHeight="1" x14ac:dyDescent="0.25">
      <c r="B217" s="9" t="s">
        <v>72</v>
      </c>
      <c r="C217" s="300"/>
      <c r="D217" s="11">
        <v>11.8833</v>
      </c>
      <c r="E217" s="11">
        <v>6</v>
      </c>
      <c r="F217" s="11">
        <v>15</v>
      </c>
      <c r="I217" s="3"/>
    </row>
    <row r="218" spans="2:9" ht="15.75" customHeight="1" x14ac:dyDescent="0.25">
      <c r="B218" s="9" t="s">
        <v>73</v>
      </c>
      <c r="C218" s="301"/>
      <c r="D218" s="11">
        <v>17.433299999999999</v>
      </c>
      <c r="E218" s="11">
        <v>12</v>
      </c>
      <c r="F218" s="11">
        <v>20</v>
      </c>
      <c r="I218" s="3"/>
    </row>
    <row r="219" spans="2:9" ht="15.75" customHeight="1" x14ac:dyDescent="0.25">
      <c r="B219" s="296"/>
      <c r="C219" s="297"/>
      <c r="D219" s="297"/>
      <c r="E219" s="297"/>
      <c r="F219" s="11"/>
      <c r="I219" s="3"/>
    </row>
    <row r="220" spans="2:9" ht="15.75" customHeight="1" x14ac:dyDescent="0.25">
      <c r="B220" s="9" t="s">
        <v>76</v>
      </c>
      <c r="C220" s="302" t="s">
        <v>77</v>
      </c>
      <c r="D220" s="11">
        <v>117.467</v>
      </c>
      <c r="E220" s="11">
        <v>159</v>
      </c>
      <c r="F220" s="11">
        <v>160</v>
      </c>
      <c r="I220" s="3"/>
    </row>
    <row r="221" spans="2:9" ht="15.75" customHeight="1" x14ac:dyDescent="0.25">
      <c r="B221" s="9" t="s">
        <v>78</v>
      </c>
      <c r="C221" s="300"/>
      <c r="D221" s="11">
        <v>187.833</v>
      </c>
      <c r="E221" s="11">
        <v>111</v>
      </c>
      <c r="F221" s="11">
        <v>183</v>
      </c>
      <c r="I221" s="3"/>
    </row>
    <row r="222" spans="2:9" ht="15.75" customHeight="1" x14ac:dyDescent="0.25">
      <c r="B222" s="9" t="s">
        <v>79</v>
      </c>
      <c r="C222" s="300"/>
      <c r="D222" s="11">
        <v>218.333</v>
      </c>
      <c r="E222" s="11">
        <v>201</v>
      </c>
      <c r="F222" s="11">
        <v>250</v>
      </c>
      <c r="I222" s="3"/>
    </row>
    <row r="223" spans="2:9" ht="15.75" customHeight="1" x14ac:dyDescent="0.25">
      <c r="B223" s="49" t="s">
        <v>80</v>
      </c>
      <c r="C223" s="300"/>
      <c r="D223" s="51">
        <v>238.5</v>
      </c>
      <c r="E223" s="51">
        <v>86</v>
      </c>
      <c r="F223" s="11">
        <v>151</v>
      </c>
      <c r="I223" s="3"/>
    </row>
    <row r="224" spans="2:9" ht="15.75" customHeight="1" x14ac:dyDescent="0.25">
      <c r="B224" s="305"/>
      <c r="C224" s="297"/>
      <c r="D224" s="297"/>
      <c r="E224" s="297"/>
      <c r="F224" s="306"/>
      <c r="I224" s="3"/>
    </row>
    <row r="225" spans="2:9" ht="15.75" customHeight="1" x14ac:dyDescent="0.25">
      <c r="B225" s="9" t="s">
        <v>81</v>
      </c>
      <c r="C225" s="299" t="s">
        <v>82</v>
      </c>
      <c r="D225" s="11">
        <v>2</v>
      </c>
      <c r="E225" s="11">
        <v>2</v>
      </c>
      <c r="F225" s="11">
        <v>10</v>
      </c>
      <c r="I225" s="3"/>
    </row>
    <row r="226" spans="2:9" ht="15.75" customHeight="1" x14ac:dyDescent="0.25">
      <c r="B226" s="9" t="s">
        <v>83</v>
      </c>
      <c r="C226" s="300"/>
      <c r="D226" s="11">
        <v>7.133</v>
      </c>
      <c r="E226" s="11">
        <v>2</v>
      </c>
      <c r="F226" s="11">
        <v>15</v>
      </c>
      <c r="I226" s="3"/>
    </row>
    <row r="227" spans="2:9" ht="15.75" customHeight="1" x14ac:dyDescent="0.25">
      <c r="B227" s="9" t="s">
        <v>84</v>
      </c>
      <c r="C227" s="301"/>
      <c r="D227" s="11">
        <v>10.72</v>
      </c>
      <c r="E227" s="11">
        <v>2</v>
      </c>
      <c r="F227" s="11">
        <v>20</v>
      </c>
      <c r="I227" s="3"/>
    </row>
    <row r="228" spans="2:9" ht="15.75" customHeight="1" x14ac:dyDescent="0.25">
      <c r="B228" s="296"/>
      <c r="C228" s="297"/>
      <c r="D228" s="297"/>
      <c r="E228" s="297"/>
      <c r="F228" s="11"/>
      <c r="I228" s="3"/>
    </row>
    <row r="229" spans="2:9" ht="15.75" customHeight="1" x14ac:dyDescent="0.25">
      <c r="B229" s="9" t="s">
        <v>86</v>
      </c>
      <c r="C229" s="302" t="s">
        <v>87</v>
      </c>
      <c r="D229" s="11">
        <v>20.466999999999999</v>
      </c>
      <c r="E229" s="11">
        <v>21</v>
      </c>
      <c r="F229" s="11">
        <v>29</v>
      </c>
      <c r="I229" s="3"/>
    </row>
    <row r="230" spans="2:9" ht="15.75" customHeight="1" x14ac:dyDescent="0.25">
      <c r="B230" s="49" t="s">
        <v>88</v>
      </c>
      <c r="C230" s="300"/>
      <c r="D230" s="51">
        <v>20.367000000000001</v>
      </c>
      <c r="E230" s="51">
        <v>21</v>
      </c>
      <c r="F230" s="11">
        <v>29</v>
      </c>
      <c r="I230" s="3"/>
    </row>
    <row r="231" spans="2:9" ht="15.75" customHeight="1" x14ac:dyDescent="0.25">
      <c r="B231" s="305"/>
      <c r="C231" s="297"/>
      <c r="D231" s="297"/>
      <c r="E231" s="297"/>
      <c r="F231" s="306"/>
      <c r="I231" s="3"/>
    </row>
    <row r="232" spans="2:9" ht="15.75" customHeight="1" x14ac:dyDescent="0.25">
      <c r="B232" s="9" t="s">
        <v>89</v>
      </c>
      <c r="C232" s="299" t="s">
        <v>90</v>
      </c>
      <c r="D232" s="11">
        <v>5.15</v>
      </c>
      <c r="E232" s="11">
        <v>18</v>
      </c>
      <c r="F232" s="11">
        <v>24</v>
      </c>
      <c r="I232" s="3"/>
    </row>
    <row r="233" spans="2:9" ht="15.75" customHeight="1" x14ac:dyDescent="0.25">
      <c r="B233" s="9" t="s">
        <v>91</v>
      </c>
      <c r="C233" s="300"/>
      <c r="D233" s="11">
        <v>16.2</v>
      </c>
      <c r="E233" s="11">
        <v>18</v>
      </c>
      <c r="F233" s="11">
        <v>24</v>
      </c>
      <c r="I233" s="3"/>
    </row>
    <row r="234" spans="2:9" ht="15.75" customHeight="1" x14ac:dyDescent="0.25">
      <c r="B234" s="49" t="s">
        <v>92</v>
      </c>
      <c r="C234" s="300"/>
      <c r="D234" s="51">
        <v>17.260000000000002</v>
      </c>
      <c r="E234" s="51"/>
      <c r="F234" s="11"/>
      <c r="I234" s="3"/>
    </row>
    <row r="235" spans="2:9" ht="15.75" customHeight="1" x14ac:dyDescent="0.25">
      <c r="B235" s="296"/>
      <c r="C235" s="297"/>
      <c r="D235" s="297"/>
      <c r="E235" s="297"/>
      <c r="F235" s="298"/>
      <c r="I235" s="3"/>
    </row>
    <row r="236" spans="2:9" ht="15.75" customHeight="1" x14ac:dyDescent="0.25">
      <c r="B236" s="9" t="s">
        <v>94</v>
      </c>
      <c r="C236" s="299" t="s">
        <v>95</v>
      </c>
      <c r="D236" s="11">
        <v>50.082999999999998</v>
      </c>
      <c r="E236" s="11">
        <v>53</v>
      </c>
      <c r="F236" s="11">
        <v>122</v>
      </c>
      <c r="I236" s="3"/>
    </row>
    <row r="237" spans="2:9" ht="15.75" customHeight="1" x14ac:dyDescent="0.25">
      <c r="B237" s="9" t="s">
        <v>96</v>
      </c>
      <c r="C237" s="300"/>
      <c r="D237" s="11">
        <v>93.992999999999995</v>
      </c>
      <c r="E237" s="11">
        <v>111</v>
      </c>
      <c r="F237" s="11">
        <v>131</v>
      </c>
      <c r="I237" s="3"/>
    </row>
    <row r="238" spans="2:9" ht="15.75" customHeight="1" x14ac:dyDescent="0.25">
      <c r="B238" s="9" t="s">
        <v>97</v>
      </c>
      <c r="C238" s="300"/>
      <c r="D238" s="11">
        <v>95.516999999999996</v>
      </c>
      <c r="E238" s="11">
        <v>54</v>
      </c>
      <c r="F238" s="11">
        <v>123</v>
      </c>
      <c r="I238" s="3"/>
    </row>
    <row r="239" spans="2:9" ht="15.75" customHeight="1" x14ac:dyDescent="0.25">
      <c r="B239" s="9" t="s">
        <v>98</v>
      </c>
      <c r="C239" s="300"/>
      <c r="D239" s="11">
        <v>100.92</v>
      </c>
      <c r="E239" s="11">
        <v>112</v>
      </c>
      <c r="F239" s="11">
        <v>131</v>
      </c>
      <c r="I239" s="3"/>
    </row>
    <row r="240" spans="2:9" ht="15.75" customHeight="1" x14ac:dyDescent="0.25">
      <c r="B240" s="9" t="s">
        <v>99</v>
      </c>
      <c r="C240" s="301"/>
      <c r="D240" s="11">
        <v>115.37</v>
      </c>
      <c r="E240" s="11">
        <v>111</v>
      </c>
      <c r="F240" s="11">
        <v>131</v>
      </c>
      <c r="I240" s="3"/>
    </row>
    <row r="241" spans="1:20" ht="15.75" customHeight="1" x14ac:dyDescent="0.25">
      <c r="B241" s="1"/>
      <c r="C241" s="1"/>
      <c r="D241" s="2"/>
      <c r="E241" s="2"/>
      <c r="F241" s="146"/>
      <c r="I241" s="3"/>
    </row>
    <row r="242" spans="1:20" ht="15.75" customHeight="1" x14ac:dyDescent="0.25">
      <c r="A242" s="29"/>
      <c r="B242" s="30"/>
      <c r="C242" s="30"/>
      <c r="D242" s="32"/>
      <c r="E242" s="32"/>
      <c r="F242" s="159"/>
      <c r="G242" s="29"/>
      <c r="H242" s="29"/>
      <c r="I242" s="34"/>
      <c r="J242" s="29"/>
      <c r="K242" s="29"/>
      <c r="L242" s="29"/>
      <c r="M242" s="29"/>
      <c r="N242" s="29"/>
      <c r="O242" s="29"/>
      <c r="P242" s="29"/>
      <c r="Q242" s="29"/>
      <c r="R242" s="29"/>
      <c r="S242" s="29"/>
      <c r="T242" s="29"/>
    </row>
    <row r="243" spans="1:20" ht="15.75" customHeight="1" x14ac:dyDescent="0.25">
      <c r="G243" s="123"/>
    </row>
    <row r="244" spans="1:20" ht="15.75" customHeight="1" x14ac:dyDescent="0.25">
      <c r="B244" s="28" t="s">
        <v>307</v>
      </c>
      <c r="C244" s="28"/>
      <c r="D244" s="28"/>
      <c r="E244" s="28"/>
      <c r="F244" s="28"/>
      <c r="G244" s="28"/>
      <c r="H244" s="28"/>
      <c r="I244" s="28"/>
      <c r="J244" s="28"/>
      <c r="K244" s="28"/>
      <c r="L244" s="28"/>
    </row>
    <row r="245" spans="1:20" ht="15.75" customHeight="1" x14ac:dyDescent="0.25">
      <c r="B245" s="28"/>
      <c r="C245" s="23"/>
      <c r="D245" s="23"/>
      <c r="E245" s="23"/>
      <c r="F245" s="23"/>
      <c r="G245" s="23"/>
      <c r="H245" s="28"/>
      <c r="I245" s="28"/>
      <c r="J245" s="28"/>
      <c r="K245" s="28"/>
      <c r="L245" s="28"/>
    </row>
    <row r="246" spans="1:20" ht="15.75" customHeight="1" x14ac:dyDescent="0.25">
      <c r="B246" s="332" t="s">
        <v>346</v>
      </c>
      <c r="C246" s="297"/>
      <c r="D246" s="297"/>
      <c r="E246" s="297"/>
      <c r="F246" s="297"/>
      <c r="G246" s="298"/>
      <c r="I246" s="332" t="s">
        <v>347</v>
      </c>
      <c r="J246" s="297"/>
      <c r="K246" s="297"/>
      <c r="L246" s="298"/>
      <c r="N246" s="324" t="s">
        <v>348</v>
      </c>
      <c r="O246" s="315"/>
      <c r="P246" s="315"/>
      <c r="Q246" s="315"/>
      <c r="R246" s="315"/>
      <c r="S246" s="315"/>
    </row>
    <row r="247" spans="1:20" ht="15.75" customHeight="1" x14ac:dyDescent="0.25">
      <c r="B247" s="4" t="s">
        <v>0</v>
      </c>
      <c r="C247" s="5" t="s">
        <v>1</v>
      </c>
      <c r="D247" s="5" t="s">
        <v>42</v>
      </c>
      <c r="E247" s="5" t="s">
        <v>43</v>
      </c>
      <c r="F247" s="5" t="s">
        <v>44</v>
      </c>
      <c r="G247" s="7"/>
      <c r="H247" s="160"/>
      <c r="I247" s="338" t="s">
        <v>45</v>
      </c>
      <c r="J247" s="318"/>
      <c r="K247" s="318"/>
      <c r="L247" s="319"/>
      <c r="N247" s="315"/>
      <c r="O247" s="315"/>
      <c r="P247" s="315"/>
      <c r="Q247" s="315"/>
      <c r="R247" s="315"/>
      <c r="S247" s="315"/>
    </row>
    <row r="248" spans="1:20" ht="15.75" customHeight="1" x14ac:dyDescent="0.2">
      <c r="B248" s="310" t="s">
        <v>275</v>
      </c>
      <c r="C248" s="297"/>
      <c r="D248" s="297"/>
      <c r="E248" s="297"/>
      <c r="F248" s="306"/>
      <c r="G248" s="162"/>
      <c r="I248" s="305" t="s">
        <v>275</v>
      </c>
      <c r="J248" s="297"/>
      <c r="K248" s="297"/>
      <c r="L248" s="298"/>
      <c r="N248" s="315"/>
      <c r="O248" s="315"/>
      <c r="P248" s="315"/>
      <c r="Q248" s="315"/>
      <c r="R248" s="315"/>
      <c r="S248" s="315"/>
    </row>
    <row r="249" spans="1:20" ht="15.75" customHeight="1" x14ac:dyDescent="0.2">
      <c r="B249" s="9" t="s">
        <v>11</v>
      </c>
      <c r="C249" s="12" t="s">
        <v>12</v>
      </c>
      <c r="D249" s="17">
        <v>520</v>
      </c>
      <c r="E249" s="22">
        <v>500</v>
      </c>
      <c r="F249" s="11">
        <v>520</v>
      </c>
      <c r="G249" s="110"/>
      <c r="I249" s="12"/>
      <c r="J249" s="12" t="s">
        <v>52</v>
      </c>
      <c r="K249" s="12" t="s">
        <v>53</v>
      </c>
      <c r="L249" s="12" t="s">
        <v>358</v>
      </c>
      <c r="N249" s="315"/>
      <c r="O249" s="315"/>
      <c r="P249" s="315"/>
      <c r="Q249" s="315"/>
      <c r="R249" s="315"/>
      <c r="S249" s="315"/>
    </row>
    <row r="250" spans="1:20" ht="15.75" customHeight="1" x14ac:dyDescent="0.2">
      <c r="B250" s="9" t="s">
        <v>11</v>
      </c>
      <c r="C250" s="12" t="s">
        <v>18</v>
      </c>
      <c r="D250" s="17">
        <v>0</v>
      </c>
      <c r="E250" s="22">
        <v>0</v>
      </c>
      <c r="F250" s="11">
        <v>0</v>
      </c>
      <c r="G250" s="110"/>
      <c r="I250" s="12" t="s">
        <v>12</v>
      </c>
      <c r="J250" s="17">
        <v>500</v>
      </c>
      <c r="K250" s="11">
        <f>D249</f>
        <v>520</v>
      </c>
      <c r="L250" s="17" t="s">
        <v>362</v>
      </c>
      <c r="N250" s="315"/>
      <c r="O250" s="315"/>
      <c r="P250" s="315"/>
      <c r="Q250" s="315"/>
      <c r="R250" s="315"/>
      <c r="S250" s="315"/>
    </row>
    <row r="251" spans="1:20" ht="15.75" customHeight="1" x14ac:dyDescent="0.2">
      <c r="B251" s="9" t="s">
        <v>21</v>
      </c>
      <c r="C251" s="12" t="s">
        <v>59</v>
      </c>
      <c r="D251" s="17">
        <v>440</v>
      </c>
      <c r="E251" s="22">
        <v>418</v>
      </c>
      <c r="F251" s="11">
        <v>445</v>
      </c>
      <c r="G251" s="110"/>
      <c r="I251" s="12" t="s">
        <v>18</v>
      </c>
      <c r="J251" s="17">
        <v>0</v>
      </c>
      <c r="K251" s="11">
        <v>0</v>
      </c>
      <c r="L251" s="17" t="s">
        <v>363</v>
      </c>
      <c r="N251" s="315"/>
      <c r="O251" s="315"/>
      <c r="P251" s="315"/>
      <c r="Q251" s="315"/>
      <c r="R251" s="315"/>
      <c r="S251" s="315"/>
    </row>
    <row r="252" spans="1:20" ht="15.75" customHeight="1" x14ac:dyDescent="0.2">
      <c r="B252" s="9" t="s">
        <v>21</v>
      </c>
      <c r="C252" s="12" t="s">
        <v>63</v>
      </c>
      <c r="D252" s="17">
        <v>160</v>
      </c>
      <c r="E252" s="22">
        <v>143</v>
      </c>
      <c r="F252" s="11">
        <v>159</v>
      </c>
      <c r="G252" s="110"/>
      <c r="I252" s="305" t="s">
        <v>313</v>
      </c>
      <c r="J252" s="297"/>
      <c r="K252" s="297"/>
      <c r="L252" s="298"/>
      <c r="N252" s="315"/>
      <c r="O252" s="315"/>
      <c r="P252" s="315"/>
      <c r="Q252" s="315"/>
      <c r="R252" s="315"/>
      <c r="S252" s="315"/>
    </row>
    <row r="253" spans="1:20" ht="15.75" customHeight="1" x14ac:dyDescent="0.2">
      <c r="B253" s="310" t="s">
        <v>313</v>
      </c>
      <c r="C253" s="297"/>
      <c r="D253" s="297"/>
      <c r="E253" s="297"/>
      <c r="F253" s="306"/>
      <c r="G253" s="162"/>
      <c r="I253" s="12" t="s">
        <v>12</v>
      </c>
      <c r="J253" s="17">
        <v>480</v>
      </c>
      <c r="K253" s="11">
        <f>D254</f>
        <v>500</v>
      </c>
      <c r="L253" s="17" t="s">
        <v>364</v>
      </c>
    </row>
    <row r="254" spans="1:20" ht="15.75" customHeight="1" x14ac:dyDescent="0.2">
      <c r="B254" s="9" t="s">
        <v>11</v>
      </c>
      <c r="C254" s="12" t="s">
        <v>12</v>
      </c>
      <c r="D254" s="17">
        <v>500</v>
      </c>
      <c r="E254" s="22">
        <v>480</v>
      </c>
      <c r="F254" s="22">
        <v>505</v>
      </c>
      <c r="G254" s="110"/>
      <c r="I254" s="12" t="s">
        <v>18</v>
      </c>
      <c r="J254" s="17">
        <v>0</v>
      </c>
      <c r="K254" s="11">
        <v>0</v>
      </c>
      <c r="L254" s="17" t="s">
        <v>365</v>
      </c>
    </row>
    <row r="255" spans="1:20" ht="15.75" customHeight="1" x14ac:dyDescent="0.2">
      <c r="B255" s="9" t="s">
        <v>11</v>
      </c>
      <c r="C255" s="12" t="s">
        <v>18</v>
      </c>
      <c r="D255" s="17">
        <v>0</v>
      </c>
      <c r="E255" s="22">
        <v>0</v>
      </c>
      <c r="F255" s="22">
        <v>0</v>
      </c>
      <c r="G255" s="110"/>
    </row>
    <row r="256" spans="1:20" ht="15.75" customHeight="1" x14ac:dyDescent="0.2">
      <c r="B256" s="9" t="s">
        <v>21</v>
      </c>
      <c r="C256" s="12" t="s">
        <v>59</v>
      </c>
      <c r="D256" s="17">
        <v>430</v>
      </c>
      <c r="E256" s="22">
        <v>400</v>
      </c>
      <c r="F256" s="22">
        <v>431</v>
      </c>
      <c r="G256" s="110"/>
    </row>
    <row r="257" spans="1:20" ht="15.75" customHeight="1" x14ac:dyDescent="0.2">
      <c r="B257" s="9" t="s">
        <v>21</v>
      </c>
      <c r="C257" s="12" t="s">
        <v>63</v>
      </c>
      <c r="D257" s="17">
        <v>150</v>
      </c>
      <c r="E257" s="22">
        <v>137</v>
      </c>
      <c r="F257" s="22">
        <v>151</v>
      </c>
      <c r="G257" s="110"/>
    </row>
    <row r="258" spans="1:20" ht="15.75" customHeight="1" x14ac:dyDescent="0.25">
      <c r="G258" s="123"/>
    </row>
    <row r="259" spans="1:20" ht="15.75" customHeight="1" x14ac:dyDescent="0.25">
      <c r="G259" s="123"/>
    </row>
    <row r="260" spans="1:20" ht="15.75" customHeight="1" x14ac:dyDescent="0.25">
      <c r="G260" s="123"/>
    </row>
    <row r="261" spans="1:20" ht="15.75" customHeight="1" x14ac:dyDescent="0.25">
      <c r="G261" s="123"/>
    </row>
    <row r="262" spans="1:20" ht="15.75" customHeight="1" x14ac:dyDescent="0.25">
      <c r="A262" s="29"/>
      <c r="B262" s="30"/>
      <c r="C262" s="30"/>
      <c r="D262" s="32"/>
      <c r="E262" s="32"/>
      <c r="F262" s="159"/>
      <c r="G262" s="29"/>
      <c r="H262" s="29"/>
      <c r="I262" s="34"/>
      <c r="J262" s="29"/>
      <c r="K262" s="29"/>
      <c r="L262" s="29"/>
      <c r="M262" s="29"/>
      <c r="N262" s="29"/>
      <c r="O262" s="29"/>
      <c r="P262" s="29"/>
      <c r="Q262" s="29"/>
      <c r="R262" s="29"/>
      <c r="S262" s="29"/>
      <c r="T262" s="29"/>
    </row>
    <row r="263" spans="1:20" ht="15.75" customHeight="1" x14ac:dyDescent="0.25">
      <c r="G263" s="123"/>
    </row>
    <row r="264" spans="1:20" ht="15.75" customHeight="1" x14ac:dyDescent="0.25">
      <c r="B264" s="27" t="s">
        <v>270</v>
      </c>
      <c r="C264" s="27"/>
      <c r="D264" s="27"/>
      <c r="E264" s="38"/>
      <c r="F264" s="38"/>
      <c r="G264" s="149"/>
      <c r="H264" s="28"/>
    </row>
    <row r="265" spans="1:20" ht="15.75" customHeight="1" x14ac:dyDescent="0.25">
      <c r="B265" s="27"/>
      <c r="C265" s="27"/>
      <c r="D265" s="27"/>
      <c r="E265" s="38"/>
      <c r="F265" s="38"/>
      <c r="G265" s="149"/>
      <c r="H265" s="28"/>
    </row>
    <row r="266" spans="1:20" ht="15.75" customHeight="1" x14ac:dyDescent="0.25">
      <c r="B266" s="28"/>
      <c r="C266" s="23"/>
      <c r="D266" s="23"/>
      <c r="E266" s="23"/>
      <c r="F266" s="23"/>
      <c r="G266" s="23"/>
      <c r="H266" s="28"/>
      <c r="I266" s="28"/>
      <c r="J266" s="28"/>
      <c r="K266" s="28"/>
      <c r="L266" s="28"/>
    </row>
    <row r="267" spans="1:20" ht="15.75" customHeight="1" x14ac:dyDescent="0.25">
      <c r="B267" s="336" t="s">
        <v>367</v>
      </c>
      <c r="C267" s="334"/>
      <c r="D267" s="334"/>
      <c r="E267" s="334"/>
      <c r="F267" s="335"/>
    </row>
    <row r="268" spans="1:20" ht="15.75" customHeight="1" x14ac:dyDescent="0.2">
      <c r="B268" s="166" t="s">
        <v>0</v>
      </c>
      <c r="C268" s="166" t="s">
        <v>1</v>
      </c>
      <c r="D268" s="166" t="s">
        <v>42</v>
      </c>
      <c r="E268" s="166" t="s">
        <v>43</v>
      </c>
      <c r="F268" s="166" t="s">
        <v>44</v>
      </c>
      <c r="H268" s="296" t="s">
        <v>45</v>
      </c>
      <c r="I268" s="297"/>
      <c r="J268" s="297"/>
      <c r="K268" s="298"/>
      <c r="O268" s="324" t="s">
        <v>368</v>
      </c>
      <c r="P268" s="315"/>
      <c r="Q268" s="315"/>
      <c r="R268" s="315"/>
      <c r="S268" s="315"/>
    </row>
    <row r="269" spans="1:20" ht="15.75" customHeight="1" x14ac:dyDescent="0.2">
      <c r="B269" s="337" t="s">
        <v>275</v>
      </c>
      <c r="C269" s="334"/>
      <c r="D269" s="334"/>
      <c r="E269" s="334"/>
      <c r="F269" s="335"/>
      <c r="H269" s="305" t="s">
        <v>275</v>
      </c>
      <c r="I269" s="297"/>
      <c r="J269" s="297"/>
      <c r="K269" s="298"/>
      <c r="O269" s="315"/>
      <c r="P269" s="315"/>
      <c r="Q269" s="315"/>
      <c r="R269" s="315"/>
      <c r="S269" s="315"/>
    </row>
    <row r="270" spans="1:20" ht="15.75" customHeight="1" x14ac:dyDescent="0.2">
      <c r="B270" s="167" t="s">
        <v>11</v>
      </c>
      <c r="C270" s="167" t="s">
        <v>12</v>
      </c>
      <c r="D270" s="167">
        <v>740</v>
      </c>
      <c r="E270" s="167">
        <v>65535</v>
      </c>
      <c r="F270" s="168">
        <v>889</v>
      </c>
      <c r="H270" s="12"/>
      <c r="I270" s="12" t="s">
        <v>52</v>
      </c>
      <c r="J270" s="12" t="s">
        <v>53</v>
      </c>
      <c r="K270" s="12"/>
      <c r="O270" s="315"/>
      <c r="P270" s="315"/>
      <c r="Q270" s="315"/>
      <c r="R270" s="315"/>
      <c r="S270" s="315"/>
    </row>
    <row r="271" spans="1:20" ht="15.75" customHeight="1" x14ac:dyDescent="0.2">
      <c r="B271" s="167" t="s">
        <v>11</v>
      </c>
      <c r="C271" s="167" t="s">
        <v>18</v>
      </c>
      <c r="D271" s="167">
        <v>0</v>
      </c>
      <c r="E271" s="170">
        <v>0</v>
      </c>
      <c r="F271" s="168">
        <v>0</v>
      </c>
      <c r="H271" s="12" t="s">
        <v>12</v>
      </c>
      <c r="I271" s="11">
        <v>740</v>
      </c>
      <c r="J271" s="11">
        <v>900</v>
      </c>
      <c r="K271" s="17" t="s">
        <v>370</v>
      </c>
      <c r="O271" s="315"/>
      <c r="P271" s="315"/>
      <c r="Q271" s="315"/>
      <c r="R271" s="315"/>
      <c r="S271" s="315"/>
    </row>
    <row r="272" spans="1:20" ht="15.75" customHeight="1" x14ac:dyDescent="0.2">
      <c r="B272" s="167" t="s">
        <v>21</v>
      </c>
      <c r="C272" s="167" t="s">
        <v>59</v>
      </c>
      <c r="D272" s="167">
        <v>440</v>
      </c>
      <c r="E272" s="167">
        <v>65535</v>
      </c>
      <c r="F272" s="168">
        <v>428</v>
      </c>
      <c r="H272" s="12" t="s">
        <v>18</v>
      </c>
      <c r="I272" s="25">
        <v>0</v>
      </c>
      <c r="J272" s="25">
        <v>0</v>
      </c>
      <c r="K272" s="24" t="s">
        <v>371</v>
      </c>
      <c r="O272" s="315"/>
      <c r="P272" s="315"/>
      <c r="Q272" s="315"/>
      <c r="R272" s="315"/>
      <c r="S272" s="315"/>
    </row>
    <row r="273" spans="1:19" ht="15.75" customHeight="1" x14ac:dyDescent="0.2">
      <c r="B273" s="167" t="s">
        <v>21</v>
      </c>
      <c r="C273" s="167" t="s">
        <v>63</v>
      </c>
      <c r="D273" s="167">
        <v>160</v>
      </c>
      <c r="E273" s="167">
        <v>65535</v>
      </c>
      <c r="F273" s="168">
        <v>164</v>
      </c>
      <c r="H273" s="330"/>
      <c r="I273" s="315"/>
      <c r="J273" s="315"/>
      <c r="K273" s="315"/>
      <c r="O273" s="315"/>
      <c r="P273" s="315"/>
      <c r="Q273" s="315"/>
      <c r="R273" s="315"/>
      <c r="S273" s="315"/>
    </row>
    <row r="274" spans="1:19" ht="15.75" customHeight="1" x14ac:dyDescent="0.25">
      <c r="B274" s="167" t="s">
        <v>21</v>
      </c>
      <c r="C274" s="167" t="s">
        <v>218</v>
      </c>
      <c r="D274" s="167">
        <v>0</v>
      </c>
      <c r="E274" s="167">
        <v>65535</v>
      </c>
      <c r="F274" s="168">
        <v>0</v>
      </c>
      <c r="G274" s="123"/>
    </row>
    <row r="275" spans="1:19" ht="15.75" customHeight="1" x14ac:dyDescent="0.25">
      <c r="G275" s="123"/>
    </row>
    <row r="276" spans="1:19" ht="15.75" customHeight="1" x14ac:dyDescent="0.2">
      <c r="A276" s="339" t="s">
        <v>372</v>
      </c>
      <c r="B276" s="334"/>
      <c r="C276" s="334"/>
      <c r="D276" s="334"/>
      <c r="E276" s="334"/>
      <c r="F276" s="334"/>
      <c r="G276" s="334"/>
      <c r="H276" s="334"/>
      <c r="I276" s="334"/>
      <c r="J276" s="334"/>
      <c r="K276" s="334"/>
      <c r="L276" s="334"/>
      <c r="M276" s="334"/>
      <c r="N276" s="334"/>
      <c r="O276" s="335"/>
    </row>
    <row r="277" spans="1:19" ht="15.75" customHeight="1" x14ac:dyDescent="0.25">
      <c r="A277" s="340" t="s">
        <v>373</v>
      </c>
      <c r="B277" s="334"/>
      <c r="C277" s="335"/>
      <c r="D277" s="340" t="s">
        <v>375</v>
      </c>
      <c r="E277" s="334"/>
      <c r="F277" s="335"/>
      <c r="G277" s="336" t="s">
        <v>376</v>
      </c>
      <c r="H277" s="334"/>
      <c r="I277" s="335"/>
      <c r="J277" s="336" t="s">
        <v>377</v>
      </c>
      <c r="K277" s="334"/>
      <c r="L277" s="334"/>
      <c r="M277" s="334"/>
      <c r="N277" s="334"/>
      <c r="O277" s="335"/>
    </row>
    <row r="278" spans="1:19" ht="15.75" customHeight="1" x14ac:dyDescent="0.2">
      <c r="A278" s="340"/>
      <c r="B278" s="334"/>
      <c r="C278" s="335"/>
      <c r="D278" s="167" t="s">
        <v>379</v>
      </c>
      <c r="E278" s="167" t="s">
        <v>380</v>
      </c>
      <c r="F278" s="93" t="s">
        <v>381</v>
      </c>
      <c r="G278" s="167" t="s">
        <v>379</v>
      </c>
      <c r="H278" s="167" t="s">
        <v>380</v>
      </c>
      <c r="I278" s="93" t="s">
        <v>381</v>
      </c>
      <c r="J278" s="341"/>
      <c r="K278" s="334"/>
      <c r="L278" s="334"/>
      <c r="M278" s="334"/>
      <c r="N278" s="334"/>
      <c r="O278" s="335"/>
    </row>
    <row r="279" spans="1:19" ht="15.75" customHeight="1" x14ac:dyDescent="0.25">
      <c r="A279" s="333" t="s">
        <v>383</v>
      </c>
      <c r="B279" s="334"/>
      <c r="C279" s="335"/>
      <c r="D279" s="171"/>
      <c r="E279" s="172"/>
      <c r="F279" s="173" t="s">
        <v>385</v>
      </c>
      <c r="G279" s="174" t="s">
        <v>385</v>
      </c>
      <c r="H279" s="174"/>
      <c r="I279" s="174"/>
      <c r="J279" s="333" t="s">
        <v>387</v>
      </c>
      <c r="K279" s="334"/>
      <c r="L279" s="334"/>
      <c r="M279" s="334"/>
      <c r="N279" s="334"/>
      <c r="O279" s="335"/>
      <c r="P279" s="48"/>
      <c r="Q279" s="48"/>
      <c r="R279" s="48"/>
      <c r="S279" s="48"/>
    </row>
    <row r="280" spans="1:19" ht="15.75" customHeight="1" x14ac:dyDescent="0.25">
      <c r="A280" s="333" t="s">
        <v>389</v>
      </c>
      <c r="B280" s="334"/>
      <c r="C280" s="335"/>
      <c r="D280" s="173"/>
      <c r="E280" s="173" t="s">
        <v>385</v>
      </c>
      <c r="F280" s="173"/>
      <c r="G280" s="173" t="s">
        <v>385</v>
      </c>
      <c r="H280" s="173"/>
      <c r="I280" s="173"/>
      <c r="J280" s="333" t="s">
        <v>390</v>
      </c>
      <c r="K280" s="334"/>
      <c r="L280" s="334"/>
      <c r="M280" s="334"/>
      <c r="N280" s="334"/>
      <c r="O280" s="335"/>
      <c r="P280" s="48"/>
      <c r="Q280" s="48"/>
      <c r="R280" s="48"/>
      <c r="S280" s="48"/>
    </row>
    <row r="281" spans="1:19" ht="15.75" customHeight="1" x14ac:dyDescent="0.25">
      <c r="A281" s="333" t="s">
        <v>391</v>
      </c>
      <c r="B281" s="334"/>
      <c r="C281" s="335"/>
      <c r="D281" s="173" t="s">
        <v>385</v>
      </c>
      <c r="E281" s="173"/>
      <c r="F281" s="173"/>
      <c r="G281" s="173" t="s">
        <v>385</v>
      </c>
      <c r="H281" s="173"/>
      <c r="I281" s="173"/>
      <c r="J281" s="333" t="s">
        <v>392</v>
      </c>
      <c r="K281" s="334"/>
      <c r="L281" s="334"/>
      <c r="M281" s="334"/>
      <c r="N281" s="334"/>
      <c r="O281" s="335"/>
      <c r="P281" s="48"/>
      <c r="Q281" s="48"/>
      <c r="R281" s="48"/>
      <c r="S281" s="48"/>
    </row>
    <row r="282" spans="1:19" ht="15.75" customHeight="1" x14ac:dyDescent="0.25">
      <c r="A282" s="333" t="s">
        <v>393</v>
      </c>
      <c r="B282" s="334"/>
      <c r="C282" s="335"/>
      <c r="D282" s="173" t="s">
        <v>385</v>
      </c>
      <c r="E282" s="173"/>
      <c r="F282" s="173"/>
      <c r="G282" s="173" t="s">
        <v>385</v>
      </c>
      <c r="H282" s="173"/>
      <c r="I282" s="173"/>
      <c r="J282" s="333" t="s">
        <v>394</v>
      </c>
      <c r="K282" s="334"/>
      <c r="L282" s="334"/>
      <c r="M282" s="334"/>
      <c r="N282" s="334"/>
      <c r="O282" s="335"/>
      <c r="P282" s="48"/>
      <c r="Q282" s="48"/>
      <c r="R282" s="48"/>
      <c r="S282" s="48"/>
    </row>
    <row r="283" spans="1:19" ht="15.75" customHeight="1" x14ac:dyDescent="0.25">
      <c r="A283" s="333" t="s">
        <v>395</v>
      </c>
      <c r="B283" s="334"/>
      <c r="C283" s="335"/>
      <c r="D283" s="173" t="s">
        <v>385</v>
      </c>
      <c r="E283" s="173"/>
      <c r="F283" s="173"/>
      <c r="G283" s="173" t="s">
        <v>385</v>
      </c>
      <c r="H283" s="173"/>
      <c r="I283" s="173"/>
      <c r="J283" s="333" t="s">
        <v>397</v>
      </c>
      <c r="K283" s="334"/>
      <c r="L283" s="334"/>
      <c r="M283" s="334"/>
      <c r="N283" s="334"/>
      <c r="O283" s="335"/>
      <c r="P283" s="48"/>
      <c r="Q283" s="48"/>
      <c r="R283" s="48"/>
      <c r="S283" s="48"/>
    </row>
    <row r="284" spans="1:19" ht="15.75" customHeight="1" x14ac:dyDescent="0.25">
      <c r="A284" s="333" t="s">
        <v>398</v>
      </c>
      <c r="B284" s="334"/>
      <c r="C284" s="335"/>
      <c r="D284" s="173" t="s">
        <v>399</v>
      </c>
      <c r="E284" s="173"/>
      <c r="F284" s="173"/>
      <c r="G284" s="173" t="s">
        <v>385</v>
      </c>
      <c r="H284" s="173"/>
      <c r="I284" s="173"/>
      <c r="J284" s="333" t="s">
        <v>400</v>
      </c>
      <c r="K284" s="334"/>
      <c r="L284" s="334"/>
      <c r="M284" s="334"/>
      <c r="N284" s="334"/>
      <c r="O284" s="335"/>
      <c r="P284" s="48"/>
      <c r="Q284" s="48"/>
      <c r="R284" s="48"/>
      <c r="S284" s="48"/>
    </row>
    <row r="285" spans="1:19" ht="15.75" customHeight="1" x14ac:dyDescent="0.25">
      <c r="A285" s="333" t="s">
        <v>401</v>
      </c>
      <c r="B285" s="334"/>
      <c r="C285" s="335"/>
      <c r="D285" s="173" t="s">
        <v>385</v>
      </c>
      <c r="E285" s="173"/>
      <c r="F285" s="173"/>
      <c r="G285" s="173" t="s">
        <v>385</v>
      </c>
      <c r="H285" s="173"/>
      <c r="I285" s="173"/>
      <c r="J285" s="333" t="s">
        <v>402</v>
      </c>
      <c r="K285" s="334"/>
      <c r="L285" s="334"/>
      <c r="M285" s="334"/>
      <c r="N285" s="334"/>
      <c r="O285" s="335"/>
      <c r="P285" s="48"/>
      <c r="Q285" s="48"/>
      <c r="R285" s="48"/>
      <c r="S285" s="48"/>
    </row>
    <row r="286" spans="1:19" ht="15.75" customHeight="1" x14ac:dyDescent="0.25">
      <c r="A286" s="333" t="s">
        <v>403</v>
      </c>
      <c r="B286" s="334"/>
      <c r="C286" s="335"/>
      <c r="D286" s="173" t="s">
        <v>399</v>
      </c>
      <c r="E286" s="173"/>
      <c r="F286" s="173"/>
      <c r="G286" s="173" t="s">
        <v>385</v>
      </c>
      <c r="H286" s="173"/>
      <c r="I286" s="173"/>
      <c r="J286" s="333" t="s">
        <v>404</v>
      </c>
      <c r="K286" s="334"/>
      <c r="L286" s="334"/>
      <c r="M286" s="334"/>
      <c r="N286" s="334"/>
      <c r="O286" s="335"/>
    </row>
    <row r="287" spans="1:19" ht="15.75" customHeight="1" x14ac:dyDescent="0.25">
      <c r="A287" s="333" t="s">
        <v>405</v>
      </c>
      <c r="B287" s="334"/>
      <c r="C287" s="335"/>
      <c r="D287" s="173" t="s">
        <v>399</v>
      </c>
      <c r="E287" s="173"/>
      <c r="F287" s="173"/>
      <c r="G287" s="173" t="s">
        <v>385</v>
      </c>
      <c r="H287" s="173"/>
      <c r="I287" s="173"/>
      <c r="J287" s="333" t="s">
        <v>407</v>
      </c>
      <c r="K287" s="334"/>
      <c r="L287" s="334"/>
      <c r="M287" s="334"/>
      <c r="N287" s="334"/>
      <c r="O287" s="335"/>
    </row>
    <row r="288" spans="1:19" ht="15.75" customHeight="1" x14ac:dyDescent="0.25">
      <c r="A288" s="333" t="s">
        <v>408</v>
      </c>
      <c r="B288" s="334"/>
      <c r="C288" s="335"/>
      <c r="D288" s="173" t="s">
        <v>385</v>
      </c>
      <c r="E288" s="173"/>
      <c r="F288" s="173"/>
      <c r="G288" s="173" t="s">
        <v>385</v>
      </c>
      <c r="H288" s="173"/>
      <c r="I288" s="173"/>
      <c r="J288" s="333" t="s">
        <v>409</v>
      </c>
      <c r="K288" s="334"/>
      <c r="L288" s="334"/>
      <c r="M288" s="334"/>
      <c r="N288" s="334"/>
      <c r="O288" s="335"/>
    </row>
    <row r="289" spans="1:16" ht="15.75" customHeight="1" x14ac:dyDescent="0.25">
      <c r="A289" s="333" t="s">
        <v>411</v>
      </c>
      <c r="B289" s="334"/>
      <c r="C289" s="335"/>
      <c r="D289" s="173"/>
      <c r="E289" s="173" t="s">
        <v>385</v>
      </c>
      <c r="F289" s="173"/>
      <c r="G289" s="173"/>
      <c r="H289" s="173" t="s">
        <v>385</v>
      </c>
      <c r="I289" s="173"/>
      <c r="J289" s="333" t="s">
        <v>412</v>
      </c>
      <c r="K289" s="334"/>
      <c r="L289" s="334"/>
      <c r="M289" s="334"/>
      <c r="N289" s="334"/>
      <c r="O289" s="335"/>
    </row>
    <row r="290" spans="1:16" ht="15.75" customHeight="1" x14ac:dyDescent="0.25">
      <c r="A290" s="333" t="s">
        <v>413</v>
      </c>
      <c r="B290" s="334"/>
      <c r="C290" s="335"/>
      <c r="D290" s="173" t="s">
        <v>385</v>
      </c>
      <c r="E290" s="173"/>
      <c r="F290" s="173"/>
      <c r="G290" s="173" t="s">
        <v>385</v>
      </c>
      <c r="H290" s="173"/>
      <c r="I290" s="173"/>
      <c r="J290" s="333" t="s">
        <v>414</v>
      </c>
      <c r="K290" s="334"/>
      <c r="L290" s="334"/>
      <c r="M290" s="334"/>
      <c r="N290" s="334"/>
      <c r="O290" s="335"/>
    </row>
    <row r="291" spans="1:16" ht="15.75" customHeight="1" x14ac:dyDescent="0.25">
      <c r="A291" s="333" t="s">
        <v>416</v>
      </c>
      <c r="B291" s="334"/>
      <c r="C291" s="335"/>
      <c r="D291" s="173" t="s">
        <v>385</v>
      </c>
      <c r="E291" s="173"/>
      <c r="F291" s="173"/>
      <c r="G291" s="173" t="s">
        <v>385</v>
      </c>
      <c r="H291" s="173"/>
      <c r="I291" s="173"/>
      <c r="J291" s="333" t="s">
        <v>417</v>
      </c>
      <c r="K291" s="334"/>
      <c r="L291" s="334"/>
      <c r="M291" s="334"/>
      <c r="N291" s="334"/>
      <c r="O291" s="335"/>
    </row>
    <row r="292" spans="1:16" ht="15.75" customHeight="1" x14ac:dyDescent="0.25">
      <c r="A292" s="333" t="s">
        <v>418</v>
      </c>
      <c r="B292" s="334"/>
      <c r="C292" s="335"/>
      <c r="D292" s="173" t="s">
        <v>399</v>
      </c>
      <c r="E292" s="173"/>
      <c r="F292" s="173"/>
      <c r="G292" s="173" t="s">
        <v>399</v>
      </c>
      <c r="H292" s="173"/>
      <c r="I292" s="173"/>
      <c r="J292" s="333" t="s">
        <v>420</v>
      </c>
      <c r="K292" s="334"/>
      <c r="L292" s="334"/>
      <c r="M292" s="334"/>
      <c r="N292" s="334"/>
      <c r="O292" s="335"/>
    </row>
    <row r="293" spans="1:16" ht="15.75" customHeight="1" x14ac:dyDescent="0.25">
      <c r="A293" s="333" t="s">
        <v>421</v>
      </c>
      <c r="B293" s="334"/>
      <c r="C293" s="335"/>
      <c r="D293" s="173"/>
      <c r="E293" s="173"/>
      <c r="F293" s="173"/>
      <c r="G293" s="173" t="s">
        <v>385</v>
      </c>
      <c r="H293" s="173"/>
      <c r="I293" s="173"/>
      <c r="J293" s="333" t="s">
        <v>422</v>
      </c>
      <c r="K293" s="334"/>
      <c r="L293" s="334"/>
      <c r="M293" s="334"/>
      <c r="N293" s="334"/>
      <c r="O293" s="335"/>
    </row>
    <row r="294" spans="1:16" ht="15.75" customHeight="1" x14ac:dyDescent="0.25">
      <c r="G294" s="123"/>
    </row>
    <row r="295" spans="1:16" ht="15.75" customHeight="1" x14ac:dyDescent="0.25">
      <c r="B295" s="28" t="s">
        <v>307</v>
      </c>
      <c r="C295" s="28"/>
      <c r="D295" s="28"/>
      <c r="E295" s="28"/>
      <c r="F295" s="28"/>
      <c r="G295" s="28"/>
      <c r="H295" s="28"/>
      <c r="I295" s="28"/>
      <c r="J295" s="28"/>
      <c r="K295" s="28"/>
      <c r="L295" s="28"/>
    </row>
    <row r="296" spans="1:16" ht="15.75" customHeight="1" x14ac:dyDescent="0.25">
      <c r="B296" s="28"/>
      <c r="C296" s="23"/>
      <c r="D296" s="23"/>
      <c r="E296" s="23"/>
      <c r="F296" s="23"/>
      <c r="G296" s="23"/>
      <c r="H296" s="28"/>
      <c r="I296" s="28"/>
      <c r="J296" s="28"/>
      <c r="K296" s="28"/>
      <c r="L296" s="28"/>
    </row>
    <row r="297" spans="1:16" ht="15.75" customHeight="1" x14ac:dyDescent="0.25">
      <c r="B297" s="304" t="s">
        <v>423</v>
      </c>
      <c r="C297" s="297"/>
      <c r="D297" s="297"/>
      <c r="E297" s="297"/>
      <c r="F297" s="298"/>
      <c r="G297" s="123"/>
      <c r="I297" s="296" t="s">
        <v>45</v>
      </c>
      <c r="J297" s="297"/>
      <c r="K297" s="297"/>
      <c r="L297" s="298"/>
      <c r="N297" s="324" t="s">
        <v>424</v>
      </c>
      <c r="O297" s="315"/>
      <c r="P297" s="315"/>
    </row>
    <row r="298" spans="1:16" ht="15.75" customHeight="1" x14ac:dyDescent="0.25">
      <c r="B298" s="151" t="s">
        <v>0</v>
      </c>
      <c r="C298" s="152" t="s">
        <v>1</v>
      </c>
      <c r="D298" s="152" t="s">
        <v>42</v>
      </c>
      <c r="E298" s="152" t="s">
        <v>43</v>
      </c>
      <c r="F298" s="152" t="s">
        <v>44</v>
      </c>
      <c r="G298" s="123"/>
      <c r="H298" s="160"/>
      <c r="I298" s="342" t="s">
        <v>275</v>
      </c>
      <c r="J298" s="343"/>
      <c r="K298" s="343"/>
      <c r="L298" s="344"/>
      <c r="N298" s="315"/>
      <c r="O298" s="315"/>
      <c r="P298" s="315"/>
    </row>
    <row r="299" spans="1:16" ht="15.75" customHeight="1" x14ac:dyDescent="0.25">
      <c r="B299" s="310" t="s">
        <v>275</v>
      </c>
      <c r="C299" s="297"/>
      <c r="D299" s="297"/>
      <c r="E299" s="297"/>
      <c r="F299" s="298"/>
      <c r="G299" s="123"/>
      <c r="I299" s="12"/>
      <c r="J299" s="12" t="s">
        <v>52</v>
      </c>
      <c r="K299" s="12" t="s">
        <v>53</v>
      </c>
      <c r="L299" s="12" t="s">
        <v>358</v>
      </c>
      <c r="N299" s="315"/>
      <c r="O299" s="315"/>
      <c r="P299" s="315"/>
    </row>
    <row r="300" spans="1:16" ht="15.75" customHeight="1" x14ac:dyDescent="0.25">
      <c r="B300" s="9" t="s">
        <v>11</v>
      </c>
      <c r="C300" s="12" t="s">
        <v>12</v>
      </c>
      <c r="D300" s="17">
        <v>520</v>
      </c>
      <c r="E300" s="22">
        <v>522</v>
      </c>
      <c r="F300" s="11">
        <v>595</v>
      </c>
      <c r="G300" s="123"/>
      <c r="I300" s="12" t="s">
        <v>12</v>
      </c>
      <c r="J300" s="17">
        <v>520</v>
      </c>
      <c r="K300" s="11">
        <v>595</v>
      </c>
      <c r="L300" s="17" t="s">
        <v>427</v>
      </c>
      <c r="N300" s="315"/>
      <c r="O300" s="315"/>
      <c r="P300" s="315"/>
    </row>
    <row r="301" spans="1:16" ht="15.75" customHeight="1" x14ac:dyDescent="0.25">
      <c r="B301" s="9" t="s">
        <v>11</v>
      </c>
      <c r="C301" s="12" t="s">
        <v>18</v>
      </c>
      <c r="D301" s="17">
        <v>0</v>
      </c>
      <c r="E301" s="22">
        <v>0</v>
      </c>
      <c r="F301" s="11">
        <v>0</v>
      </c>
      <c r="G301" s="123"/>
      <c r="I301" s="12" t="s">
        <v>18</v>
      </c>
      <c r="J301" s="17">
        <v>0</v>
      </c>
      <c r="K301" s="11">
        <v>0</v>
      </c>
      <c r="L301" s="17" t="s">
        <v>428</v>
      </c>
      <c r="N301" s="48"/>
      <c r="O301" s="48"/>
    </row>
    <row r="302" spans="1:16" ht="15.75" customHeight="1" x14ac:dyDescent="0.25">
      <c r="B302" s="9" t="s">
        <v>21</v>
      </c>
      <c r="C302" s="12" t="s">
        <v>59</v>
      </c>
      <c r="D302" s="17">
        <v>440</v>
      </c>
      <c r="E302" s="22">
        <v>388</v>
      </c>
      <c r="F302" s="11">
        <v>450</v>
      </c>
      <c r="G302" s="123"/>
      <c r="I302" s="305" t="s">
        <v>313</v>
      </c>
      <c r="J302" s="297"/>
      <c r="K302" s="297"/>
      <c r="L302" s="298"/>
      <c r="N302" s="48"/>
      <c r="O302" s="48"/>
    </row>
    <row r="303" spans="1:16" ht="15.75" customHeight="1" x14ac:dyDescent="0.25">
      <c r="B303" s="9" t="s">
        <v>21</v>
      </c>
      <c r="C303" s="12" t="s">
        <v>63</v>
      </c>
      <c r="D303" s="17">
        <v>160</v>
      </c>
      <c r="E303" s="22">
        <v>153</v>
      </c>
      <c r="F303" s="11">
        <v>167</v>
      </c>
      <c r="G303" s="123"/>
      <c r="I303" s="12" t="s">
        <v>12</v>
      </c>
      <c r="J303" s="17">
        <v>500</v>
      </c>
      <c r="K303" s="11">
        <v>560</v>
      </c>
      <c r="L303" s="17" t="s">
        <v>433</v>
      </c>
      <c r="N303" s="48"/>
      <c r="O303" s="48"/>
    </row>
    <row r="304" spans="1:16" ht="15.75" customHeight="1" x14ac:dyDescent="0.25">
      <c r="B304" s="10" t="s">
        <v>21</v>
      </c>
      <c r="C304" s="10" t="s">
        <v>218</v>
      </c>
      <c r="D304" s="175">
        <v>0</v>
      </c>
      <c r="E304" s="175">
        <v>0</v>
      </c>
      <c r="F304" s="176">
        <v>0</v>
      </c>
      <c r="G304" s="123"/>
      <c r="I304" s="12" t="s">
        <v>18</v>
      </c>
      <c r="J304" s="17">
        <v>0</v>
      </c>
      <c r="K304" s="11">
        <v>0</v>
      </c>
      <c r="L304" s="17" t="s">
        <v>436</v>
      </c>
    </row>
    <row r="305" spans="1:15" ht="15.75" customHeight="1" x14ac:dyDescent="0.25">
      <c r="B305" s="310" t="s">
        <v>313</v>
      </c>
      <c r="C305" s="297"/>
      <c r="D305" s="297"/>
      <c r="E305" s="297"/>
      <c r="F305" s="298"/>
      <c r="G305" s="123"/>
    </row>
    <row r="306" spans="1:15" ht="15.75" customHeight="1" x14ac:dyDescent="0.25">
      <c r="B306" s="9" t="s">
        <v>11</v>
      </c>
      <c r="C306" s="9" t="s">
        <v>12</v>
      </c>
      <c r="D306" s="17">
        <v>500</v>
      </c>
      <c r="E306" s="22">
        <v>501</v>
      </c>
      <c r="F306" s="22">
        <v>560</v>
      </c>
      <c r="G306" s="123"/>
    </row>
    <row r="307" spans="1:15" ht="15.75" customHeight="1" x14ac:dyDescent="0.25">
      <c r="B307" s="9" t="s">
        <v>11</v>
      </c>
      <c r="C307" s="12" t="s">
        <v>18</v>
      </c>
      <c r="D307" s="17">
        <v>0</v>
      </c>
      <c r="E307" s="22">
        <v>0</v>
      </c>
      <c r="F307" s="22">
        <v>0</v>
      </c>
      <c r="G307" s="123"/>
    </row>
    <row r="308" spans="1:15" ht="15.75" customHeight="1" x14ac:dyDescent="0.25">
      <c r="B308" s="9" t="s">
        <v>21</v>
      </c>
      <c r="C308" s="12" t="s">
        <v>59</v>
      </c>
      <c r="D308" s="17">
        <v>430</v>
      </c>
      <c r="E308" s="22">
        <v>375</v>
      </c>
      <c r="F308" s="22">
        <v>422</v>
      </c>
      <c r="G308" s="123"/>
    </row>
    <row r="309" spans="1:15" ht="15.75" customHeight="1" x14ac:dyDescent="0.25">
      <c r="B309" s="9" t="s">
        <v>21</v>
      </c>
      <c r="C309" s="12" t="s">
        <v>63</v>
      </c>
      <c r="D309" s="17">
        <v>150</v>
      </c>
      <c r="E309" s="22">
        <v>141</v>
      </c>
      <c r="F309" s="22">
        <v>150</v>
      </c>
      <c r="G309" s="123"/>
    </row>
    <row r="310" spans="1:15" ht="15.75" customHeight="1" x14ac:dyDescent="0.25">
      <c r="B310" s="12" t="s">
        <v>21</v>
      </c>
      <c r="C310" s="12" t="s">
        <v>218</v>
      </c>
      <c r="D310" s="17">
        <v>0</v>
      </c>
      <c r="E310" s="17">
        <v>0</v>
      </c>
      <c r="F310" s="25">
        <v>0</v>
      </c>
      <c r="G310" s="123"/>
    </row>
    <row r="311" spans="1:15" ht="15.75" customHeight="1" x14ac:dyDescent="0.25">
      <c r="G311" s="123"/>
    </row>
    <row r="312" spans="1:15" ht="15.75" customHeight="1" x14ac:dyDescent="0.2">
      <c r="A312" s="339" t="s">
        <v>372</v>
      </c>
      <c r="B312" s="334"/>
      <c r="C312" s="334"/>
      <c r="D312" s="334"/>
      <c r="E312" s="334"/>
      <c r="F312" s="334"/>
      <c r="G312" s="334"/>
      <c r="H312" s="334"/>
      <c r="I312" s="334"/>
      <c r="J312" s="334"/>
      <c r="K312" s="334"/>
      <c r="L312" s="334"/>
      <c r="M312" s="334"/>
      <c r="N312" s="334"/>
      <c r="O312" s="335"/>
    </row>
    <row r="313" spans="1:15" ht="15" customHeight="1" x14ac:dyDescent="0.25">
      <c r="A313" s="340" t="s">
        <v>373</v>
      </c>
      <c r="B313" s="334"/>
      <c r="C313" s="335"/>
      <c r="D313" s="340" t="s">
        <v>375</v>
      </c>
      <c r="E313" s="334"/>
      <c r="F313" s="335"/>
      <c r="G313" s="336" t="s">
        <v>376</v>
      </c>
      <c r="H313" s="334"/>
      <c r="I313" s="335"/>
      <c r="J313" s="336" t="s">
        <v>377</v>
      </c>
      <c r="K313" s="334"/>
      <c r="L313" s="334"/>
      <c r="M313" s="334"/>
      <c r="N313" s="334"/>
      <c r="O313" s="335"/>
    </row>
    <row r="314" spans="1:15" ht="15.75" customHeight="1" x14ac:dyDescent="0.2">
      <c r="A314" s="340"/>
      <c r="B314" s="334"/>
      <c r="C314" s="335"/>
      <c r="D314" s="167" t="s">
        <v>379</v>
      </c>
      <c r="E314" s="167" t="s">
        <v>380</v>
      </c>
      <c r="F314" s="93" t="s">
        <v>381</v>
      </c>
      <c r="G314" s="167" t="s">
        <v>379</v>
      </c>
      <c r="H314" s="167" t="s">
        <v>380</v>
      </c>
      <c r="I314" s="93" t="s">
        <v>381</v>
      </c>
      <c r="J314" s="341"/>
      <c r="K314" s="334"/>
      <c r="L314" s="334"/>
      <c r="M314" s="334"/>
      <c r="N314" s="334"/>
      <c r="O314" s="335"/>
    </row>
    <row r="315" spans="1:15" ht="15.75" customHeight="1" x14ac:dyDescent="0.25">
      <c r="A315" s="333" t="s">
        <v>383</v>
      </c>
      <c r="B315" s="334"/>
      <c r="C315" s="335"/>
      <c r="D315" s="171"/>
      <c r="E315" s="173" t="s">
        <v>385</v>
      </c>
      <c r="G315" s="174"/>
      <c r="H315" s="174"/>
      <c r="I315" s="174"/>
      <c r="J315" s="333" t="s">
        <v>439</v>
      </c>
      <c r="K315" s="334"/>
      <c r="L315" s="334"/>
      <c r="M315" s="334"/>
      <c r="N315" s="334"/>
      <c r="O315" s="335"/>
    </row>
    <row r="316" spans="1:15" ht="15.75" customHeight="1" x14ac:dyDescent="0.25">
      <c r="A316" s="333" t="s">
        <v>389</v>
      </c>
      <c r="B316" s="334"/>
      <c r="C316" s="335"/>
      <c r="D316" s="173" t="s">
        <v>385</v>
      </c>
      <c r="F316" s="173"/>
      <c r="G316" s="173" t="s">
        <v>385</v>
      </c>
      <c r="H316" s="173"/>
      <c r="I316" s="173"/>
      <c r="J316" s="333" t="s">
        <v>390</v>
      </c>
      <c r="K316" s="334"/>
      <c r="L316" s="334"/>
      <c r="M316" s="334"/>
      <c r="N316" s="334"/>
      <c r="O316" s="335"/>
    </row>
    <row r="317" spans="1:15" ht="15.75" customHeight="1" x14ac:dyDescent="0.25">
      <c r="A317" s="333" t="s">
        <v>391</v>
      </c>
      <c r="B317" s="334"/>
      <c r="C317" s="335"/>
      <c r="D317" s="173" t="s">
        <v>385</v>
      </c>
      <c r="E317" s="173"/>
      <c r="F317" s="173"/>
      <c r="G317" s="173" t="s">
        <v>385</v>
      </c>
      <c r="H317" s="173"/>
      <c r="I317" s="173"/>
      <c r="J317" s="333" t="s">
        <v>392</v>
      </c>
      <c r="K317" s="334"/>
      <c r="L317" s="334"/>
      <c r="M317" s="334"/>
      <c r="N317" s="334"/>
      <c r="O317" s="335"/>
    </row>
    <row r="318" spans="1:15" ht="15.75" customHeight="1" x14ac:dyDescent="0.25">
      <c r="A318" s="333" t="s">
        <v>393</v>
      </c>
      <c r="B318" s="334"/>
      <c r="C318" s="335"/>
      <c r="D318" s="173" t="s">
        <v>385</v>
      </c>
      <c r="E318" s="173"/>
      <c r="F318" s="173"/>
      <c r="G318" s="173" t="s">
        <v>385</v>
      </c>
      <c r="H318" s="173"/>
      <c r="I318" s="173"/>
      <c r="J318" s="333" t="s">
        <v>441</v>
      </c>
      <c r="K318" s="334"/>
      <c r="L318" s="334"/>
      <c r="M318" s="334"/>
      <c r="N318" s="334"/>
      <c r="O318" s="335"/>
    </row>
    <row r="319" spans="1:15" ht="15.75" customHeight="1" x14ac:dyDescent="0.25">
      <c r="A319" s="333" t="s">
        <v>395</v>
      </c>
      <c r="B319" s="334"/>
      <c r="C319" s="335"/>
      <c r="D319" s="173" t="s">
        <v>385</v>
      </c>
      <c r="E319" s="173"/>
      <c r="F319" s="173"/>
      <c r="G319" s="173" t="s">
        <v>385</v>
      </c>
      <c r="H319" s="173"/>
      <c r="I319" s="173"/>
      <c r="J319" s="333" t="s">
        <v>397</v>
      </c>
      <c r="K319" s="334"/>
      <c r="L319" s="334"/>
      <c r="M319" s="334"/>
      <c r="N319" s="334"/>
      <c r="O319" s="335"/>
    </row>
    <row r="320" spans="1:15" ht="15.75" customHeight="1" x14ac:dyDescent="0.25">
      <c r="A320" s="333" t="s">
        <v>398</v>
      </c>
      <c r="B320" s="334"/>
      <c r="C320" s="335"/>
      <c r="D320" s="173" t="s">
        <v>385</v>
      </c>
      <c r="E320" s="173"/>
      <c r="F320" s="173"/>
      <c r="G320" s="173" t="s">
        <v>385</v>
      </c>
      <c r="H320" s="173"/>
      <c r="I320" s="173"/>
      <c r="J320" s="333" t="s">
        <v>444</v>
      </c>
      <c r="K320" s="334"/>
      <c r="L320" s="334"/>
      <c r="M320" s="334"/>
      <c r="N320" s="334"/>
      <c r="O320" s="335"/>
    </row>
    <row r="321" spans="1:15" ht="15.75" customHeight="1" x14ac:dyDescent="0.25">
      <c r="A321" s="333" t="s">
        <v>401</v>
      </c>
      <c r="B321" s="334"/>
      <c r="C321" s="335"/>
      <c r="D321" s="173" t="s">
        <v>385</v>
      </c>
      <c r="E321" s="173"/>
      <c r="F321" s="173"/>
      <c r="G321" s="173" t="s">
        <v>385</v>
      </c>
      <c r="H321" s="173"/>
      <c r="I321" s="173"/>
      <c r="J321" s="333" t="s">
        <v>444</v>
      </c>
      <c r="K321" s="334"/>
      <c r="L321" s="334"/>
      <c r="M321" s="334"/>
      <c r="N321" s="334"/>
      <c r="O321" s="335"/>
    </row>
    <row r="322" spans="1:15" ht="15.75" customHeight="1" x14ac:dyDescent="0.25">
      <c r="A322" s="333" t="s">
        <v>403</v>
      </c>
      <c r="B322" s="334"/>
      <c r="C322" s="335"/>
      <c r="D322" s="173" t="s">
        <v>385</v>
      </c>
      <c r="E322" s="173"/>
      <c r="F322" s="173"/>
      <c r="G322" s="173" t="s">
        <v>385</v>
      </c>
      <c r="H322" s="173"/>
      <c r="I322" s="173"/>
      <c r="J322" s="333" t="s">
        <v>444</v>
      </c>
      <c r="K322" s="334"/>
      <c r="L322" s="334"/>
      <c r="M322" s="334"/>
      <c r="N322" s="334"/>
      <c r="O322" s="335"/>
    </row>
    <row r="323" spans="1:15" ht="15.75" customHeight="1" x14ac:dyDescent="0.25">
      <c r="A323" s="333" t="s">
        <v>405</v>
      </c>
      <c r="B323" s="334"/>
      <c r="C323" s="335"/>
      <c r="D323" s="173" t="s">
        <v>399</v>
      </c>
      <c r="E323" s="173"/>
      <c r="F323" s="173"/>
      <c r="G323" s="173" t="s">
        <v>385</v>
      </c>
      <c r="H323" s="173"/>
      <c r="I323" s="173"/>
      <c r="J323" s="333" t="s">
        <v>446</v>
      </c>
      <c r="K323" s="334"/>
      <c r="L323" s="334"/>
      <c r="M323" s="334"/>
      <c r="N323" s="334"/>
      <c r="O323" s="335"/>
    </row>
    <row r="324" spans="1:15" ht="15.75" customHeight="1" x14ac:dyDescent="0.25">
      <c r="A324" s="333" t="s">
        <v>408</v>
      </c>
      <c r="B324" s="334"/>
      <c r="C324" s="335"/>
      <c r="D324" s="173" t="s">
        <v>385</v>
      </c>
      <c r="E324" s="173"/>
      <c r="F324" s="173"/>
      <c r="G324" s="173" t="s">
        <v>385</v>
      </c>
      <c r="H324" s="173"/>
      <c r="I324" s="173"/>
      <c r="J324" s="333" t="s">
        <v>448</v>
      </c>
      <c r="K324" s="334"/>
      <c r="L324" s="334"/>
      <c r="M324" s="334"/>
      <c r="N324" s="334"/>
      <c r="O324" s="335"/>
    </row>
    <row r="325" spans="1:15" ht="15.75" customHeight="1" x14ac:dyDescent="0.25">
      <c r="A325" s="333" t="s">
        <v>411</v>
      </c>
      <c r="B325" s="334"/>
      <c r="C325" s="335"/>
      <c r="D325" s="173" t="s">
        <v>385</v>
      </c>
      <c r="F325" s="173"/>
      <c r="G325" s="173" t="s">
        <v>385</v>
      </c>
      <c r="I325" s="173"/>
      <c r="J325" s="333" t="s">
        <v>448</v>
      </c>
      <c r="K325" s="334"/>
      <c r="L325" s="334"/>
      <c r="M325" s="334"/>
      <c r="N325" s="334"/>
      <c r="O325" s="335"/>
    </row>
    <row r="326" spans="1:15" ht="15.75" customHeight="1" x14ac:dyDescent="0.25">
      <c r="A326" s="333" t="s">
        <v>413</v>
      </c>
      <c r="B326" s="334"/>
      <c r="C326" s="335"/>
      <c r="D326" s="173" t="s">
        <v>385</v>
      </c>
      <c r="E326" s="173"/>
      <c r="F326" s="173"/>
      <c r="G326" s="173" t="s">
        <v>385</v>
      </c>
      <c r="H326" s="173"/>
      <c r="I326" s="173"/>
      <c r="J326" s="333" t="s">
        <v>414</v>
      </c>
      <c r="K326" s="334"/>
      <c r="L326" s="334"/>
      <c r="M326" s="334"/>
      <c r="N326" s="334"/>
      <c r="O326" s="335"/>
    </row>
    <row r="327" spans="1:15" ht="15.75" customHeight="1" x14ac:dyDescent="0.25">
      <c r="A327" s="333" t="s">
        <v>416</v>
      </c>
      <c r="B327" s="334"/>
      <c r="C327" s="335"/>
      <c r="D327" s="173" t="s">
        <v>385</v>
      </c>
      <c r="E327" s="173"/>
      <c r="F327" s="173"/>
      <c r="G327" s="173" t="s">
        <v>385</v>
      </c>
      <c r="H327" s="173"/>
      <c r="I327" s="173"/>
      <c r="J327" s="333" t="s">
        <v>417</v>
      </c>
      <c r="K327" s="334"/>
      <c r="L327" s="334"/>
      <c r="M327" s="334"/>
      <c r="N327" s="334"/>
      <c r="O327" s="335"/>
    </row>
    <row r="328" spans="1:15" ht="15.75" customHeight="1" x14ac:dyDescent="0.25">
      <c r="A328" s="333" t="s">
        <v>418</v>
      </c>
      <c r="B328" s="334"/>
      <c r="C328" s="335"/>
      <c r="D328" s="173" t="s">
        <v>385</v>
      </c>
      <c r="E328" s="173"/>
      <c r="F328" s="173"/>
      <c r="G328" s="173" t="s">
        <v>385</v>
      </c>
      <c r="H328" s="173"/>
      <c r="I328" s="173"/>
      <c r="J328" s="333" t="s">
        <v>452</v>
      </c>
      <c r="K328" s="334"/>
      <c r="L328" s="334"/>
      <c r="M328" s="334"/>
      <c r="N328" s="334"/>
      <c r="O328" s="335"/>
    </row>
    <row r="329" spans="1:15" ht="15.75" customHeight="1" x14ac:dyDescent="0.25">
      <c r="A329" s="333" t="s">
        <v>421</v>
      </c>
      <c r="B329" s="334"/>
      <c r="C329" s="335"/>
      <c r="D329" s="173"/>
      <c r="E329" s="173"/>
      <c r="F329" s="173"/>
      <c r="G329" s="173" t="s">
        <v>385</v>
      </c>
      <c r="H329" s="173"/>
      <c r="I329" s="173"/>
      <c r="J329" s="333" t="s">
        <v>422</v>
      </c>
      <c r="K329" s="334"/>
      <c r="L329" s="334"/>
      <c r="M329" s="334"/>
      <c r="N329" s="334"/>
      <c r="O329" s="335"/>
    </row>
    <row r="330" spans="1:15" ht="15.75" customHeight="1" x14ac:dyDescent="0.25">
      <c r="G330" s="123"/>
    </row>
    <row r="331" spans="1:15" ht="15.75" customHeight="1" x14ac:dyDescent="0.25">
      <c r="G331" s="123"/>
    </row>
    <row r="332" spans="1:15" ht="15.75" customHeight="1" x14ac:dyDescent="0.25">
      <c r="G332" s="123"/>
    </row>
    <row r="333" spans="1:15" ht="15.75" customHeight="1" x14ac:dyDescent="0.25">
      <c r="A333" s="23" t="s">
        <v>115</v>
      </c>
      <c r="B333" s="43" t="s">
        <v>282</v>
      </c>
    </row>
    <row r="334" spans="1:15" ht="15.75" customHeight="1" x14ac:dyDescent="0.25">
      <c r="A334" s="304" t="s">
        <v>119</v>
      </c>
      <c r="B334" s="297"/>
      <c r="C334" s="297"/>
      <c r="D334" s="297"/>
      <c r="E334" s="298"/>
      <c r="H334" s="3"/>
    </row>
    <row r="335" spans="1:15" ht="15.75" customHeight="1" x14ac:dyDescent="0.2">
      <c r="A335" s="4" t="s">
        <v>0</v>
      </c>
      <c r="B335" s="5" t="s">
        <v>1</v>
      </c>
      <c r="C335" s="5" t="s">
        <v>2</v>
      </c>
      <c r="D335" s="5" t="s">
        <v>43</v>
      </c>
      <c r="E335" s="45" t="s">
        <v>125</v>
      </c>
      <c r="G335" s="296" t="s">
        <v>6</v>
      </c>
      <c r="H335" s="297"/>
      <c r="I335" s="297"/>
      <c r="J335" s="297"/>
      <c r="K335" s="297"/>
      <c r="L335" s="298"/>
    </row>
    <row r="336" spans="1:15" ht="15.75" customHeight="1" x14ac:dyDescent="0.2">
      <c r="A336" s="9" t="s">
        <v>7</v>
      </c>
      <c r="B336" s="302" t="s">
        <v>9</v>
      </c>
      <c r="C336" s="47">
        <v>28.1</v>
      </c>
      <c r="D336" s="11">
        <v>27</v>
      </c>
      <c r="E336" s="47">
        <v>27</v>
      </c>
      <c r="G336" s="296" t="s">
        <v>106</v>
      </c>
      <c r="H336" s="297"/>
      <c r="I336" s="298"/>
      <c r="J336" s="296" t="s">
        <v>107</v>
      </c>
      <c r="K336" s="297"/>
      <c r="L336" s="298"/>
    </row>
    <row r="337" spans="1:12" ht="15.75" customHeight="1" x14ac:dyDescent="0.2">
      <c r="A337" s="9" t="s">
        <v>17</v>
      </c>
      <c r="B337" s="300"/>
      <c r="C337" s="47">
        <v>63.911000000000001</v>
      </c>
      <c r="D337" s="11">
        <v>62</v>
      </c>
      <c r="E337" s="47">
        <v>65</v>
      </c>
      <c r="G337" s="13" t="s">
        <v>13</v>
      </c>
      <c r="H337" s="14">
        <v>792</v>
      </c>
      <c r="I337" s="17" t="s">
        <v>457</v>
      </c>
      <c r="J337" s="13" t="s">
        <v>13</v>
      </c>
      <c r="K337" s="39">
        <f>+K339+K339*0.1</f>
        <v>746.9</v>
      </c>
      <c r="L337" s="17" t="s">
        <v>459</v>
      </c>
    </row>
    <row r="338" spans="1:12" ht="15.75" customHeight="1" x14ac:dyDescent="0.2">
      <c r="A338" s="9" t="s">
        <v>26</v>
      </c>
      <c r="B338" s="300"/>
      <c r="C338" s="47">
        <v>69.921999999999997</v>
      </c>
      <c r="D338" s="11">
        <v>67</v>
      </c>
      <c r="E338" s="47">
        <v>67</v>
      </c>
      <c r="G338" s="13" t="s">
        <v>19</v>
      </c>
      <c r="H338" s="18">
        <v>648</v>
      </c>
      <c r="I338" s="17" t="s">
        <v>462</v>
      </c>
      <c r="J338" s="13" t="s">
        <v>19</v>
      </c>
      <c r="K338" s="40">
        <f>+K339-K339*0.1</f>
        <v>611.1</v>
      </c>
      <c r="L338" s="17" t="s">
        <v>463</v>
      </c>
    </row>
    <row r="339" spans="1:12" ht="15.75" customHeight="1" x14ac:dyDescent="0.2">
      <c r="A339" s="9" t="s">
        <v>32</v>
      </c>
      <c r="B339" s="300"/>
      <c r="C339" s="47">
        <v>96.744</v>
      </c>
      <c r="D339" s="11">
        <v>95</v>
      </c>
      <c r="E339" s="47">
        <v>95</v>
      </c>
      <c r="G339" s="13" t="s">
        <v>27</v>
      </c>
      <c r="H339" s="20">
        <v>718</v>
      </c>
      <c r="I339" s="17" t="s">
        <v>464</v>
      </c>
      <c r="J339" s="13" t="s">
        <v>27</v>
      </c>
      <c r="K339" s="20">
        <v>679</v>
      </c>
      <c r="L339" s="17" t="s">
        <v>465</v>
      </c>
    </row>
    <row r="340" spans="1:12" ht="15.75" customHeight="1" x14ac:dyDescent="0.2">
      <c r="A340" s="9" t="s">
        <v>33</v>
      </c>
      <c r="B340" s="301"/>
      <c r="C340" s="47">
        <v>128.11000000000001</v>
      </c>
      <c r="D340" s="11">
        <v>118</v>
      </c>
      <c r="E340" s="47">
        <v>128</v>
      </c>
      <c r="G340" s="13" t="s">
        <v>121</v>
      </c>
      <c r="H340" s="20">
        <v>680</v>
      </c>
      <c r="I340" s="17" t="s">
        <v>466</v>
      </c>
      <c r="J340" s="13" t="s">
        <v>121</v>
      </c>
      <c r="K340" s="20">
        <v>664</v>
      </c>
      <c r="L340" s="17" t="s">
        <v>467</v>
      </c>
    </row>
    <row r="341" spans="1:12" ht="15.75" customHeight="1" x14ac:dyDescent="0.25">
      <c r="A341" s="296"/>
      <c r="B341" s="297"/>
      <c r="C341" s="297"/>
      <c r="D341" s="297"/>
      <c r="E341" s="11"/>
      <c r="H341" s="3"/>
    </row>
    <row r="342" spans="1:12" ht="15.75" customHeight="1" x14ac:dyDescent="0.25">
      <c r="A342" s="9" t="s">
        <v>35</v>
      </c>
      <c r="B342" s="302" t="s">
        <v>36</v>
      </c>
      <c r="C342" s="47">
        <v>207.78</v>
      </c>
      <c r="D342" s="11">
        <v>204</v>
      </c>
      <c r="E342" s="47">
        <v>240</v>
      </c>
      <c r="H342" s="3"/>
    </row>
    <row r="343" spans="1:12" ht="15.75" customHeight="1" x14ac:dyDescent="0.25">
      <c r="A343" s="9" t="s">
        <v>37</v>
      </c>
      <c r="B343" s="300"/>
      <c r="C343" s="47">
        <v>444.11</v>
      </c>
      <c r="D343" s="11">
        <v>383</v>
      </c>
      <c r="E343" s="47">
        <v>410</v>
      </c>
      <c r="H343" s="3"/>
    </row>
    <row r="344" spans="1:12" ht="15.75" customHeight="1" x14ac:dyDescent="0.25">
      <c r="A344" s="9" t="s">
        <v>38</v>
      </c>
      <c r="B344" s="300"/>
      <c r="C344" s="47">
        <v>579.55999999999995</v>
      </c>
      <c r="D344" s="11">
        <v>555</v>
      </c>
      <c r="E344" s="47">
        <v>582</v>
      </c>
      <c r="H344" s="3"/>
    </row>
    <row r="345" spans="1:12" ht="15.75" customHeight="1" x14ac:dyDescent="0.25">
      <c r="A345" s="9" t="s">
        <v>39</v>
      </c>
      <c r="B345" s="300"/>
      <c r="C345" s="47">
        <v>746.22</v>
      </c>
      <c r="D345" s="11">
        <v>746</v>
      </c>
      <c r="E345" s="11">
        <v>733</v>
      </c>
      <c r="H345" s="3"/>
    </row>
    <row r="346" spans="1:12" ht="15.75" customHeight="1" x14ac:dyDescent="0.25">
      <c r="A346" s="49" t="s">
        <v>41</v>
      </c>
      <c r="B346" s="300"/>
      <c r="C346" s="50">
        <v>869.5</v>
      </c>
      <c r="D346" s="51">
        <v>850</v>
      </c>
      <c r="E346" s="47">
        <v>872</v>
      </c>
      <c r="H346" s="3"/>
    </row>
    <row r="347" spans="1:12" ht="15.75" customHeight="1" x14ac:dyDescent="0.25">
      <c r="A347" s="308"/>
      <c r="B347" s="297"/>
      <c r="C347" s="297"/>
      <c r="D347" s="297"/>
      <c r="E347" s="306"/>
      <c r="H347" s="3"/>
    </row>
    <row r="348" spans="1:12" ht="15.75" customHeight="1" x14ac:dyDescent="0.25">
      <c r="A348" s="9" t="s">
        <v>46</v>
      </c>
      <c r="B348" s="299" t="s">
        <v>47</v>
      </c>
      <c r="C348" s="11">
        <v>88.4</v>
      </c>
      <c r="D348" s="11">
        <v>80</v>
      </c>
      <c r="E348" s="47">
        <v>85</v>
      </c>
      <c r="H348" s="3"/>
    </row>
    <row r="349" spans="1:12" ht="15.75" customHeight="1" x14ac:dyDescent="0.25">
      <c r="A349" s="9" t="s">
        <v>48</v>
      </c>
      <c r="B349" s="300"/>
      <c r="C349" s="11">
        <v>94.6</v>
      </c>
      <c r="D349" s="11">
        <v>89</v>
      </c>
      <c r="E349" s="47">
        <v>93</v>
      </c>
      <c r="H349" s="3"/>
    </row>
    <row r="350" spans="1:12" ht="15.75" customHeight="1" x14ac:dyDescent="0.25">
      <c r="A350" s="296"/>
      <c r="B350" s="297"/>
      <c r="C350" s="297"/>
      <c r="D350" s="297"/>
      <c r="E350" s="11"/>
      <c r="H350" s="3"/>
    </row>
    <row r="351" spans="1:12" ht="15.75" customHeight="1" x14ac:dyDescent="0.25">
      <c r="A351" s="9" t="s">
        <v>50</v>
      </c>
      <c r="B351" s="302" t="s">
        <v>51</v>
      </c>
      <c r="C351" s="47">
        <v>271.44</v>
      </c>
      <c r="D351" s="11">
        <v>205</v>
      </c>
      <c r="E351" s="11">
        <v>302</v>
      </c>
      <c r="H351" s="3"/>
    </row>
    <row r="352" spans="1:12" ht="15.75" customHeight="1" x14ac:dyDescent="0.25">
      <c r="A352" s="9" t="s">
        <v>54</v>
      </c>
      <c r="B352" s="300"/>
      <c r="C352" s="47">
        <v>550.22199999999998</v>
      </c>
      <c r="D352" s="11">
        <v>520</v>
      </c>
      <c r="E352" s="11">
        <v>485</v>
      </c>
      <c r="H352" s="3"/>
    </row>
    <row r="353" spans="1:8" ht="15.75" customHeight="1" x14ac:dyDescent="0.25">
      <c r="A353" s="9" t="s">
        <v>55</v>
      </c>
      <c r="B353" s="300"/>
      <c r="C353" s="47">
        <v>746.8</v>
      </c>
      <c r="D353" s="11">
        <v>730</v>
      </c>
      <c r="E353" s="11">
        <v>768</v>
      </c>
      <c r="H353" s="3"/>
    </row>
    <row r="354" spans="1:8" ht="15.75" customHeight="1" x14ac:dyDescent="0.25">
      <c r="A354" s="9" t="s">
        <v>56</v>
      </c>
      <c r="B354" s="300"/>
      <c r="C354" s="47">
        <v>768.33333333333337</v>
      </c>
      <c r="D354" s="11">
        <v>742</v>
      </c>
      <c r="E354" s="11">
        <v>765</v>
      </c>
      <c r="H354" s="3"/>
    </row>
    <row r="355" spans="1:8" ht="15.75" customHeight="1" x14ac:dyDescent="0.25">
      <c r="A355" s="49" t="s">
        <v>57</v>
      </c>
      <c r="B355" s="300"/>
      <c r="C355" s="50">
        <v>609</v>
      </c>
      <c r="D355" s="51">
        <v>580</v>
      </c>
      <c r="E355" s="11">
        <v>606</v>
      </c>
      <c r="H355" s="3"/>
    </row>
    <row r="356" spans="1:8" ht="15.75" customHeight="1" x14ac:dyDescent="0.25">
      <c r="A356" s="308"/>
      <c r="B356" s="297"/>
      <c r="C356" s="297"/>
      <c r="D356" s="297"/>
      <c r="E356" s="306"/>
      <c r="H356" s="3"/>
    </row>
    <row r="357" spans="1:8" ht="15.75" customHeight="1" x14ac:dyDescent="0.25">
      <c r="A357" s="9" t="s">
        <v>60</v>
      </c>
      <c r="B357" s="299" t="s">
        <v>62</v>
      </c>
      <c r="C357" s="47">
        <v>19.741666666666667</v>
      </c>
      <c r="D357" s="52">
        <v>15</v>
      </c>
      <c r="E357" s="53">
        <v>21</v>
      </c>
      <c r="H357" s="3"/>
    </row>
    <row r="358" spans="1:8" ht="15.75" customHeight="1" x14ac:dyDescent="0.25">
      <c r="A358" s="9" t="s">
        <v>65</v>
      </c>
      <c r="B358" s="300"/>
      <c r="C358" s="11">
        <v>42</v>
      </c>
      <c r="D358" s="52">
        <v>19</v>
      </c>
      <c r="E358" s="54">
        <v>42</v>
      </c>
      <c r="H358" s="3"/>
    </row>
    <row r="359" spans="1:8" ht="15.75" customHeight="1" x14ac:dyDescent="0.25">
      <c r="A359" s="9" t="s">
        <v>64</v>
      </c>
      <c r="B359" s="301"/>
      <c r="C359" s="11">
        <v>42</v>
      </c>
      <c r="D359" s="52">
        <v>16</v>
      </c>
      <c r="E359" s="55">
        <v>38</v>
      </c>
      <c r="H359" s="3"/>
    </row>
    <row r="360" spans="1:8" ht="15.75" customHeight="1" x14ac:dyDescent="0.25">
      <c r="A360" s="296"/>
      <c r="B360" s="297"/>
      <c r="C360" s="297"/>
      <c r="D360" s="297"/>
      <c r="E360" s="11"/>
      <c r="H360" s="3"/>
    </row>
    <row r="361" spans="1:8" ht="15.75" customHeight="1" x14ac:dyDescent="0.25">
      <c r="A361" s="9" t="s">
        <v>66</v>
      </c>
      <c r="B361" s="302" t="s">
        <v>68</v>
      </c>
      <c r="C361" s="47">
        <v>204.5</v>
      </c>
      <c r="D361" s="11">
        <v>201</v>
      </c>
      <c r="E361" s="11">
        <v>201</v>
      </c>
      <c r="H361" s="3"/>
    </row>
    <row r="362" spans="1:8" ht="15.75" customHeight="1" x14ac:dyDescent="0.25">
      <c r="A362" s="49" t="s">
        <v>69</v>
      </c>
      <c r="B362" s="300"/>
      <c r="C362" s="50">
        <v>277.7</v>
      </c>
      <c r="D362" s="51">
        <v>274</v>
      </c>
      <c r="E362" s="11">
        <v>277</v>
      </c>
      <c r="H362" s="3"/>
    </row>
    <row r="363" spans="1:8" ht="15.75" customHeight="1" x14ac:dyDescent="0.25">
      <c r="A363" s="305"/>
      <c r="B363" s="297"/>
      <c r="C363" s="297"/>
      <c r="D363" s="297"/>
      <c r="E363" s="306"/>
      <c r="H363" s="3"/>
    </row>
    <row r="364" spans="1:8" ht="15.75" customHeight="1" x14ac:dyDescent="0.25">
      <c r="A364" s="56" t="s">
        <v>69</v>
      </c>
      <c r="B364" s="303" t="s">
        <v>71</v>
      </c>
      <c r="C364" s="47">
        <v>12</v>
      </c>
      <c r="D364" s="47">
        <v>10</v>
      </c>
      <c r="E364" s="11">
        <v>12</v>
      </c>
      <c r="H364" s="3"/>
    </row>
    <row r="365" spans="1:8" ht="15.75" customHeight="1" x14ac:dyDescent="0.25">
      <c r="A365" s="56" t="s">
        <v>72</v>
      </c>
      <c r="B365" s="300"/>
      <c r="C365" s="47">
        <v>14</v>
      </c>
      <c r="D365" s="47">
        <v>10</v>
      </c>
      <c r="E365" s="11">
        <v>13</v>
      </c>
      <c r="H365" s="3"/>
    </row>
    <row r="366" spans="1:8" ht="15.75" customHeight="1" x14ac:dyDescent="0.25">
      <c r="A366" s="56" t="s">
        <v>73</v>
      </c>
      <c r="B366" s="301"/>
      <c r="C366" s="47">
        <v>17.43333333333333</v>
      </c>
      <c r="D366" s="47">
        <v>17</v>
      </c>
      <c r="E366" s="11">
        <v>17</v>
      </c>
      <c r="H366" s="3"/>
    </row>
    <row r="367" spans="1:8" ht="15.75" customHeight="1" x14ac:dyDescent="0.25">
      <c r="A367" s="307"/>
      <c r="B367" s="297"/>
      <c r="C367" s="297"/>
      <c r="D367" s="297"/>
      <c r="E367" s="11"/>
      <c r="H367" s="3"/>
    </row>
    <row r="368" spans="1:8" ht="15.75" customHeight="1" x14ac:dyDescent="0.25">
      <c r="A368" s="56" t="s">
        <v>80</v>
      </c>
      <c r="B368" s="309" t="s">
        <v>77</v>
      </c>
      <c r="C368" s="47">
        <v>117</v>
      </c>
      <c r="D368" s="47">
        <v>96</v>
      </c>
      <c r="E368" s="11">
        <v>109</v>
      </c>
      <c r="H368" s="3"/>
    </row>
    <row r="369" spans="1:8" ht="15.75" customHeight="1" x14ac:dyDescent="0.25">
      <c r="A369" s="56" t="s">
        <v>78</v>
      </c>
      <c r="B369" s="300"/>
      <c r="C369" s="47">
        <v>188</v>
      </c>
      <c r="D369" s="47">
        <v>175</v>
      </c>
      <c r="E369" s="11">
        <v>181</v>
      </c>
      <c r="H369" s="3"/>
    </row>
    <row r="370" spans="1:8" ht="15.75" customHeight="1" x14ac:dyDescent="0.25">
      <c r="A370" s="56" t="s">
        <v>76</v>
      </c>
      <c r="B370" s="300"/>
      <c r="C370" s="47">
        <v>218</v>
      </c>
      <c r="D370" s="47">
        <v>209</v>
      </c>
      <c r="E370" s="11">
        <v>215</v>
      </c>
      <c r="H370" s="3"/>
    </row>
    <row r="371" spans="1:8" ht="15.75" customHeight="1" x14ac:dyDescent="0.25">
      <c r="A371" s="57" t="s">
        <v>79</v>
      </c>
      <c r="B371" s="300"/>
      <c r="C371" s="50">
        <v>239</v>
      </c>
      <c r="D371" s="50">
        <v>225</v>
      </c>
      <c r="E371" s="11">
        <v>238</v>
      </c>
      <c r="H371" s="3"/>
    </row>
    <row r="372" spans="1:8" ht="15.75" customHeight="1" x14ac:dyDescent="0.25">
      <c r="A372" s="305"/>
      <c r="B372" s="297"/>
      <c r="C372" s="297"/>
      <c r="D372" s="297"/>
      <c r="E372" s="306"/>
      <c r="H372" s="3"/>
    </row>
    <row r="373" spans="1:8" ht="15.75" customHeight="1" x14ac:dyDescent="0.25">
      <c r="A373" s="9" t="s">
        <v>81</v>
      </c>
      <c r="B373" s="299" t="s">
        <v>82</v>
      </c>
      <c r="C373" s="11">
        <v>2</v>
      </c>
      <c r="D373" s="11">
        <v>2</v>
      </c>
      <c r="E373" s="11">
        <v>2</v>
      </c>
      <c r="H373" s="3"/>
    </row>
    <row r="374" spans="1:8" ht="15.75" customHeight="1" x14ac:dyDescent="0.25">
      <c r="A374" s="9" t="s">
        <v>83</v>
      </c>
      <c r="B374" s="300"/>
      <c r="C374" s="11">
        <v>7.133</v>
      </c>
      <c r="D374" s="11">
        <v>5</v>
      </c>
      <c r="E374" s="11">
        <v>6</v>
      </c>
      <c r="H374" s="3"/>
    </row>
    <row r="375" spans="1:8" ht="15.75" customHeight="1" x14ac:dyDescent="0.25">
      <c r="A375" s="9" t="s">
        <v>155</v>
      </c>
      <c r="B375" s="301"/>
      <c r="C375" s="11">
        <v>10.72</v>
      </c>
      <c r="D375" s="11">
        <v>10</v>
      </c>
      <c r="E375" s="11">
        <v>10</v>
      </c>
      <c r="H375" s="3"/>
    </row>
    <row r="376" spans="1:8" ht="15.75" customHeight="1" x14ac:dyDescent="0.25">
      <c r="A376" s="296"/>
      <c r="B376" s="297"/>
      <c r="C376" s="297"/>
      <c r="D376" s="297"/>
      <c r="E376" s="11"/>
      <c r="H376" s="3"/>
    </row>
    <row r="377" spans="1:8" ht="15.75" customHeight="1" x14ac:dyDescent="0.25">
      <c r="A377" s="9" t="s">
        <v>86</v>
      </c>
      <c r="B377" s="302" t="s">
        <v>87</v>
      </c>
      <c r="C377" s="11">
        <v>19</v>
      </c>
      <c r="D377" s="11">
        <v>21</v>
      </c>
      <c r="E377" s="11">
        <v>19</v>
      </c>
      <c r="H377" s="3"/>
    </row>
    <row r="378" spans="1:8" ht="15.75" customHeight="1" x14ac:dyDescent="0.25">
      <c r="A378" s="49" t="s">
        <v>88</v>
      </c>
      <c r="B378" s="300"/>
      <c r="C378" s="51">
        <v>20</v>
      </c>
      <c r="D378" s="51">
        <v>21</v>
      </c>
      <c r="E378" s="11">
        <v>19</v>
      </c>
      <c r="H378" s="3"/>
    </row>
    <row r="379" spans="1:8" ht="15.75" customHeight="1" x14ac:dyDescent="0.25">
      <c r="A379" s="305"/>
      <c r="B379" s="297"/>
      <c r="C379" s="297"/>
      <c r="D379" s="297"/>
      <c r="E379" s="306"/>
      <c r="H379" s="3"/>
    </row>
    <row r="380" spans="1:8" ht="15.75" customHeight="1" x14ac:dyDescent="0.25">
      <c r="A380" s="9" t="s">
        <v>89</v>
      </c>
      <c r="B380" s="299" t="s">
        <v>90</v>
      </c>
      <c r="C380" s="11">
        <v>6</v>
      </c>
      <c r="D380" s="11">
        <v>4</v>
      </c>
      <c r="E380" s="11">
        <v>8</v>
      </c>
      <c r="H380" s="3"/>
    </row>
    <row r="381" spans="1:8" ht="15.75" customHeight="1" x14ac:dyDescent="0.25">
      <c r="A381" s="9" t="s">
        <v>91</v>
      </c>
      <c r="B381" s="300"/>
      <c r="C381" s="11">
        <v>16</v>
      </c>
      <c r="D381" s="11">
        <v>12</v>
      </c>
      <c r="E381" s="11">
        <v>17</v>
      </c>
      <c r="H381" s="3"/>
    </row>
    <row r="382" spans="1:8" ht="15.75" customHeight="1" x14ac:dyDescent="0.25">
      <c r="A382" s="49" t="s">
        <v>92</v>
      </c>
      <c r="B382" s="300"/>
      <c r="C382" s="51">
        <v>17.260000000000002</v>
      </c>
      <c r="D382" s="51"/>
      <c r="E382" s="11"/>
      <c r="H382" s="3"/>
    </row>
    <row r="383" spans="1:8" ht="15.75" customHeight="1" x14ac:dyDescent="0.25">
      <c r="A383" s="296"/>
      <c r="B383" s="297"/>
      <c r="C383" s="297"/>
      <c r="D383" s="297"/>
      <c r="E383" s="298"/>
      <c r="H383" s="3"/>
    </row>
    <row r="384" spans="1:8" ht="15.75" customHeight="1" x14ac:dyDescent="0.25">
      <c r="A384" s="9" t="s">
        <v>94</v>
      </c>
      <c r="B384" s="299" t="s">
        <v>95</v>
      </c>
      <c r="C384" s="47">
        <v>50.083333333333329</v>
      </c>
      <c r="D384" s="11">
        <v>53</v>
      </c>
      <c r="E384" s="11">
        <v>47</v>
      </c>
      <c r="H384" s="3"/>
    </row>
    <row r="385" spans="1:26" ht="15.75" customHeight="1" x14ac:dyDescent="0.25">
      <c r="A385" s="9" t="s">
        <v>96</v>
      </c>
      <c r="B385" s="300"/>
      <c r="C385" s="47">
        <v>97.433333333333323</v>
      </c>
      <c r="D385" s="11">
        <v>111</v>
      </c>
      <c r="E385" s="11">
        <v>92</v>
      </c>
      <c r="H385" s="3"/>
    </row>
    <row r="386" spans="1:26" ht="15.75" customHeight="1" x14ac:dyDescent="0.25">
      <c r="A386" s="9" t="s">
        <v>97</v>
      </c>
      <c r="B386" s="300"/>
      <c r="C386" s="47">
        <v>95.286666666666676</v>
      </c>
      <c r="D386" s="11">
        <v>54</v>
      </c>
      <c r="E386" s="11">
        <v>91</v>
      </c>
      <c r="H386" s="3"/>
    </row>
    <row r="387" spans="1:26" ht="15.75" customHeight="1" x14ac:dyDescent="0.25">
      <c r="A387" s="9" t="s">
        <v>98</v>
      </c>
      <c r="B387" s="300"/>
      <c r="C387" s="47">
        <v>100.91666666666666</v>
      </c>
      <c r="D387" s="11">
        <v>112</v>
      </c>
      <c r="E387" s="11">
        <v>100</v>
      </c>
      <c r="H387" s="3"/>
    </row>
    <row r="388" spans="1:26" ht="15.75" customHeight="1" x14ac:dyDescent="0.25">
      <c r="A388" s="9" t="s">
        <v>99</v>
      </c>
      <c r="B388" s="301"/>
      <c r="C388" s="47">
        <v>115.36666666666667</v>
      </c>
      <c r="D388" s="11">
        <v>111</v>
      </c>
      <c r="E388" s="11">
        <v>104</v>
      </c>
      <c r="H388" s="3"/>
    </row>
    <row r="389" spans="1:26" ht="15.75" customHeight="1" x14ac:dyDescent="0.25">
      <c r="G389" s="123"/>
    </row>
    <row r="390" spans="1:26" ht="15.75" customHeight="1" x14ac:dyDescent="0.25">
      <c r="G390" s="123"/>
    </row>
    <row r="391" spans="1:26" ht="15.75" customHeight="1" x14ac:dyDescent="0.25">
      <c r="G391" s="123"/>
    </row>
    <row r="392" spans="1:26" ht="15.75" customHeight="1" x14ac:dyDescent="0.25">
      <c r="A392" s="29"/>
      <c r="B392" s="29"/>
      <c r="C392" s="29"/>
      <c r="D392" s="29"/>
      <c r="E392" s="29"/>
      <c r="F392" s="29"/>
      <c r="G392" s="122"/>
      <c r="H392" s="29"/>
      <c r="I392" s="29"/>
      <c r="J392" s="29"/>
      <c r="K392" s="29"/>
      <c r="L392" s="29"/>
      <c r="M392" s="29"/>
      <c r="N392" s="29"/>
      <c r="O392" s="29"/>
      <c r="P392" s="29"/>
      <c r="Q392" s="29"/>
      <c r="R392" s="29"/>
      <c r="S392" s="29"/>
      <c r="T392" s="29"/>
      <c r="U392" s="29"/>
      <c r="V392" s="29"/>
      <c r="W392" s="29"/>
      <c r="X392" s="29"/>
      <c r="Y392" s="29"/>
      <c r="Z392" s="29"/>
    </row>
    <row r="393" spans="1:26" ht="15.75" customHeight="1" x14ac:dyDescent="0.25">
      <c r="G393" s="123"/>
    </row>
    <row r="394" spans="1:26" ht="15.75" customHeight="1" x14ac:dyDescent="0.25">
      <c r="G394" s="123"/>
    </row>
    <row r="395" spans="1:26" ht="15.75" customHeight="1" x14ac:dyDescent="0.25">
      <c r="A395" s="23" t="s">
        <v>115</v>
      </c>
      <c r="B395" s="43" t="s">
        <v>282</v>
      </c>
    </row>
    <row r="396" spans="1:26" ht="15.75" customHeight="1" x14ac:dyDescent="0.25">
      <c r="A396" s="304" t="s">
        <v>482</v>
      </c>
      <c r="B396" s="297"/>
      <c r="C396" s="297"/>
      <c r="D396" s="297"/>
      <c r="E396" s="298"/>
      <c r="H396" s="3"/>
    </row>
    <row r="397" spans="1:26" ht="15.75" customHeight="1" x14ac:dyDescent="0.2">
      <c r="A397" s="4" t="s">
        <v>0</v>
      </c>
      <c r="B397" s="5" t="s">
        <v>1</v>
      </c>
      <c r="C397" s="5" t="s">
        <v>2</v>
      </c>
      <c r="D397" s="5" t="s">
        <v>43</v>
      </c>
      <c r="E397" s="45" t="s">
        <v>125</v>
      </c>
      <c r="G397" s="296" t="s">
        <v>6</v>
      </c>
      <c r="H397" s="297"/>
      <c r="I397" s="297"/>
      <c r="J397" s="297"/>
      <c r="K397" s="297"/>
      <c r="L397" s="298"/>
    </row>
    <row r="398" spans="1:26" ht="15.75" customHeight="1" x14ac:dyDescent="0.2">
      <c r="A398" s="9" t="s">
        <v>7</v>
      </c>
      <c r="B398" s="302" t="s">
        <v>9</v>
      </c>
      <c r="C398" s="47">
        <v>28.1</v>
      </c>
      <c r="D398" s="47">
        <v>27</v>
      </c>
      <c r="E398" s="47">
        <v>26</v>
      </c>
      <c r="G398" s="296" t="s">
        <v>106</v>
      </c>
      <c r="H398" s="297"/>
      <c r="I398" s="298"/>
      <c r="J398" s="296" t="s">
        <v>107</v>
      </c>
      <c r="K398" s="297"/>
      <c r="L398" s="298"/>
    </row>
    <row r="399" spans="1:26" ht="15.75" customHeight="1" x14ac:dyDescent="0.2">
      <c r="A399" s="9" t="s">
        <v>17</v>
      </c>
      <c r="B399" s="300"/>
      <c r="C399" s="47">
        <v>63.911000000000001</v>
      </c>
      <c r="D399" s="47">
        <v>65</v>
      </c>
      <c r="E399" s="47">
        <v>59</v>
      </c>
      <c r="G399" s="13" t="s">
        <v>13</v>
      </c>
      <c r="H399" s="39">
        <f>+H401+H401*0.1</f>
        <v>746.9</v>
      </c>
      <c r="I399" s="17" t="s">
        <v>484</v>
      </c>
      <c r="J399" s="13" t="s">
        <v>13</v>
      </c>
      <c r="K399" s="39">
        <f>+K401+K401*0.1</f>
        <v>759</v>
      </c>
      <c r="L399" s="17" t="s">
        <v>485</v>
      </c>
    </row>
    <row r="400" spans="1:26" ht="15.75" customHeight="1" x14ac:dyDescent="0.2">
      <c r="A400" s="9" t="s">
        <v>26</v>
      </c>
      <c r="B400" s="300"/>
      <c r="C400" s="47">
        <v>69.921999999999997</v>
      </c>
      <c r="D400" s="47">
        <v>67</v>
      </c>
      <c r="E400" s="47">
        <v>65</v>
      </c>
      <c r="G400" s="13" t="s">
        <v>19</v>
      </c>
      <c r="H400" s="40">
        <f>+H401-H401*0.1</f>
        <v>611.1</v>
      </c>
      <c r="I400" s="17" t="s">
        <v>486</v>
      </c>
      <c r="J400" s="13" t="s">
        <v>19</v>
      </c>
      <c r="K400" s="40">
        <f>+K401-K401*0.1</f>
        <v>621</v>
      </c>
      <c r="L400" s="17" t="s">
        <v>487</v>
      </c>
    </row>
    <row r="401" spans="1:12" ht="15.75" customHeight="1" x14ac:dyDescent="0.2">
      <c r="A401" s="9" t="s">
        <v>32</v>
      </c>
      <c r="B401" s="300"/>
      <c r="C401" s="47">
        <v>96.744</v>
      </c>
      <c r="D401" s="47">
        <v>95</v>
      </c>
      <c r="E401" s="47">
        <v>96</v>
      </c>
      <c r="G401" s="13" t="s">
        <v>27</v>
      </c>
      <c r="H401" s="20">
        <v>679</v>
      </c>
      <c r="I401" s="17" t="s">
        <v>488</v>
      </c>
      <c r="J401" s="13" t="s">
        <v>27</v>
      </c>
      <c r="K401" s="20">
        <v>690</v>
      </c>
      <c r="L401" s="17" t="s">
        <v>489</v>
      </c>
    </row>
    <row r="402" spans="1:12" ht="15.75" customHeight="1" x14ac:dyDescent="0.2">
      <c r="A402" s="9" t="s">
        <v>33</v>
      </c>
      <c r="B402" s="301"/>
      <c r="C402" s="47">
        <v>128.11000000000001</v>
      </c>
      <c r="D402" s="47">
        <v>128</v>
      </c>
      <c r="E402" s="47">
        <v>127</v>
      </c>
      <c r="G402" s="13" t="s">
        <v>121</v>
      </c>
      <c r="H402" s="20">
        <v>664</v>
      </c>
      <c r="I402" s="17" t="s">
        <v>491</v>
      </c>
      <c r="J402" s="13" t="s">
        <v>121</v>
      </c>
      <c r="K402" s="20">
        <v>680</v>
      </c>
      <c r="L402" s="17" t="s">
        <v>493</v>
      </c>
    </row>
    <row r="403" spans="1:12" ht="15.75" customHeight="1" x14ac:dyDescent="0.25">
      <c r="A403" s="41"/>
      <c r="B403" s="125"/>
      <c r="C403" s="42"/>
      <c r="D403" s="180"/>
      <c r="E403" s="25"/>
      <c r="H403" s="3"/>
    </row>
    <row r="404" spans="1:12" ht="15.75" customHeight="1" x14ac:dyDescent="0.25">
      <c r="A404" s="126" t="s">
        <v>35</v>
      </c>
      <c r="B404" s="302" t="s">
        <v>36</v>
      </c>
      <c r="C404" s="47">
        <v>207.78</v>
      </c>
      <c r="D404" s="47">
        <v>240</v>
      </c>
      <c r="E404" s="47">
        <v>254</v>
      </c>
      <c r="F404" s="127"/>
      <c r="H404" s="3"/>
      <c r="I404" s="27" t="s">
        <v>241</v>
      </c>
      <c r="J404" s="128">
        <v>43292</v>
      </c>
    </row>
    <row r="405" spans="1:12" ht="15.75" customHeight="1" x14ac:dyDescent="0.25">
      <c r="A405" s="126" t="s">
        <v>37</v>
      </c>
      <c r="B405" s="300"/>
      <c r="C405" s="47">
        <v>444.11</v>
      </c>
      <c r="D405" s="47">
        <v>410</v>
      </c>
      <c r="E405" s="47">
        <v>372</v>
      </c>
      <c r="F405" s="127"/>
      <c r="H405" s="3"/>
    </row>
    <row r="406" spans="1:12" ht="15.75" customHeight="1" x14ac:dyDescent="0.25">
      <c r="A406" s="126" t="s">
        <v>38</v>
      </c>
      <c r="B406" s="300"/>
      <c r="C406" s="47">
        <v>579.55999999999995</v>
      </c>
      <c r="D406" s="47">
        <v>582</v>
      </c>
      <c r="E406" s="47">
        <v>597</v>
      </c>
      <c r="F406" s="127"/>
      <c r="H406" s="3"/>
    </row>
    <row r="407" spans="1:12" ht="15.75" customHeight="1" x14ac:dyDescent="0.25">
      <c r="A407" s="129" t="s">
        <v>39</v>
      </c>
      <c r="B407" s="300"/>
      <c r="C407" s="50">
        <v>746.22</v>
      </c>
      <c r="D407" s="11">
        <v>733</v>
      </c>
      <c r="E407" s="47">
        <v>729</v>
      </c>
      <c r="H407" s="3"/>
    </row>
    <row r="408" spans="1:12" ht="15.75" customHeight="1" x14ac:dyDescent="0.25">
      <c r="A408" s="12" t="s">
        <v>41</v>
      </c>
      <c r="B408" s="301"/>
      <c r="C408" s="71">
        <v>869.5</v>
      </c>
      <c r="D408" s="47">
        <v>872</v>
      </c>
      <c r="E408" s="47">
        <v>849</v>
      </c>
      <c r="F408" s="127"/>
      <c r="H408" s="3"/>
    </row>
    <row r="409" spans="1:12" ht="15.75" customHeight="1" x14ac:dyDescent="0.25">
      <c r="A409" s="130"/>
      <c r="B409" s="131"/>
      <c r="C409" s="131"/>
      <c r="D409" s="131"/>
      <c r="E409" s="131"/>
      <c r="H409" s="3"/>
    </row>
    <row r="410" spans="1:12" ht="15.75" customHeight="1" x14ac:dyDescent="0.25">
      <c r="A410" s="9" t="s">
        <v>46</v>
      </c>
      <c r="B410" s="299" t="s">
        <v>47</v>
      </c>
      <c r="C410" s="11">
        <v>88.4</v>
      </c>
      <c r="D410" s="47">
        <v>85</v>
      </c>
      <c r="E410" s="47">
        <v>86</v>
      </c>
      <c r="H410" s="3"/>
    </row>
    <row r="411" spans="1:12" ht="15.75" customHeight="1" x14ac:dyDescent="0.25">
      <c r="A411" s="9" t="s">
        <v>48</v>
      </c>
      <c r="B411" s="300"/>
      <c r="C411" s="11">
        <v>94.6</v>
      </c>
      <c r="D411" s="47">
        <v>93</v>
      </c>
      <c r="E411" s="47">
        <v>92</v>
      </c>
      <c r="H411" s="3"/>
    </row>
    <row r="412" spans="1:12" ht="15.75" customHeight="1" x14ac:dyDescent="0.25">
      <c r="A412" s="41"/>
      <c r="B412" s="125"/>
      <c r="C412" s="42"/>
      <c r="D412" s="180"/>
      <c r="E412" s="25"/>
      <c r="H412" s="3"/>
    </row>
    <row r="413" spans="1:12" ht="15.75" customHeight="1" x14ac:dyDescent="0.25">
      <c r="A413" s="126" t="s">
        <v>50</v>
      </c>
      <c r="B413" s="302" t="s">
        <v>51</v>
      </c>
      <c r="C413" s="47">
        <v>271.44</v>
      </c>
      <c r="D413" s="11">
        <v>302</v>
      </c>
      <c r="E413" s="47">
        <v>380</v>
      </c>
      <c r="H413" s="3"/>
    </row>
    <row r="414" spans="1:12" ht="15.75" customHeight="1" x14ac:dyDescent="0.25">
      <c r="A414" s="126" t="s">
        <v>54</v>
      </c>
      <c r="B414" s="300"/>
      <c r="C414" s="47">
        <v>550.22199999999998</v>
      </c>
      <c r="D414" s="11">
        <v>485</v>
      </c>
      <c r="E414" s="47">
        <v>445</v>
      </c>
      <c r="H414" s="3"/>
    </row>
    <row r="415" spans="1:12" ht="15.75" customHeight="1" x14ac:dyDescent="0.25">
      <c r="A415" s="126" t="s">
        <v>55</v>
      </c>
      <c r="B415" s="300"/>
      <c r="C415" s="47">
        <v>746.8</v>
      </c>
      <c r="D415" s="11">
        <v>768</v>
      </c>
      <c r="E415" s="47">
        <v>718</v>
      </c>
      <c r="H415" s="3"/>
    </row>
    <row r="416" spans="1:12" ht="15.75" customHeight="1" x14ac:dyDescent="0.25">
      <c r="A416" s="129" t="s">
        <v>56</v>
      </c>
      <c r="B416" s="300"/>
      <c r="C416" s="50">
        <v>768.33333333333337</v>
      </c>
      <c r="D416" s="11">
        <v>765</v>
      </c>
      <c r="E416" s="47">
        <v>770</v>
      </c>
      <c r="H416" s="3"/>
    </row>
    <row r="417" spans="1:8" ht="15.75" customHeight="1" x14ac:dyDescent="0.25">
      <c r="A417" s="8" t="s">
        <v>57</v>
      </c>
      <c r="B417" s="301"/>
      <c r="C417" s="71">
        <v>609</v>
      </c>
      <c r="D417" s="11">
        <v>606</v>
      </c>
      <c r="E417" s="47">
        <v>683</v>
      </c>
      <c r="H417" s="3"/>
    </row>
    <row r="418" spans="1:8" ht="15.75" customHeight="1" x14ac:dyDescent="0.25">
      <c r="A418" s="130"/>
      <c r="B418" s="131"/>
      <c r="C418" s="131"/>
      <c r="D418" s="131"/>
      <c r="E418" s="131"/>
      <c r="H418" s="3"/>
    </row>
    <row r="419" spans="1:8" ht="15.75" customHeight="1" x14ac:dyDescent="0.25">
      <c r="A419" s="9" t="s">
        <v>60</v>
      </c>
      <c r="B419" s="299" t="s">
        <v>62</v>
      </c>
      <c r="C419" s="47">
        <v>19.741666666666667</v>
      </c>
      <c r="D419" s="53">
        <v>21</v>
      </c>
      <c r="E419" s="53">
        <v>25</v>
      </c>
      <c r="H419" s="3"/>
    </row>
    <row r="420" spans="1:8" ht="15.75" customHeight="1" x14ac:dyDescent="0.25">
      <c r="A420" s="9" t="s">
        <v>65</v>
      </c>
      <c r="B420" s="300"/>
      <c r="C420" s="11">
        <v>42</v>
      </c>
      <c r="D420" s="54">
        <v>42</v>
      </c>
      <c r="E420" s="54">
        <v>45</v>
      </c>
      <c r="H420" s="3"/>
    </row>
    <row r="421" spans="1:8" ht="15.75" customHeight="1" x14ac:dyDescent="0.25">
      <c r="A421" s="9" t="s">
        <v>64</v>
      </c>
      <c r="B421" s="301"/>
      <c r="C421" s="11">
        <v>42</v>
      </c>
      <c r="D421" s="55">
        <v>38</v>
      </c>
      <c r="E421" s="54">
        <v>40</v>
      </c>
      <c r="H421" s="3"/>
    </row>
    <row r="422" spans="1:8" ht="15.75" customHeight="1" x14ac:dyDescent="0.25">
      <c r="A422" s="41"/>
      <c r="B422" s="125"/>
      <c r="C422" s="42"/>
      <c r="D422" s="180"/>
      <c r="E422" s="25"/>
      <c r="H422" s="3"/>
    </row>
    <row r="423" spans="1:8" ht="15.75" customHeight="1" x14ac:dyDescent="0.25">
      <c r="A423" s="129" t="s">
        <v>66</v>
      </c>
      <c r="B423" s="302" t="s">
        <v>68</v>
      </c>
      <c r="C423" s="50">
        <v>204.5</v>
      </c>
      <c r="D423" s="11">
        <v>201</v>
      </c>
      <c r="E423" s="47">
        <v>204</v>
      </c>
      <c r="H423" s="3"/>
    </row>
    <row r="424" spans="1:8" ht="15.75" customHeight="1" x14ac:dyDescent="0.25">
      <c r="A424" s="12" t="s">
        <v>69</v>
      </c>
      <c r="B424" s="301"/>
      <c r="C424" s="71">
        <v>277.7</v>
      </c>
      <c r="D424" s="11">
        <v>277</v>
      </c>
      <c r="E424" s="47">
        <v>280</v>
      </c>
      <c r="H424" s="3"/>
    </row>
    <row r="425" spans="1:8" ht="15.75" customHeight="1" x14ac:dyDescent="0.25">
      <c r="A425" s="132"/>
      <c r="B425" s="133"/>
      <c r="C425" s="133"/>
      <c r="D425" s="133"/>
      <c r="E425" s="133"/>
      <c r="H425" s="3"/>
    </row>
    <row r="426" spans="1:8" ht="15.75" customHeight="1" x14ac:dyDescent="0.25">
      <c r="A426" s="56" t="s">
        <v>69</v>
      </c>
      <c r="B426" s="303" t="s">
        <v>71</v>
      </c>
      <c r="C426" s="47">
        <v>12</v>
      </c>
      <c r="D426" s="11">
        <v>12</v>
      </c>
      <c r="E426" s="47">
        <v>12</v>
      </c>
      <c r="H426" s="3"/>
    </row>
    <row r="427" spans="1:8" ht="15.75" customHeight="1" x14ac:dyDescent="0.25">
      <c r="A427" s="56" t="s">
        <v>72</v>
      </c>
      <c r="B427" s="300"/>
      <c r="C427" s="47">
        <v>14</v>
      </c>
      <c r="D427" s="11">
        <v>13</v>
      </c>
      <c r="E427" s="47">
        <v>14</v>
      </c>
      <c r="H427" s="3"/>
    </row>
    <row r="428" spans="1:8" ht="15.75" customHeight="1" x14ac:dyDescent="0.25">
      <c r="A428" s="56" t="s">
        <v>73</v>
      </c>
      <c r="B428" s="301"/>
      <c r="C428" s="47">
        <v>17.43333333333333</v>
      </c>
      <c r="D428" s="11">
        <v>17</v>
      </c>
      <c r="E428" s="47">
        <v>17</v>
      </c>
      <c r="H428" s="3"/>
    </row>
    <row r="429" spans="1:8" ht="15.75" customHeight="1" x14ac:dyDescent="0.25">
      <c r="A429" s="92"/>
      <c r="B429" s="69"/>
      <c r="C429" s="69"/>
      <c r="D429" s="180"/>
      <c r="E429" s="25"/>
      <c r="H429" s="3"/>
    </row>
    <row r="430" spans="1:8" ht="15.75" customHeight="1" x14ac:dyDescent="0.25">
      <c r="A430" s="56" t="s">
        <v>80</v>
      </c>
      <c r="B430" s="309" t="s">
        <v>77</v>
      </c>
      <c r="C430" s="47">
        <v>117</v>
      </c>
      <c r="D430" s="11">
        <v>109</v>
      </c>
      <c r="E430" s="47">
        <v>128</v>
      </c>
      <c r="H430" s="3"/>
    </row>
    <row r="431" spans="1:8" ht="15.75" customHeight="1" x14ac:dyDescent="0.25">
      <c r="A431" s="56" t="s">
        <v>78</v>
      </c>
      <c r="B431" s="300"/>
      <c r="C431" s="47">
        <v>188</v>
      </c>
      <c r="D431" s="11">
        <v>181</v>
      </c>
      <c r="E431" s="47">
        <v>196</v>
      </c>
      <c r="H431" s="3"/>
    </row>
    <row r="432" spans="1:8" ht="15.75" customHeight="1" x14ac:dyDescent="0.25">
      <c r="A432" s="56" t="s">
        <v>76</v>
      </c>
      <c r="B432" s="300"/>
      <c r="C432" s="50">
        <v>218</v>
      </c>
      <c r="D432" s="11">
        <v>215</v>
      </c>
      <c r="E432" s="47">
        <v>218</v>
      </c>
      <c r="H432" s="3"/>
    </row>
    <row r="433" spans="1:8" ht="15.75" customHeight="1" x14ac:dyDescent="0.25">
      <c r="A433" s="57" t="s">
        <v>79</v>
      </c>
      <c r="B433" s="300"/>
      <c r="C433" s="134">
        <v>239</v>
      </c>
      <c r="D433" s="11">
        <v>238</v>
      </c>
      <c r="E433" s="47">
        <v>239</v>
      </c>
      <c r="H433" s="3"/>
    </row>
    <row r="434" spans="1:8" ht="15.75" customHeight="1" x14ac:dyDescent="0.25">
      <c r="A434" s="132"/>
      <c r="B434" s="133"/>
      <c r="C434" s="133"/>
      <c r="D434" s="133"/>
      <c r="E434" s="133"/>
      <c r="H434" s="3"/>
    </row>
    <row r="435" spans="1:8" ht="15.75" customHeight="1" x14ac:dyDescent="0.25">
      <c r="A435" s="9" t="s">
        <v>81</v>
      </c>
      <c r="B435" s="299" t="s">
        <v>82</v>
      </c>
      <c r="C435" s="11">
        <v>2</v>
      </c>
      <c r="D435" s="11">
        <v>2</v>
      </c>
      <c r="E435" s="47">
        <v>1</v>
      </c>
      <c r="H435" s="3"/>
    </row>
    <row r="436" spans="1:8" ht="15.75" customHeight="1" x14ac:dyDescent="0.25">
      <c r="A436" s="9" t="s">
        <v>83</v>
      </c>
      <c r="B436" s="300"/>
      <c r="C436" s="11">
        <v>7.133</v>
      </c>
      <c r="D436" s="11">
        <v>6</v>
      </c>
      <c r="E436" s="47">
        <v>7</v>
      </c>
      <c r="H436" s="3"/>
    </row>
    <row r="437" spans="1:8" ht="15.75" customHeight="1" x14ac:dyDescent="0.25">
      <c r="A437" s="9" t="s">
        <v>155</v>
      </c>
      <c r="B437" s="301"/>
      <c r="C437" s="11">
        <v>10.72</v>
      </c>
      <c r="D437" s="11">
        <v>10</v>
      </c>
      <c r="E437" s="47">
        <v>9</v>
      </c>
      <c r="H437" s="3"/>
    </row>
    <row r="438" spans="1:8" ht="15.75" customHeight="1" x14ac:dyDescent="0.25">
      <c r="A438" s="41"/>
      <c r="B438" s="125"/>
      <c r="C438" s="42"/>
      <c r="D438" s="180"/>
      <c r="E438" s="25"/>
      <c r="H438" s="3"/>
    </row>
    <row r="439" spans="1:8" ht="15.75" customHeight="1" x14ac:dyDescent="0.25">
      <c r="A439" s="129" t="s">
        <v>86</v>
      </c>
      <c r="B439" s="302" t="s">
        <v>87</v>
      </c>
      <c r="C439" s="51">
        <v>19</v>
      </c>
      <c r="D439" s="11">
        <v>19</v>
      </c>
      <c r="E439" s="47">
        <v>12</v>
      </c>
      <c r="H439" s="3"/>
    </row>
    <row r="440" spans="1:8" ht="15.75" customHeight="1" x14ac:dyDescent="0.25">
      <c r="A440" s="12" t="s">
        <v>88</v>
      </c>
      <c r="B440" s="301"/>
      <c r="C440" s="25">
        <v>20</v>
      </c>
      <c r="D440" s="11">
        <v>19</v>
      </c>
      <c r="E440" s="47">
        <v>15</v>
      </c>
      <c r="H440" s="3"/>
    </row>
    <row r="441" spans="1:8" ht="15.75" customHeight="1" x14ac:dyDescent="0.25">
      <c r="A441" s="132"/>
      <c r="B441" s="133"/>
      <c r="C441" s="133"/>
      <c r="D441" s="133"/>
      <c r="E441" s="133"/>
      <c r="H441" s="3"/>
    </row>
    <row r="442" spans="1:8" ht="15.75" customHeight="1" x14ac:dyDescent="0.25">
      <c r="A442" s="8" t="s">
        <v>89</v>
      </c>
      <c r="B442" s="302" t="s">
        <v>90</v>
      </c>
      <c r="C442" s="25">
        <v>6</v>
      </c>
      <c r="D442" s="11">
        <v>8</v>
      </c>
      <c r="E442" s="47">
        <v>6</v>
      </c>
      <c r="H442" s="3"/>
    </row>
    <row r="443" spans="1:8" ht="15.75" customHeight="1" x14ac:dyDescent="0.25">
      <c r="A443" s="126" t="s">
        <v>91</v>
      </c>
      <c r="B443" s="301"/>
      <c r="C443" s="11">
        <v>16</v>
      </c>
      <c r="D443" s="11">
        <v>17</v>
      </c>
      <c r="E443" s="47">
        <v>18</v>
      </c>
      <c r="H443" s="3"/>
    </row>
    <row r="444" spans="1:8" ht="15.75" customHeight="1" x14ac:dyDescent="0.25">
      <c r="A444" s="135"/>
      <c r="B444" s="136"/>
      <c r="C444" s="136"/>
      <c r="D444" s="180"/>
      <c r="E444" s="25"/>
      <c r="H444" s="3"/>
    </row>
    <row r="445" spans="1:8" ht="15.75" customHeight="1" x14ac:dyDescent="0.25">
      <c r="A445" s="9" t="s">
        <v>94</v>
      </c>
      <c r="B445" s="299" t="s">
        <v>95</v>
      </c>
      <c r="C445" s="47">
        <v>49.666666666666664</v>
      </c>
      <c r="D445" s="11">
        <v>47</v>
      </c>
      <c r="E445" s="47">
        <v>47</v>
      </c>
      <c r="H445" s="3"/>
    </row>
    <row r="446" spans="1:8" ht="15.75" customHeight="1" x14ac:dyDescent="0.25">
      <c r="A446" s="9" t="s">
        <v>96</v>
      </c>
      <c r="B446" s="300"/>
      <c r="C446" s="47">
        <v>122</v>
      </c>
      <c r="D446" s="11">
        <v>92</v>
      </c>
      <c r="E446" s="47">
        <v>124</v>
      </c>
      <c r="H446" s="3"/>
    </row>
    <row r="447" spans="1:8" ht="15.75" customHeight="1" x14ac:dyDescent="0.25">
      <c r="A447" s="9" t="s">
        <v>97</v>
      </c>
      <c r="B447" s="300"/>
      <c r="C447" s="47">
        <v>130</v>
      </c>
      <c r="D447" s="11">
        <v>91</v>
      </c>
      <c r="E447" s="47">
        <v>134</v>
      </c>
      <c r="H447" s="3"/>
    </row>
    <row r="448" spans="1:8" ht="15.75" customHeight="1" x14ac:dyDescent="0.25">
      <c r="A448" s="9" t="s">
        <v>98</v>
      </c>
      <c r="B448" s="300"/>
      <c r="C448" s="47">
        <v>142</v>
      </c>
      <c r="D448" s="11">
        <v>100</v>
      </c>
      <c r="E448" s="47">
        <v>136</v>
      </c>
      <c r="H448" s="3"/>
    </row>
    <row r="449" spans="1:16" ht="15.75" customHeight="1" x14ac:dyDescent="0.25">
      <c r="A449" s="9" t="s">
        <v>99</v>
      </c>
      <c r="B449" s="301"/>
      <c r="C449" s="47">
        <v>146</v>
      </c>
      <c r="D449" s="11">
        <v>104</v>
      </c>
      <c r="E449" s="47">
        <v>142</v>
      </c>
      <c r="H449" s="3"/>
    </row>
    <row r="450" spans="1:16" ht="15.75" customHeight="1" x14ac:dyDescent="0.25">
      <c r="G450" s="123"/>
    </row>
    <row r="451" spans="1:16" ht="15.75" customHeight="1" x14ac:dyDescent="0.25">
      <c r="G451" s="123"/>
    </row>
    <row r="452" spans="1:16" ht="15.75" customHeight="1" x14ac:dyDescent="0.25">
      <c r="G452" s="123"/>
    </row>
    <row r="453" spans="1:16" ht="15.75" customHeight="1" x14ac:dyDescent="0.25">
      <c r="G453" s="123"/>
    </row>
    <row r="454" spans="1:16" ht="15.75" customHeight="1" x14ac:dyDescent="0.25">
      <c r="B454" s="28" t="s">
        <v>307</v>
      </c>
      <c r="C454" s="28"/>
      <c r="D454" s="28"/>
      <c r="E454" s="28"/>
      <c r="F454" s="28"/>
      <c r="G454" s="28"/>
      <c r="H454" s="28"/>
      <c r="I454" s="28"/>
      <c r="J454" s="28"/>
      <c r="K454" s="28"/>
      <c r="L454" s="28"/>
    </row>
    <row r="455" spans="1:16" ht="15.75" customHeight="1" x14ac:dyDescent="0.25">
      <c r="B455" s="28"/>
      <c r="C455" s="23"/>
      <c r="D455" s="23"/>
      <c r="E455" s="23"/>
      <c r="F455" s="23"/>
      <c r="G455" s="23"/>
      <c r="H455" s="28"/>
      <c r="I455" s="28"/>
      <c r="J455" s="28"/>
      <c r="K455" s="28"/>
      <c r="L455" s="28"/>
    </row>
    <row r="456" spans="1:16" ht="15.75" customHeight="1" x14ac:dyDescent="0.25">
      <c r="B456" s="304" t="s">
        <v>509</v>
      </c>
      <c r="C456" s="297"/>
      <c r="D456" s="297"/>
      <c r="E456" s="297"/>
      <c r="F456" s="298"/>
      <c r="G456" s="123"/>
      <c r="I456" s="296" t="s">
        <v>45</v>
      </c>
      <c r="J456" s="297"/>
      <c r="K456" s="297"/>
      <c r="L456" s="298"/>
      <c r="N456" s="324" t="s">
        <v>424</v>
      </c>
      <c r="O456" s="315"/>
      <c r="P456" s="315"/>
    </row>
    <row r="457" spans="1:16" ht="15.75" customHeight="1" x14ac:dyDescent="0.25">
      <c r="B457" s="151" t="s">
        <v>0</v>
      </c>
      <c r="C457" s="152" t="s">
        <v>1</v>
      </c>
      <c r="D457" s="152" t="s">
        <v>42</v>
      </c>
      <c r="E457" s="152" t="s">
        <v>43</v>
      </c>
      <c r="F457" s="152" t="s">
        <v>44</v>
      </c>
      <c r="G457" s="123"/>
      <c r="H457" s="160"/>
      <c r="I457" s="342" t="s">
        <v>275</v>
      </c>
      <c r="J457" s="343"/>
      <c r="K457" s="343"/>
      <c r="L457" s="344"/>
      <c r="N457" s="315"/>
      <c r="O457" s="315"/>
      <c r="P457" s="315"/>
    </row>
    <row r="458" spans="1:16" ht="15.75" customHeight="1" x14ac:dyDescent="0.25">
      <c r="B458" s="310" t="s">
        <v>275</v>
      </c>
      <c r="C458" s="297"/>
      <c r="D458" s="297"/>
      <c r="E458" s="297"/>
      <c r="F458" s="298"/>
      <c r="G458" s="123"/>
      <c r="I458" s="12"/>
      <c r="J458" s="12" t="s">
        <v>52</v>
      </c>
      <c r="K458" s="12" t="s">
        <v>53</v>
      </c>
      <c r="L458" s="12" t="s">
        <v>358</v>
      </c>
      <c r="N458" s="315"/>
      <c r="O458" s="315"/>
      <c r="P458" s="315"/>
    </row>
    <row r="459" spans="1:16" ht="15.75" customHeight="1" x14ac:dyDescent="0.25">
      <c r="B459" s="9" t="s">
        <v>11</v>
      </c>
      <c r="C459" s="12" t="s">
        <v>12</v>
      </c>
      <c r="D459" s="17"/>
      <c r="E459" s="22">
        <v>580</v>
      </c>
      <c r="F459" s="11">
        <v>510</v>
      </c>
      <c r="G459" s="123"/>
      <c r="I459" s="12" t="s">
        <v>12</v>
      </c>
      <c r="J459" s="17">
        <v>580</v>
      </c>
      <c r="K459" s="11">
        <v>510</v>
      </c>
      <c r="L459" s="17" t="s">
        <v>512</v>
      </c>
      <c r="N459" s="315"/>
      <c r="O459" s="315"/>
      <c r="P459" s="315"/>
    </row>
    <row r="460" spans="1:16" ht="15.75" customHeight="1" x14ac:dyDescent="0.25">
      <c r="B460" s="9" t="s">
        <v>11</v>
      </c>
      <c r="C460" s="12" t="s">
        <v>18</v>
      </c>
      <c r="D460" s="17">
        <v>0</v>
      </c>
      <c r="E460" s="22">
        <v>0</v>
      </c>
      <c r="F460" s="11">
        <v>0</v>
      </c>
      <c r="G460" s="123"/>
      <c r="I460" s="12" t="s">
        <v>18</v>
      </c>
      <c r="J460" s="17">
        <v>0</v>
      </c>
      <c r="K460" s="11">
        <v>0</v>
      </c>
      <c r="L460" s="17" t="s">
        <v>513</v>
      </c>
      <c r="N460" s="48"/>
      <c r="O460" s="48"/>
    </row>
    <row r="461" spans="1:16" ht="15.75" customHeight="1" x14ac:dyDescent="0.25">
      <c r="B461" s="9" t="s">
        <v>21</v>
      </c>
      <c r="C461" s="12" t="s">
        <v>59</v>
      </c>
      <c r="D461" s="17">
        <v>440</v>
      </c>
      <c r="E461" s="22">
        <v>487</v>
      </c>
      <c r="F461" s="11">
        <v>438</v>
      </c>
      <c r="G461" s="123"/>
      <c r="I461" s="305" t="s">
        <v>313</v>
      </c>
      <c r="J461" s="297"/>
      <c r="K461" s="297"/>
      <c r="L461" s="298"/>
      <c r="N461" s="48"/>
      <c r="O461" s="48"/>
    </row>
    <row r="462" spans="1:16" ht="15.75" customHeight="1" x14ac:dyDescent="0.25">
      <c r="B462" s="9" t="s">
        <v>21</v>
      </c>
      <c r="C462" s="12" t="s">
        <v>63</v>
      </c>
      <c r="D462" s="17">
        <v>160</v>
      </c>
      <c r="E462" s="22">
        <v>161</v>
      </c>
      <c r="F462" s="11">
        <v>157</v>
      </c>
      <c r="G462" s="123"/>
      <c r="I462" s="12" t="s">
        <v>12</v>
      </c>
      <c r="J462" s="17">
        <v>560</v>
      </c>
      <c r="K462" s="11">
        <v>480</v>
      </c>
      <c r="L462" s="17" t="s">
        <v>514</v>
      </c>
      <c r="N462" s="48"/>
      <c r="O462" s="48"/>
    </row>
    <row r="463" spans="1:16" ht="15.75" customHeight="1" x14ac:dyDescent="0.25">
      <c r="B463" s="10" t="s">
        <v>21</v>
      </c>
      <c r="C463" s="10" t="s">
        <v>218</v>
      </c>
      <c r="D463" s="175">
        <v>0</v>
      </c>
      <c r="E463" s="175">
        <v>0</v>
      </c>
      <c r="F463" s="176">
        <v>0</v>
      </c>
      <c r="G463" s="123"/>
      <c r="I463" s="12" t="s">
        <v>18</v>
      </c>
      <c r="J463" s="17">
        <v>0</v>
      </c>
      <c r="K463" s="11">
        <v>0</v>
      </c>
      <c r="L463" s="17" t="s">
        <v>515</v>
      </c>
    </row>
    <row r="464" spans="1:16" ht="15.75" customHeight="1" x14ac:dyDescent="0.25">
      <c r="B464" s="310" t="s">
        <v>313</v>
      </c>
      <c r="C464" s="297"/>
      <c r="D464" s="297"/>
      <c r="E464" s="297"/>
      <c r="F464" s="298"/>
      <c r="G464" s="123"/>
    </row>
    <row r="465" spans="1:13" ht="15.75" customHeight="1" x14ac:dyDescent="0.25">
      <c r="B465" s="9" t="s">
        <v>11</v>
      </c>
      <c r="C465" s="9" t="s">
        <v>12</v>
      </c>
      <c r="D465" s="17"/>
      <c r="E465" s="22">
        <v>561</v>
      </c>
      <c r="F465" s="22">
        <v>480</v>
      </c>
      <c r="G465" s="123"/>
    </row>
    <row r="466" spans="1:13" ht="15.75" customHeight="1" x14ac:dyDescent="0.25">
      <c r="B466" s="9" t="s">
        <v>11</v>
      </c>
      <c r="C466" s="12" t="s">
        <v>18</v>
      </c>
      <c r="D466" s="17">
        <v>0</v>
      </c>
      <c r="E466" s="22">
        <v>0</v>
      </c>
      <c r="F466" s="22">
        <v>0</v>
      </c>
      <c r="G466" s="123"/>
    </row>
    <row r="467" spans="1:13" ht="15.75" customHeight="1" x14ac:dyDescent="0.25">
      <c r="B467" s="9" t="s">
        <v>21</v>
      </c>
      <c r="C467" s="12" t="s">
        <v>59</v>
      </c>
      <c r="D467" s="17">
        <v>430</v>
      </c>
      <c r="E467" s="22">
        <v>450</v>
      </c>
      <c r="F467" s="22">
        <v>412</v>
      </c>
      <c r="G467" s="123"/>
    </row>
    <row r="468" spans="1:13" ht="15.75" customHeight="1" x14ac:dyDescent="0.25">
      <c r="B468" s="9" t="s">
        <v>21</v>
      </c>
      <c r="C468" s="12" t="s">
        <v>63</v>
      </c>
      <c r="D468" s="17">
        <v>150</v>
      </c>
      <c r="E468" s="22">
        <v>147</v>
      </c>
      <c r="F468" s="22">
        <v>141</v>
      </c>
      <c r="G468" s="123"/>
    </row>
    <row r="469" spans="1:13" ht="15.75" customHeight="1" x14ac:dyDescent="0.25">
      <c r="B469" s="12" t="s">
        <v>21</v>
      </c>
      <c r="C469" s="12" t="s">
        <v>218</v>
      </c>
      <c r="D469" s="17">
        <v>0</v>
      </c>
      <c r="E469" s="17">
        <v>0</v>
      </c>
      <c r="F469" s="25">
        <v>0</v>
      </c>
      <c r="G469" s="123"/>
    </row>
    <row r="470" spans="1:13" ht="15.75" customHeight="1" x14ac:dyDescent="0.25">
      <c r="G470" s="123"/>
    </row>
    <row r="471" spans="1:13" ht="15.75" customHeight="1" x14ac:dyDescent="0.25">
      <c r="A471" s="28"/>
      <c r="B471" s="28"/>
      <c r="C471" s="28"/>
      <c r="D471" s="28"/>
      <c r="E471" s="28"/>
      <c r="F471" s="28"/>
      <c r="G471" s="123"/>
      <c r="H471" s="28"/>
      <c r="I471" s="28"/>
      <c r="J471" s="28"/>
      <c r="K471" s="28"/>
      <c r="L471" s="28"/>
      <c r="M471" s="28"/>
    </row>
    <row r="472" spans="1:13" ht="15.75" customHeight="1" x14ac:dyDescent="0.25">
      <c r="A472" s="28"/>
      <c r="B472" s="28" t="s">
        <v>307</v>
      </c>
      <c r="C472" s="28"/>
      <c r="D472" s="28"/>
      <c r="E472" s="28"/>
      <c r="F472" s="28"/>
      <c r="G472" s="28"/>
      <c r="H472" s="28"/>
      <c r="I472" s="28"/>
      <c r="J472" s="28"/>
      <c r="K472" s="28"/>
      <c r="L472" s="28"/>
      <c r="M472" s="28"/>
    </row>
    <row r="473" spans="1:13" ht="15.75" customHeight="1" x14ac:dyDescent="0.25">
      <c r="A473" s="28"/>
      <c r="B473" s="28"/>
      <c r="C473" s="23"/>
      <c r="D473" s="23"/>
      <c r="E473" s="23"/>
      <c r="F473" s="23"/>
      <c r="G473" s="23"/>
      <c r="H473" s="28"/>
      <c r="I473" s="28"/>
      <c r="J473" s="28"/>
      <c r="K473" s="28"/>
      <c r="L473" s="28"/>
      <c r="M473" s="28"/>
    </row>
    <row r="474" spans="1:13" ht="15.75" customHeight="1" x14ac:dyDescent="0.25">
      <c r="A474" s="28"/>
      <c r="B474" s="304" t="s">
        <v>509</v>
      </c>
      <c r="C474" s="297"/>
      <c r="D474" s="297"/>
      <c r="E474" s="297"/>
      <c r="F474" s="298"/>
      <c r="G474" s="123"/>
      <c r="H474" s="28"/>
      <c r="I474" s="296" t="s">
        <v>45</v>
      </c>
      <c r="J474" s="297"/>
      <c r="K474" s="297"/>
      <c r="L474" s="298"/>
      <c r="M474" s="28"/>
    </row>
    <row r="475" spans="1:13" ht="15.75" customHeight="1" x14ac:dyDescent="0.25">
      <c r="A475" s="28"/>
      <c r="B475" s="151" t="s">
        <v>0</v>
      </c>
      <c r="C475" s="152" t="s">
        <v>1</v>
      </c>
      <c r="D475" s="152" t="s">
        <v>42</v>
      </c>
      <c r="E475" s="152" t="s">
        <v>43</v>
      </c>
      <c r="F475" s="152" t="s">
        <v>44</v>
      </c>
      <c r="G475" s="123"/>
      <c r="H475" s="160"/>
      <c r="I475" s="342" t="s">
        <v>275</v>
      </c>
      <c r="J475" s="343"/>
      <c r="K475" s="343"/>
      <c r="L475" s="344"/>
      <c r="M475" s="28"/>
    </row>
    <row r="476" spans="1:13" ht="15.75" customHeight="1" x14ac:dyDescent="0.25">
      <c r="A476" s="28"/>
      <c r="B476" s="310" t="s">
        <v>275</v>
      </c>
      <c r="C476" s="297"/>
      <c r="D476" s="297"/>
      <c r="E476" s="297"/>
      <c r="F476" s="298"/>
      <c r="G476" s="123"/>
      <c r="H476" s="28"/>
      <c r="I476" s="12"/>
      <c r="J476" s="12" t="s">
        <v>52</v>
      </c>
      <c r="K476" s="12" t="s">
        <v>53</v>
      </c>
      <c r="L476" s="12" t="s">
        <v>358</v>
      </c>
      <c r="M476" s="28"/>
    </row>
    <row r="477" spans="1:13" ht="24.75" customHeight="1" x14ac:dyDescent="0.25">
      <c r="A477" s="28"/>
      <c r="B477" s="9" t="s">
        <v>11</v>
      </c>
      <c r="C477" s="12" t="s">
        <v>12</v>
      </c>
      <c r="D477" s="17"/>
      <c r="E477" s="22">
        <v>580</v>
      </c>
      <c r="F477" s="11">
        <v>527</v>
      </c>
      <c r="G477" s="123"/>
      <c r="H477" s="28"/>
      <c r="I477" s="12" t="s">
        <v>12</v>
      </c>
      <c r="J477" s="17">
        <v>580</v>
      </c>
      <c r="K477" s="11">
        <v>527</v>
      </c>
      <c r="L477" s="17" t="s">
        <v>516</v>
      </c>
      <c r="M477" s="28"/>
    </row>
    <row r="478" spans="1:13" ht="15.75" customHeight="1" x14ac:dyDescent="0.25">
      <c r="A478" s="28"/>
      <c r="B478" s="9" t="s">
        <v>11</v>
      </c>
      <c r="C478" s="12" t="s">
        <v>18</v>
      </c>
      <c r="D478" s="17">
        <v>0</v>
      </c>
      <c r="E478" s="22">
        <v>0</v>
      </c>
      <c r="F478" s="11">
        <v>0</v>
      </c>
      <c r="G478" s="123"/>
      <c r="H478" s="28"/>
      <c r="I478" s="12" t="s">
        <v>18</v>
      </c>
      <c r="J478" s="17">
        <v>0</v>
      </c>
      <c r="K478" s="11">
        <v>0</v>
      </c>
      <c r="L478" s="17" t="s">
        <v>517</v>
      </c>
      <c r="M478" s="28"/>
    </row>
    <row r="479" spans="1:13" ht="15.75" customHeight="1" x14ac:dyDescent="0.25">
      <c r="A479" s="28"/>
      <c r="B479" s="9" t="s">
        <v>21</v>
      </c>
      <c r="C479" s="12" t="s">
        <v>59</v>
      </c>
      <c r="D479" s="17">
        <v>440</v>
      </c>
      <c r="E479" s="22">
        <v>487</v>
      </c>
      <c r="F479" s="11">
        <v>390</v>
      </c>
      <c r="G479" s="123"/>
      <c r="H479" s="28"/>
      <c r="I479" s="305" t="s">
        <v>313</v>
      </c>
      <c r="J479" s="297"/>
      <c r="K479" s="297"/>
      <c r="L479" s="298"/>
      <c r="M479" s="28"/>
    </row>
    <row r="480" spans="1:13" ht="15.75" customHeight="1" x14ac:dyDescent="0.25">
      <c r="A480" s="28"/>
      <c r="B480" s="9" t="s">
        <v>21</v>
      </c>
      <c r="C480" s="12" t="s">
        <v>63</v>
      </c>
      <c r="D480" s="17">
        <v>160</v>
      </c>
      <c r="E480" s="22">
        <v>161</v>
      </c>
      <c r="F480" s="11">
        <v>170</v>
      </c>
      <c r="G480" s="123"/>
      <c r="H480" s="28"/>
      <c r="I480" s="12" t="s">
        <v>12</v>
      </c>
      <c r="J480" s="17">
        <v>560</v>
      </c>
      <c r="K480" s="11"/>
      <c r="L480" s="17" t="s">
        <v>521</v>
      </c>
      <c r="M480" s="28"/>
    </row>
    <row r="481" spans="1:26" ht="15.75" customHeight="1" x14ac:dyDescent="0.25">
      <c r="A481" s="28"/>
      <c r="B481" s="10" t="s">
        <v>21</v>
      </c>
      <c r="C481" s="10" t="s">
        <v>218</v>
      </c>
      <c r="D481" s="175">
        <v>0</v>
      </c>
      <c r="E481" s="175">
        <v>0</v>
      </c>
      <c r="F481" s="176">
        <v>0</v>
      </c>
      <c r="G481" s="123"/>
      <c r="H481" s="28"/>
      <c r="I481" s="12" t="s">
        <v>18</v>
      </c>
      <c r="J481" s="17">
        <v>0</v>
      </c>
      <c r="K481" s="11"/>
      <c r="L481" s="17" t="s">
        <v>522</v>
      </c>
      <c r="M481" s="28"/>
    </row>
    <row r="482" spans="1:26" ht="15.75" customHeight="1" x14ac:dyDescent="0.25">
      <c r="A482" s="28"/>
      <c r="B482" s="310" t="s">
        <v>313</v>
      </c>
      <c r="C482" s="297"/>
      <c r="D482" s="297"/>
      <c r="E482" s="297"/>
      <c r="F482" s="298"/>
      <c r="G482" s="123"/>
      <c r="H482" s="28"/>
      <c r="I482" s="28"/>
      <c r="J482" s="28"/>
      <c r="K482" s="28"/>
      <c r="L482" s="28"/>
      <c r="M482" s="28"/>
    </row>
    <row r="483" spans="1:26" ht="15.75" customHeight="1" x14ac:dyDescent="0.25">
      <c r="A483" s="28"/>
      <c r="B483" s="9" t="s">
        <v>11</v>
      </c>
      <c r="C483" s="9" t="s">
        <v>12</v>
      </c>
      <c r="D483" s="17"/>
      <c r="E483" s="22">
        <v>558</v>
      </c>
      <c r="F483" s="22">
        <v>0</v>
      </c>
      <c r="G483" s="123"/>
      <c r="H483" s="28"/>
      <c r="I483" s="28"/>
      <c r="J483" s="28"/>
      <c r="K483" s="28"/>
      <c r="L483" s="28"/>
      <c r="M483" s="28"/>
    </row>
    <row r="484" spans="1:26" ht="15.75" customHeight="1" x14ac:dyDescent="0.25">
      <c r="A484" s="28"/>
      <c r="B484" s="9" t="s">
        <v>11</v>
      </c>
      <c r="C484" s="12" t="s">
        <v>18</v>
      </c>
      <c r="D484" s="17">
        <v>0</v>
      </c>
      <c r="E484" s="22">
        <v>0</v>
      </c>
      <c r="F484" s="22"/>
      <c r="G484" s="123"/>
      <c r="H484" s="28"/>
      <c r="I484" s="28"/>
      <c r="J484" s="28"/>
      <c r="K484" s="28"/>
      <c r="L484" s="28"/>
      <c r="M484" s="28"/>
    </row>
    <row r="485" spans="1:26" ht="15.75" customHeight="1" x14ac:dyDescent="0.25">
      <c r="A485" s="28"/>
      <c r="B485" s="9" t="s">
        <v>21</v>
      </c>
      <c r="C485" s="12" t="s">
        <v>59</v>
      </c>
      <c r="D485" s="17">
        <v>430</v>
      </c>
      <c r="E485" s="22">
        <v>385</v>
      </c>
      <c r="F485" s="22"/>
      <c r="G485" s="123"/>
      <c r="H485" s="28"/>
      <c r="I485" s="28"/>
      <c r="J485" s="28"/>
      <c r="K485" s="28"/>
      <c r="L485" s="28"/>
      <c r="M485" s="28"/>
    </row>
    <row r="486" spans="1:26" ht="15.75" customHeight="1" x14ac:dyDescent="0.25">
      <c r="A486" s="28"/>
      <c r="B486" s="9" t="s">
        <v>21</v>
      </c>
      <c r="C486" s="12" t="s">
        <v>63</v>
      </c>
      <c r="D486" s="17">
        <v>150</v>
      </c>
      <c r="E486" s="22">
        <v>133</v>
      </c>
      <c r="F486" s="22"/>
      <c r="G486" s="123"/>
      <c r="H486" s="28"/>
      <c r="I486" s="28"/>
      <c r="J486" s="28"/>
      <c r="K486" s="28"/>
      <c r="L486" s="28"/>
      <c r="M486" s="28"/>
      <c r="N486" s="29"/>
      <c r="O486" s="29"/>
      <c r="P486" s="29"/>
      <c r="Q486" s="29"/>
      <c r="R486" s="29"/>
      <c r="S486" s="29"/>
      <c r="T486" s="29"/>
      <c r="U486" s="29"/>
      <c r="V486" s="29"/>
      <c r="W486" s="29"/>
      <c r="X486" s="29"/>
      <c r="Y486" s="29"/>
      <c r="Z486" s="29"/>
    </row>
    <row r="487" spans="1:26" ht="15.75" customHeight="1" x14ac:dyDescent="0.25">
      <c r="A487" s="28"/>
      <c r="B487" s="12" t="s">
        <v>21</v>
      </c>
      <c r="C487" s="12" t="s">
        <v>218</v>
      </c>
      <c r="D487" s="17">
        <v>0</v>
      </c>
      <c r="E487" s="17">
        <v>0</v>
      </c>
      <c r="F487" s="25"/>
      <c r="G487" s="123"/>
      <c r="H487" s="28"/>
      <c r="I487" s="28"/>
      <c r="J487" s="28"/>
      <c r="K487" s="28"/>
      <c r="L487" s="28"/>
      <c r="M487" s="28"/>
    </row>
    <row r="488" spans="1:26" ht="15.75" customHeight="1" x14ac:dyDescent="0.25">
      <c r="A488" s="28"/>
      <c r="B488" s="28"/>
      <c r="C488" s="28"/>
      <c r="D488" s="28"/>
      <c r="E488" s="28"/>
      <c r="F488" s="28"/>
      <c r="G488" s="123"/>
      <c r="H488" s="28"/>
      <c r="I488" s="28"/>
      <c r="J488" s="28"/>
      <c r="K488" s="28"/>
      <c r="L488" s="28"/>
    </row>
    <row r="489" spans="1:26" ht="15.75" customHeight="1" x14ac:dyDescent="0.25">
      <c r="A489" s="23" t="s">
        <v>115</v>
      </c>
      <c r="B489" s="43" t="s">
        <v>282</v>
      </c>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5.75" customHeight="1" x14ac:dyDescent="0.25">
      <c r="A490" s="304" t="s">
        <v>534</v>
      </c>
      <c r="B490" s="297"/>
      <c r="C490" s="297"/>
      <c r="D490" s="297"/>
      <c r="E490" s="298"/>
      <c r="F490" s="28"/>
      <c r="G490" s="28"/>
      <c r="H490" s="3"/>
      <c r="I490" s="28"/>
      <c r="J490" s="28"/>
      <c r="K490" s="28"/>
      <c r="L490" s="28"/>
      <c r="M490" s="28"/>
      <c r="N490" s="28"/>
      <c r="O490" s="28"/>
      <c r="P490" s="28"/>
      <c r="Q490" s="28"/>
      <c r="R490" s="28"/>
      <c r="S490" s="28"/>
      <c r="T490" s="28"/>
      <c r="U490" s="28"/>
      <c r="V490" s="28"/>
      <c r="W490" s="28"/>
      <c r="X490" s="28"/>
      <c r="Y490" s="28"/>
      <c r="Z490" s="28"/>
    </row>
    <row r="491" spans="1:26" ht="15.75" customHeight="1" x14ac:dyDescent="0.25">
      <c r="A491" s="4" t="s">
        <v>0</v>
      </c>
      <c r="B491" s="5" t="s">
        <v>1</v>
      </c>
      <c r="C491" s="5" t="s">
        <v>2</v>
      </c>
      <c r="D491" s="5" t="s">
        <v>43</v>
      </c>
      <c r="E491" s="45" t="s">
        <v>125</v>
      </c>
      <c r="F491" s="28"/>
      <c r="G491" s="296" t="s">
        <v>6</v>
      </c>
      <c r="H491" s="297"/>
      <c r="I491" s="297"/>
      <c r="J491" s="297"/>
      <c r="K491" s="297"/>
      <c r="L491" s="298"/>
      <c r="M491" s="28"/>
      <c r="N491" s="28"/>
      <c r="O491" s="28"/>
      <c r="P491" s="28"/>
      <c r="Q491" s="28"/>
      <c r="R491" s="28"/>
      <c r="S491" s="28"/>
      <c r="T491" s="28"/>
      <c r="U491" s="28"/>
      <c r="V491" s="28"/>
      <c r="W491" s="28"/>
      <c r="X491" s="28"/>
      <c r="Y491" s="28"/>
      <c r="Z491" s="28"/>
    </row>
    <row r="492" spans="1:26" ht="15.75" customHeight="1" x14ac:dyDescent="0.25">
      <c r="A492" s="9" t="s">
        <v>7</v>
      </c>
      <c r="B492" s="302" t="s">
        <v>9</v>
      </c>
      <c r="C492" s="47">
        <v>28.1</v>
      </c>
      <c r="D492" s="47">
        <f t="shared" ref="D492:D496" si="27">E492-E492*0.5</f>
        <v>15</v>
      </c>
      <c r="E492" s="47">
        <v>30</v>
      </c>
      <c r="F492" s="28"/>
      <c r="G492" s="296" t="s">
        <v>106</v>
      </c>
      <c r="H492" s="297"/>
      <c r="I492" s="298"/>
      <c r="J492" s="296" t="s">
        <v>107</v>
      </c>
      <c r="K492" s="297"/>
      <c r="L492" s="298"/>
      <c r="M492" s="28"/>
      <c r="N492" s="28"/>
      <c r="O492" s="28"/>
      <c r="P492" s="28"/>
      <c r="Q492" s="28"/>
      <c r="R492" s="28"/>
      <c r="S492" s="28"/>
      <c r="T492" s="28"/>
      <c r="U492" s="28"/>
      <c r="V492" s="28"/>
      <c r="W492" s="28"/>
      <c r="X492" s="28"/>
      <c r="Y492" s="28"/>
      <c r="Z492" s="28"/>
    </row>
    <row r="493" spans="1:26" ht="15.75" customHeight="1" x14ac:dyDescent="0.25">
      <c r="A493" s="9" t="s">
        <v>17</v>
      </c>
      <c r="B493" s="300"/>
      <c r="C493" s="47">
        <v>63.911000000000001</v>
      </c>
      <c r="D493" s="47">
        <f t="shared" si="27"/>
        <v>34.5</v>
      </c>
      <c r="E493" s="47">
        <v>69</v>
      </c>
      <c r="F493" s="28"/>
      <c r="G493" s="13" t="s">
        <v>13</v>
      </c>
      <c r="H493" s="39">
        <f>+H495+H495*0.1</f>
        <v>759</v>
      </c>
      <c r="I493" s="17" t="s">
        <v>541</v>
      </c>
      <c r="J493" s="13" t="s">
        <v>13</v>
      </c>
      <c r="K493" s="39">
        <v>825</v>
      </c>
      <c r="L493" s="17" t="s">
        <v>542</v>
      </c>
      <c r="M493" s="28"/>
      <c r="N493" s="28"/>
      <c r="O493" s="28"/>
      <c r="P493" s="28"/>
      <c r="Q493" s="28"/>
      <c r="R493" s="28"/>
      <c r="S493" s="28"/>
      <c r="T493" s="28"/>
      <c r="U493" s="28"/>
      <c r="V493" s="28"/>
      <c r="W493" s="28"/>
      <c r="X493" s="28"/>
      <c r="Y493" s="28"/>
      <c r="Z493" s="28"/>
    </row>
    <row r="494" spans="1:26" ht="15.75" customHeight="1" x14ac:dyDescent="0.25">
      <c r="A494" s="9" t="s">
        <v>26</v>
      </c>
      <c r="B494" s="300"/>
      <c r="C494" s="47">
        <v>69.921999999999997</v>
      </c>
      <c r="D494" s="47">
        <f t="shared" si="27"/>
        <v>39</v>
      </c>
      <c r="E494" s="47">
        <v>78</v>
      </c>
      <c r="F494" s="28"/>
      <c r="G494" s="13" t="s">
        <v>19</v>
      </c>
      <c r="H494" s="40">
        <f>+H495-H495*0.1</f>
        <v>621</v>
      </c>
      <c r="I494" s="17" t="s">
        <v>543</v>
      </c>
      <c r="J494" s="13" t="s">
        <v>19</v>
      </c>
      <c r="K494" s="40">
        <v>675</v>
      </c>
      <c r="L494" s="17" t="s">
        <v>544</v>
      </c>
      <c r="M494" s="28"/>
      <c r="N494" s="28"/>
      <c r="O494" s="28"/>
      <c r="P494" s="28"/>
      <c r="Q494" s="28"/>
      <c r="R494" s="28"/>
      <c r="S494" s="28"/>
      <c r="T494" s="28"/>
      <c r="U494" s="28"/>
      <c r="V494" s="28"/>
      <c r="W494" s="28"/>
      <c r="X494" s="28"/>
      <c r="Y494" s="28"/>
      <c r="Z494" s="28"/>
    </row>
    <row r="495" spans="1:26" ht="15.75" customHeight="1" x14ac:dyDescent="0.25">
      <c r="A495" s="9" t="s">
        <v>32</v>
      </c>
      <c r="B495" s="300"/>
      <c r="C495" s="47">
        <v>96.744</v>
      </c>
      <c r="D495" s="47">
        <f t="shared" si="27"/>
        <v>49.5</v>
      </c>
      <c r="E495" s="47">
        <v>99</v>
      </c>
      <c r="F495" s="28"/>
      <c r="G495" s="13" t="s">
        <v>27</v>
      </c>
      <c r="H495" s="20">
        <v>690</v>
      </c>
      <c r="I495" s="17" t="s">
        <v>545</v>
      </c>
      <c r="J495" s="13" t="s">
        <v>27</v>
      </c>
      <c r="K495" s="20">
        <v>750</v>
      </c>
      <c r="L495" s="17" t="s">
        <v>546</v>
      </c>
      <c r="M495" s="28"/>
      <c r="N495" s="28"/>
      <c r="O495" s="28"/>
      <c r="P495" s="28"/>
      <c r="Q495" s="28"/>
      <c r="R495" s="28"/>
      <c r="S495" s="28"/>
      <c r="T495" s="28"/>
      <c r="U495" s="28"/>
      <c r="V495" s="28"/>
      <c r="W495" s="28"/>
      <c r="X495" s="28"/>
      <c r="Y495" s="28"/>
      <c r="Z495" s="28"/>
    </row>
    <row r="496" spans="1:26" ht="15.75" customHeight="1" x14ac:dyDescent="0.25">
      <c r="A496" s="9" t="s">
        <v>33</v>
      </c>
      <c r="B496" s="301"/>
      <c r="C496" s="47">
        <v>128.11000000000001</v>
      </c>
      <c r="D496" s="47">
        <f t="shared" si="27"/>
        <v>64.5</v>
      </c>
      <c r="E496" s="47">
        <v>129</v>
      </c>
      <c r="F496" s="28"/>
      <c r="G496" s="13" t="s">
        <v>121</v>
      </c>
      <c r="H496" s="20">
        <v>680</v>
      </c>
      <c r="I496" s="17" t="s">
        <v>547</v>
      </c>
      <c r="J496" s="13" t="s">
        <v>121</v>
      </c>
      <c r="K496" s="20">
        <v>748</v>
      </c>
      <c r="L496" s="17" t="s">
        <v>548</v>
      </c>
      <c r="M496" s="28"/>
      <c r="N496" s="28"/>
      <c r="O496" s="28"/>
      <c r="P496" s="28"/>
      <c r="Q496" s="28"/>
      <c r="R496" s="28"/>
      <c r="S496" s="28"/>
      <c r="T496" s="28"/>
      <c r="U496" s="28"/>
      <c r="V496" s="28"/>
      <c r="W496" s="28"/>
      <c r="X496" s="28"/>
      <c r="Y496" s="28"/>
      <c r="Z496" s="28"/>
    </row>
    <row r="497" spans="1:26" ht="15.75" customHeight="1" x14ac:dyDescent="0.25">
      <c r="A497" s="41"/>
      <c r="B497" s="125"/>
      <c r="C497" s="42"/>
      <c r="D497" s="47"/>
      <c r="E497" s="25"/>
      <c r="F497" s="28"/>
      <c r="G497" s="28"/>
      <c r="H497" s="3"/>
      <c r="I497" s="28"/>
      <c r="J497" s="28"/>
      <c r="K497" s="28"/>
      <c r="L497" s="28"/>
      <c r="M497" s="28"/>
      <c r="N497" s="28"/>
      <c r="O497" s="28"/>
      <c r="P497" s="28"/>
      <c r="Q497" s="28"/>
      <c r="R497" s="28"/>
      <c r="S497" s="28"/>
      <c r="T497" s="28"/>
      <c r="U497" s="28"/>
      <c r="V497" s="28"/>
      <c r="W497" s="28"/>
      <c r="X497" s="28"/>
      <c r="Y497" s="28"/>
      <c r="Z497" s="28"/>
    </row>
    <row r="498" spans="1:26" ht="15.75" customHeight="1" x14ac:dyDescent="0.25">
      <c r="A498" s="126" t="s">
        <v>35</v>
      </c>
      <c r="B498" s="302" t="s">
        <v>36</v>
      </c>
      <c r="C498" s="47">
        <v>207.78</v>
      </c>
      <c r="D498" s="47">
        <f t="shared" ref="D498:D502" si="28">E498-E498*0.5</f>
        <v>130</v>
      </c>
      <c r="E498" s="47">
        <v>260</v>
      </c>
      <c r="F498" s="127"/>
      <c r="G498" s="28"/>
      <c r="H498" s="3"/>
      <c r="I498" s="27" t="s">
        <v>241</v>
      </c>
      <c r="J498" s="128">
        <v>43355</v>
      </c>
      <c r="K498" s="28"/>
      <c r="L498" s="28"/>
      <c r="M498" s="28"/>
      <c r="N498" s="28"/>
      <c r="O498" s="28"/>
      <c r="P498" s="28"/>
      <c r="Q498" s="28"/>
      <c r="R498" s="28"/>
      <c r="S498" s="28"/>
      <c r="T498" s="28"/>
      <c r="U498" s="28"/>
      <c r="V498" s="28"/>
      <c r="W498" s="28"/>
      <c r="X498" s="28"/>
      <c r="Y498" s="28"/>
      <c r="Z498" s="28"/>
    </row>
    <row r="499" spans="1:26" ht="15.75" customHeight="1" x14ac:dyDescent="0.25">
      <c r="A499" s="126" t="s">
        <v>37</v>
      </c>
      <c r="B499" s="300"/>
      <c r="C499" s="47">
        <v>444.11</v>
      </c>
      <c r="D499" s="47">
        <f t="shared" si="28"/>
        <v>197</v>
      </c>
      <c r="E499" s="47">
        <v>394</v>
      </c>
      <c r="F499" s="127"/>
      <c r="G499" s="28"/>
      <c r="H499" s="3"/>
      <c r="I499" s="28"/>
      <c r="J499" s="28"/>
      <c r="K499" s="28"/>
      <c r="L499" s="28"/>
      <c r="M499" s="28"/>
      <c r="N499" s="28"/>
      <c r="O499" s="28"/>
      <c r="P499" s="28"/>
      <c r="Q499" s="28"/>
      <c r="R499" s="28"/>
      <c r="S499" s="28"/>
      <c r="T499" s="28"/>
      <c r="U499" s="28"/>
      <c r="V499" s="28"/>
      <c r="W499" s="28"/>
      <c r="X499" s="28"/>
      <c r="Y499" s="28"/>
      <c r="Z499" s="28"/>
    </row>
    <row r="500" spans="1:26" ht="15.75" customHeight="1" x14ac:dyDescent="0.25">
      <c r="A500" s="126" t="s">
        <v>38</v>
      </c>
      <c r="B500" s="300"/>
      <c r="C500" s="47">
        <v>579.55999999999995</v>
      </c>
      <c r="D500" s="47">
        <f t="shared" si="28"/>
        <v>307</v>
      </c>
      <c r="E500" s="47">
        <v>614</v>
      </c>
      <c r="F500" s="127"/>
      <c r="G500" s="28"/>
      <c r="H500" s="3"/>
      <c r="I500" s="28"/>
      <c r="J500" s="28"/>
      <c r="K500" s="28"/>
      <c r="L500" s="28"/>
      <c r="M500" s="28"/>
      <c r="N500" s="28"/>
      <c r="O500" s="28"/>
      <c r="P500" s="28"/>
      <c r="Q500" s="28"/>
      <c r="R500" s="28"/>
      <c r="S500" s="28"/>
      <c r="T500" s="28"/>
      <c r="U500" s="28"/>
      <c r="V500" s="28"/>
      <c r="W500" s="28"/>
      <c r="X500" s="28"/>
      <c r="Y500" s="28"/>
      <c r="Z500" s="28"/>
    </row>
    <row r="501" spans="1:26" ht="15.75" customHeight="1" x14ac:dyDescent="0.25">
      <c r="A501" s="129" t="s">
        <v>39</v>
      </c>
      <c r="B501" s="300"/>
      <c r="C501" s="50">
        <v>746.22</v>
      </c>
      <c r="D501" s="47">
        <f t="shared" si="28"/>
        <v>357</v>
      </c>
      <c r="E501" s="47">
        <v>714</v>
      </c>
      <c r="F501" s="28"/>
      <c r="G501" s="28"/>
      <c r="H501" s="3"/>
      <c r="I501" s="28"/>
      <c r="J501" s="28"/>
      <c r="K501" s="28"/>
      <c r="L501" s="28"/>
      <c r="M501" s="28"/>
      <c r="N501" s="28"/>
      <c r="O501" s="28"/>
      <c r="P501" s="28"/>
      <c r="Q501" s="28"/>
      <c r="R501" s="28"/>
      <c r="S501" s="28"/>
      <c r="T501" s="28"/>
      <c r="U501" s="28"/>
      <c r="V501" s="28"/>
      <c r="W501" s="28"/>
      <c r="X501" s="28"/>
      <c r="Y501" s="28"/>
      <c r="Z501" s="28"/>
    </row>
    <row r="502" spans="1:26" ht="15.75" customHeight="1" x14ac:dyDescent="0.25">
      <c r="A502" s="12" t="s">
        <v>41</v>
      </c>
      <c r="B502" s="301"/>
      <c r="C502" s="71">
        <v>869.5</v>
      </c>
      <c r="D502" s="47">
        <f t="shared" si="28"/>
        <v>419.5</v>
      </c>
      <c r="E502" s="47">
        <v>839</v>
      </c>
      <c r="F502" s="127"/>
      <c r="G502" s="28"/>
      <c r="H502" s="3"/>
      <c r="I502" s="28"/>
      <c r="J502" s="28"/>
      <c r="K502" s="28"/>
      <c r="L502" s="28"/>
      <c r="M502" s="28"/>
      <c r="N502" s="28"/>
      <c r="O502" s="28"/>
      <c r="P502" s="28"/>
      <c r="Q502" s="28"/>
      <c r="R502" s="28"/>
      <c r="S502" s="28"/>
      <c r="T502" s="28"/>
      <c r="U502" s="28"/>
      <c r="V502" s="28"/>
      <c r="W502" s="28"/>
      <c r="X502" s="28"/>
      <c r="Y502" s="28"/>
      <c r="Z502" s="28"/>
    </row>
    <row r="503" spans="1:26" ht="15.75" customHeight="1" x14ac:dyDescent="0.25">
      <c r="A503" s="130"/>
      <c r="B503" s="131"/>
      <c r="C503" s="131"/>
      <c r="D503" s="131"/>
      <c r="E503" s="131"/>
      <c r="F503" s="28"/>
      <c r="G503" s="28"/>
      <c r="H503" s="3"/>
      <c r="I503" s="28"/>
      <c r="J503" s="28"/>
      <c r="K503" s="28"/>
      <c r="L503" s="28"/>
      <c r="M503" s="28"/>
      <c r="N503" s="28"/>
      <c r="O503" s="28"/>
      <c r="P503" s="28"/>
      <c r="Q503" s="28"/>
      <c r="R503" s="28"/>
      <c r="S503" s="28"/>
      <c r="T503" s="28"/>
      <c r="U503" s="28"/>
      <c r="V503" s="28"/>
      <c r="W503" s="28"/>
      <c r="X503" s="28"/>
      <c r="Y503" s="28"/>
      <c r="Z503" s="28"/>
    </row>
    <row r="504" spans="1:26" ht="15.75" customHeight="1" x14ac:dyDescent="0.25">
      <c r="A504" s="9" t="s">
        <v>46</v>
      </c>
      <c r="B504" s="299" t="s">
        <v>47</v>
      </c>
      <c r="C504" s="11">
        <v>88.4</v>
      </c>
      <c r="D504" s="47">
        <f t="shared" ref="D504:D505" si="29">E504-E504*0.5</f>
        <v>48</v>
      </c>
      <c r="E504" s="47">
        <v>96</v>
      </c>
      <c r="F504" s="28"/>
      <c r="G504" s="28"/>
      <c r="H504" s="3"/>
      <c r="I504" s="28"/>
      <c r="J504" s="28"/>
      <c r="K504" s="28"/>
      <c r="L504" s="28"/>
      <c r="M504" s="28"/>
      <c r="N504" s="28"/>
      <c r="O504" s="28"/>
      <c r="P504" s="28"/>
      <c r="Q504" s="28"/>
      <c r="R504" s="28"/>
      <c r="S504" s="28"/>
      <c r="T504" s="28"/>
      <c r="U504" s="28"/>
      <c r="V504" s="28"/>
      <c r="W504" s="28"/>
      <c r="X504" s="28"/>
      <c r="Y504" s="28"/>
      <c r="Z504" s="28"/>
    </row>
    <row r="505" spans="1:26" ht="15.75" customHeight="1" x14ac:dyDescent="0.25">
      <c r="A505" s="9" t="s">
        <v>48</v>
      </c>
      <c r="B505" s="300"/>
      <c r="C505" s="11">
        <v>94.6</v>
      </c>
      <c r="D505" s="47">
        <f t="shared" si="29"/>
        <v>50</v>
      </c>
      <c r="E505" s="47">
        <v>100</v>
      </c>
      <c r="F505" s="28"/>
      <c r="G505" s="28"/>
      <c r="H505" s="3"/>
      <c r="I505" s="28"/>
      <c r="J505" s="28"/>
      <c r="K505" s="28"/>
      <c r="L505" s="28"/>
      <c r="M505" s="28"/>
      <c r="N505" s="28"/>
      <c r="O505" s="28"/>
      <c r="P505" s="28"/>
      <c r="Q505" s="28"/>
      <c r="R505" s="28"/>
      <c r="S505" s="28"/>
      <c r="T505" s="28"/>
      <c r="U505" s="28"/>
      <c r="V505" s="28"/>
      <c r="W505" s="28"/>
      <c r="X505" s="28"/>
      <c r="Y505" s="28"/>
      <c r="Z505" s="28"/>
    </row>
    <row r="506" spans="1:26" ht="15.75" customHeight="1" x14ac:dyDescent="0.25">
      <c r="A506" s="41"/>
      <c r="B506" s="125"/>
      <c r="C506" s="42"/>
      <c r="D506" s="42"/>
      <c r="E506" s="42"/>
      <c r="F506" s="28"/>
      <c r="G506" s="28"/>
      <c r="H506" s="3"/>
      <c r="I506" s="28"/>
      <c r="J506" s="28"/>
      <c r="K506" s="28"/>
      <c r="L506" s="28"/>
      <c r="M506" s="28"/>
      <c r="N506" s="28"/>
      <c r="O506" s="28"/>
      <c r="P506" s="28"/>
      <c r="Q506" s="28"/>
      <c r="R506" s="28"/>
      <c r="S506" s="28"/>
      <c r="T506" s="28"/>
      <c r="U506" s="28"/>
      <c r="V506" s="28"/>
      <c r="W506" s="28"/>
      <c r="X506" s="28"/>
      <c r="Y506" s="28"/>
      <c r="Z506" s="28"/>
    </row>
    <row r="507" spans="1:26" ht="15.75" customHeight="1" x14ac:dyDescent="0.25">
      <c r="A507" s="126" t="s">
        <v>50</v>
      </c>
      <c r="B507" s="302" t="s">
        <v>51</v>
      </c>
      <c r="C507" s="47">
        <v>271.44</v>
      </c>
      <c r="D507" s="47">
        <f t="shared" ref="D507:D511" si="30">E507-E507*0.5</f>
        <v>201.5</v>
      </c>
      <c r="E507" s="47">
        <v>403</v>
      </c>
      <c r="F507" s="28"/>
      <c r="G507" s="28"/>
      <c r="H507" s="3"/>
      <c r="I507" s="28"/>
      <c r="J507" s="28"/>
      <c r="K507" s="28"/>
      <c r="L507" s="28"/>
      <c r="M507" s="28"/>
      <c r="N507" s="28"/>
      <c r="O507" s="28"/>
      <c r="P507" s="28"/>
      <c r="Q507" s="28"/>
      <c r="R507" s="28"/>
      <c r="S507" s="28"/>
      <c r="T507" s="28"/>
      <c r="U507" s="28"/>
      <c r="V507" s="28"/>
      <c r="W507" s="28"/>
      <c r="X507" s="28"/>
      <c r="Y507" s="28"/>
      <c r="Z507" s="28"/>
    </row>
    <row r="508" spans="1:26" ht="15.75" customHeight="1" x14ac:dyDescent="0.25">
      <c r="A508" s="126" t="s">
        <v>54</v>
      </c>
      <c r="B508" s="300"/>
      <c r="C508" s="47">
        <v>550.22199999999998</v>
      </c>
      <c r="D508" s="47">
        <f t="shared" si="30"/>
        <v>240</v>
      </c>
      <c r="E508" s="47">
        <v>480</v>
      </c>
      <c r="F508" s="28"/>
      <c r="G508" s="28"/>
      <c r="H508" s="3"/>
      <c r="I508" s="28"/>
      <c r="J508" s="28"/>
      <c r="K508" s="28"/>
      <c r="L508" s="28"/>
      <c r="M508" s="28"/>
      <c r="N508" s="28"/>
      <c r="O508" s="28"/>
      <c r="P508" s="28"/>
      <c r="Q508" s="28"/>
      <c r="R508" s="28"/>
      <c r="S508" s="28"/>
      <c r="T508" s="28"/>
      <c r="U508" s="28"/>
      <c r="V508" s="28"/>
      <c r="W508" s="28"/>
      <c r="X508" s="28"/>
      <c r="Y508" s="28"/>
      <c r="Z508" s="28"/>
    </row>
    <row r="509" spans="1:26" ht="15.75" customHeight="1" x14ac:dyDescent="0.25">
      <c r="A509" s="126" t="s">
        <v>55</v>
      </c>
      <c r="B509" s="300"/>
      <c r="C509" s="47">
        <v>746.8</v>
      </c>
      <c r="D509" s="47">
        <f t="shared" si="30"/>
        <v>322.5</v>
      </c>
      <c r="E509" s="47">
        <v>645</v>
      </c>
      <c r="F509" s="28"/>
      <c r="G509" s="28"/>
      <c r="H509" s="3"/>
      <c r="I509" s="28"/>
      <c r="J509" s="28"/>
      <c r="K509" s="28"/>
      <c r="L509" s="28"/>
      <c r="M509" s="28"/>
      <c r="N509" s="28"/>
      <c r="O509" s="28"/>
      <c r="P509" s="28"/>
      <c r="Q509" s="28"/>
      <c r="R509" s="28"/>
      <c r="S509" s="28"/>
      <c r="T509" s="28"/>
      <c r="U509" s="28"/>
      <c r="V509" s="28"/>
      <c r="W509" s="28"/>
      <c r="X509" s="28"/>
      <c r="Y509" s="28"/>
      <c r="Z509" s="28"/>
    </row>
    <row r="510" spans="1:26" ht="15.75" customHeight="1" x14ac:dyDescent="0.25">
      <c r="A510" s="129" t="s">
        <v>56</v>
      </c>
      <c r="B510" s="300"/>
      <c r="C510" s="50">
        <v>768.33333333333337</v>
      </c>
      <c r="D510" s="47">
        <f t="shared" si="30"/>
        <v>389</v>
      </c>
      <c r="E510" s="47">
        <v>778</v>
      </c>
      <c r="F510" s="28"/>
      <c r="G510" s="28"/>
      <c r="H510" s="3"/>
      <c r="I510" s="28"/>
      <c r="J510" s="28"/>
      <c r="K510" s="28"/>
      <c r="L510" s="28"/>
      <c r="M510" s="28"/>
      <c r="N510" s="28"/>
      <c r="O510" s="28"/>
      <c r="P510" s="28"/>
      <c r="Q510" s="28"/>
      <c r="R510" s="28"/>
      <c r="S510" s="28"/>
      <c r="T510" s="28"/>
      <c r="U510" s="28"/>
      <c r="V510" s="28"/>
      <c r="W510" s="28"/>
      <c r="X510" s="28"/>
      <c r="Y510" s="28"/>
      <c r="Z510" s="28"/>
    </row>
    <row r="511" spans="1:26" ht="15.75" customHeight="1" x14ac:dyDescent="0.25">
      <c r="A511" s="8" t="s">
        <v>57</v>
      </c>
      <c r="B511" s="301"/>
      <c r="C511" s="71">
        <v>609</v>
      </c>
      <c r="D511" s="47">
        <f t="shared" si="30"/>
        <v>310</v>
      </c>
      <c r="E511" s="47">
        <v>620</v>
      </c>
      <c r="F511" s="28"/>
      <c r="G511" s="28"/>
      <c r="H511" s="3"/>
      <c r="I511" s="28"/>
      <c r="J511" s="28"/>
      <c r="K511" s="28"/>
      <c r="L511" s="28"/>
      <c r="M511" s="28"/>
      <c r="N511" s="28"/>
      <c r="O511" s="28"/>
      <c r="P511" s="28"/>
      <c r="Q511" s="28"/>
      <c r="R511" s="28"/>
      <c r="S511" s="28"/>
      <c r="T511" s="28"/>
      <c r="U511" s="28"/>
      <c r="V511" s="28"/>
      <c r="W511" s="28"/>
      <c r="X511" s="28"/>
      <c r="Y511" s="28"/>
      <c r="Z511" s="28"/>
    </row>
    <row r="512" spans="1:26" ht="15.75" customHeight="1" x14ac:dyDescent="0.25">
      <c r="A512" s="130"/>
      <c r="B512" s="131"/>
      <c r="C512" s="131"/>
      <c r="D512" s="131"/>
      <c r="E512" s="131"/>
      <c r="F512" s="28"/>
      <c r="G512" s="28"/>
      <c r="H512" s="3"/>
      <c r="I512" s="28"/>
      <c r="J512" s="28"/>
      <c r="K512" s="28"/>
      <c r="L512" s="28"/>
      <c r="M512" s="28"/>
      <c r="N512" s="28"/>
      <c r="O512" s="28"/>
      <c r="P512" s="28"/>
      <c r="Q512" s="28"/>
      <c r="R512" s="28"/>
      <c r="S512" s="28"/>
      <c r="T512" s="28"/>
      <c r="U512" s="28"/>
      <c r="V512" s="28"/>
      <c r="W512" s="28"/>
      <c r="X512" s="28"/>
      <c r="Y512" s="28"/>
      <c r="Z512" s="28"/>
    </row>
    <row r="513" spans="1:26" ht="15.75" customHeight="1" x14ac:dyDescent="0.25">
      <c r="A513" s="9" t="s">
        <v>60</v>
      </c>
      <c r="B513" s="299" t="s">
        <v>62</v>
      </c>
      <c r="C513" s="47">
        <v>19.741666666666667</v>
      </c>
      <c r="D513" s="47">
        <f t="shared" ref="D513:D518" si="31">E513-E513*0.5</f>
        <v>15.5</v>
      </c>
      <c r="E513" s="53">
        <v>31</v>
      </c>
      <c r="F513" s="28"/>
      <c r="G513" s="28"/>
      <c r="H513" s="3"/>
      <c r="I513" s="28"/>
      <c r="J513" s="28"/>
      <c r="K513" s="28"/>
      <c r="L513" s="28"/>
      <c r="M513" s="28"/>
      <c r="N513" s="28"/>
      <c r="O513" s="28"/>
      <c r="P513" s="28"/>
      <c r="Q513" s="28"/>
      <c r="R513" s="28"/>
      <c r="S513" s="28"/>
      <c r="T513" s="28"/>
      <c r="U513" s="28"/>
      <c r="V513" s="28"/>
      <c r="W513" s="28"/>
      <c r="X513" s="28"/>
      <c r="Y513" s="28"/>
      <c r="Z513" s="28"/>
    </row>
    <row r="514" spans="1:26" ht="15.75" customHeight="1" x14ac:dyDescent="0.25">
      <c r="A514" s="9" t="s">
        <v>65</v>
      </c>
      <c r="B514" s="300"/>
      <c r="C514" s="11">
        <v>42</v>
      </c>
      <c r="D514" s="47">
        <f t="shared" si="31"/>
        <v>23.5</v>
      </c>
      <c r="E514" s="54">
        <v>47</v>
      </c>
      <c r="F514" s="28"/>
      <c r="G514" s="28"/>
      <c r="H514" s="3"/>
      <c r="I514" s="28"/>
      <c r="J514" s="28"/>
      <c r="K514" s="28"/>
      <c r="L514" s="28"/>
      <c r="M514" s="28"/>
      <c r="N514" s="28"/>
      <c r="O514" s="28"/>
      <c r="P514" s="28"/>
      <c r="Q514" s="28"/>
      <c r="R514" s="28"/>
      <c r="S514" s="28"/>
      <c r="T514" s="28"/>
      <c r="U514" s="28"/>
      <c r="V514" s="28"/>
      <c r="W514" s="28"/>
      <c r="X514" s="28"/>
      <c r="Y514" s="28"/>
      <c r="Z514" s="28"/>
    </row>
    <row r="515" spans="1:26" ht="15.75" customHeight="1" x14ac:dyDescent="0.25">
      <c r="A515" s="9" t="s">
        <v>64</v>
      </c>
      <c r="B515" s="301"/>
      <c r="C515" s="11">
        <v>42</v>
      </c>
      <c r="D515" s="47">
        <f t="shared" si="31"/>
        <v>19.5</v>
      </c>
      <c r="E515" s="54">
        <v>39</v>
      </c>
      <c r="F515" s="28"/>
      <c r="G515" s="28"/>
      <c r="H515" s="3"/>
      <c r="I515" s="28"/>
      <c r="J515" s="28"/>
      <c r="K515" s="28"/>
      <c r="L515" s="28"/>
      <c r="M515" s="28"/>
      <c r="N515" s="28"/>
      <c r="O515" s="28"/>
      <c r="P515" s="28"/>
      <c r="Q515" s="28"/>
      <c r="R515" s="28"/>
      <c r="S515" s="28"/>
      <c r="T515" s="28"/>
      <c r="U515" s="28"/>
      <c r="V515" s="28"/>
      <c r="W515" s="28"/>
      <c r="X515" s="28"/>
      <c r="Y515" s="28"/>
      <c r="Z515" s="28"/>
    </row>
    <row r="516" spans="1:26" ht="15.75" customHeight="1" x14ac:dyDescent="0.25">
      <c r="A516" s="41"/>
      <c r="B516" s="125"/>
      <c r="C516" s="42"/>
      <c r="D516" s="47">
        <f t="shared" si="31"/>
        <v>0</v>
      </c>
      <c r="E516" s="25"/>
      <c r="F516" s="28"/>
      <c r="G516" s="28"/>
      <c r="H516" s="3"/>
      <c r="I516" s="28"/>
      <c r="J516" s="28"/>
      <c r="K516" s="28"/>
      <c r="L516" s="28"/>
      <c r="M516" s="28"/>
      <c r="N516" s="28"/>
      <c r="O516" s="28"/>
      <c r="P516" s="28"/>
      <c r="Q516" s="28"/>
      <c r="R516" s="28"/>
      <c r="S516" s="28"/>
      <c r="T516" s="28"/>
      <c r="U516" s="28"/>
      <c r="V516" s="28"/>
      <c r="W516" s="28"/>
      <c r="X516" s="28"/>
      <c r="Y516" s="28"/>
      <c r="Z516" s="28"/>
    </row>
    <row r="517" spans="1:26" ht="15.75" customHeight="1" x14ac:dyDescent="0.25">
      <c r="A517" s="129" t="s">
        <v>66</v>
      </c>
      <c r="B517" s="302" t="s">
        <v>68</v>
      </c>
      <c r="C517" s="50">
        <v>204.5</v>
      </c>
      <c r="D517" s="47">
        <f t="shared" si="31"/>
        <v>106</v>
      </c>
      <c r="E517" s="47">
        <v>212</v>
      </c>
      <c r="F517" s="28"/>
      <c r="G517" s="28"/>
      <c r="H517" s="3"/>
      <c r="I517" s="28"/>
      <c r="J517" s="28"/>
      <c r="K517" s="28"/>
      <c r="L517" s="28"/>
      <c r="M517" s="28"/>
      <c r="N517" s="28"/>
      <c r="O517" s="28"/>
      <c r="P517" s="28"/>
      <c r="Q517" s="28"/>
      <c r="R517" s="28"/>
      <c r="S517" s="28"/>
      <c r="T517" s="28"/>
      <c r="U517" s="28"/>
      <c r="V517" s="28"/>
      <c r="W517" s="28"/>
      <c r="X517" s="28"/>
      <c r="Y517" s="28"/>
      <c r="Z517" s="28"/>
    </row>
    <row r="518" spans="1:26" ht="15.75" customHeight="1" x14ac:dyDescent="0.25">
      <c r="A518" s="12" t="s">
        <v>69</v>
      </c>
      <c r="B518" s="301"/>
      <c r="C518" s="71">
        <v>277.7</v>
      </c>
      <c r="D518" s="47">
        <f t="shared" si="31"/>
        <v>144</v>
      </c>
      <c r="E518" s="47">
        <v>288</v>
      </c>
      <c r="F518" s="28"/>
      <c r="G518" s="28"/>
      <c r="H518" s="3"/>
      <c r="I518" s="28"/>
      <c r="J518" s="28"/>
      <c r="K518" s="28"/>
      <c r="L518" s="28"/>
      <c r="M518" s="28"/>
      <c r="N518" s="28"/>
      <c r="O518" s="28"/>
      <c r="P518" s="28"/>
      <c r="Q518" s="28"/>
      <c r="R518" s="28"/>
      <c r="S518" s="28"/>
      <c r="T518" s="28"/>
      <c r="U518" s="28"/>
      <c r="V518" s="28"/>
      <c r="W518" s="28"/>
      <c r="X518" s="28"/>
      <c r="Y518" s="28"/>
      <c r="Z518" s="28"/>
    </row>
    <row r="519" spans="1:26" ht="15.75" customHeight="1" x14ac:dyDescent="0.25">
      <c r="A519" s="132"/>
      <c r="B519" s="133"/>
      <c r="C519" s="133"/>
      <c r="D519" s="133"/>
      <c r="E519" s="133"/>
      <c r="F519" s="28"/>
      <c r="G519" s="28"/>
      <c r="H519" s="3"/>
      <c r="I519" s="28"/>
      <c r="J519" s="28"/>
      <c r="K519" s="28"/>
      <c r="L519" s="28"/>
      <c r="M519" s="28"/>
      <c r="N519" s="28"/>
      <c r="O519" s="28"/>
      <c r="P519" s="28"/>
      <c r="Q519" s="28"/>
      <c r="R519" s="28"/>
      <c r="S519" s="28"/>
      <c r="T519" s="28"/>
      <c r="U519" s="28"/>
      <c r="V519" s="28"/>
      <c r="W519" s="28"/>
      <c r="X519" s="28"/>
      <c r="Y519" s="28"/>
      <c r="Z519" s="28"/>
    </row>
    <row r="520" spans="1:26" ht="15.75" customHeight="1" x14ac:dyDescent="0.25">
      <c r="A520" s="56" t="s">
        <v>69</v>
      </c>
      <c r="B520" s="303" t="s">
        <v>71</v>
      </c>
      <c r="C520" s="47">
        <v>12</v>
      </c>
      <c r="D520" s="47">
        <f t="shared" ref="D520:D522" si="32">E520-E520*0.5</f>
        <v>6.5</v>
      </c>
      <c r="E520" s="47">
        <v>13</v>
      </c>
      <c r="F520" s="28"/>
      <c r="G520" s="28"/>
      <c r="H520" s="3"/>
      <c r="I520" s="28"/>
      <c r="J520" s="28"/>
      <c r="K520" s="28"/>
      <c r="L520" s="28"/>
      <c r="M520" s="28"/>
      <c r="N520" s="28"/>
      <c r="O520" s="28"/>
      <c r="P520" s="28"/>
      <c r="Q520" s="28"/>
      <c r="R520" s="28"/>
      <c r="S520" s="28"/>
      <c r="T520" s="28"/>
      <c r="U520" s="28"/>
      <c r="V520" s="28"/>
      <c r="W520" s="28"/>
      <c r="X520" s="28"/>
      <c r="Y520" s="28"/>
      <c r="Z520" s="28"/>
    </row>
    <row r="521" spans="1:26" ht="15.75" customHeight="1" x14ac:dyDescent="0.25">
      <c r="A521" s="56" t="s">
        <v>72</v>
      </c>
      <c r="B521" s="300"/>
      <c r="C521" s="47">
        <v>14</v>
      </c>
      <c r="D521" s="47">
        <f t="shared" si="32"/>
        <v>7.5</v>
      </c>
      <c r="E521" s="47">
        <v>15</v>
      </c>
      <c r="F521" s="28"/>
      <c r="G521" s="28"/>
      <c r="H521" s="3"/>
      <c r="I521" s="28"/>
      <c r="J521" s="28"/>
      <c r="K521" s="28"/>
      <c r="L521" s="28"/>
      <c r="M521" s="28"/>
      <c r="N521" s="28"/>
      <c r="O521" s="28"/>
      <c r="P521" s="28"/>
      <c r="Q521" s="28"/>
      <c r="R521" s="28"/>
      <c r="S521" s="28"/>
      <c r="T521" s="28"/>
      <c r="U521" s="28"/>
      <c r="V521" s="28"/>
      <c r="W521" s="28"/>
      <c r="X521" s="28"/>
      <c r="Y521" s="28"/>
      <c r="Z521" s="28"/>
    </row>
    <row r="522" spans="1:26" ht="15.75" customHeight="1" x14ac:dyDescent="0.25">
      <c r="A522" s="56" t="s">
        <v>73</v>
      </c>
      <c r="B522" s="301"/>
      <c r="C522" s="47">
        <v>17.43333333333333</v>
      </c>
      <c r="D522" s="47">
        <f t="shared" si="32"/>
        <v>9.5</v>
      </c>
      <c r="E522" s="47">
        <v>19</v>
      </c>
      <c r="F522" s="28"/>
      <c r="G522" s="28"/>
      <c r="H522" s="3"/>
      <c r="I522" s="28"/>
      <c r="J522" s="28"/>
      <c r="K522" s="28"/>
      <c r="L522" s="28"/>
      <c r="M522" s="28"/>
      <c r="N522" s="28"/>
      <c r="O522" s="28"/>
      <c r="P522" s="28"/>
      <c r="Q522" s="28"/>
      <c r="R522" s="28"/>
      <c r="S522" s="28"/>
      <c r="T522" s="28"/>
      <c r="U522" s="28"/>
      <c r="V522" s="28"/>
      <c r="W522" s="28"/>
      <c r="X522" s="28"/>
      <c r="Y522" s="28"/>
      <c r="Z522" s="28"/>
    </row>
    <row r="523" spans="1:26" ht="15.75" customHeight="1" x14ac:dyDescent="0.25">
      <c r="A523" s="92"/>
      <c r="B523" s="69"/>
      <c r="C523" s="69"/>
      <c r="D523" s="47"/>
      <c r="E523" s="25"/>
      <c r="F523" s="28"/>
      <c r="G523" s="28"/>
      <c r="H523" s="3"/>
      <c r="I523" s="28"/>
      <c r="J523" s="28"/>
      <c r="K523" s="28"/>
      <c r="L523" s="28"/>
      <c r="M523" s="28"/>
      <c r="N523" s="28"/>
      <c r="O523" s="28"/>
      <c r="P523" s="28"/>
      <c r="Q523" s="28"/>
      <c r="R523" s="28"/>
      <c r="S523" s="28"/>
      <c r="T523" s="28"/>
      <c r="U523" s="28"/>
      <c r="V523" s="28"/>
      <c r="W523" s="28"/>
      <c r="X523" s="28"/>
      <c r="Y523" s="28"/>
      <c r="Z523" s="28"/>
    </row>
    <row r="524" spans="1:26" ht="15.75" customHeight="1" x14ac:dyDescent="0.25">
      <c r="A524" s="56" t="s">
        <v>80</v>
      </c>
      <c r="B524" s="309" t="s">
        <v>77</v>
      </c>
      <c r="C524" s="47">
        <v>117</v>
      </c>
      <c r="D524" s="47">
        <f t="shared" ref="D524:D527" si="33">E524-E524*0.5</f>
        <v>69</v>
      </c>
      <c r="E524" s="47">
        <v>138</v>
      </c>
      <c r="F524" s="28"/>
      <c r="G524" s="28"/>
      <c r="H524" s="3"/>
      <c r="I524" s="28"/>
      <c r="J524" s="28"/>
      <c r="K524" s="28"/>
      <c r="L524" s="28"/>
      <c r="M524" s="28"/>
      <c r="N524" s="28"/>
      <c r="O524" s="28"/>
      <c r="P524" s="28"/>
      <c r="Q524" s="28"/>
      <c r="R524" s="28"/>
      <c r="S524" s="28"/>
      <c r="T524" s="28"/>
      <c r="U524" s="28"/>
      <c r="V524" s="28"/>
      <c r="W524" s="28"/>
      <c r="X524" s="28"/>
      <c r="Y524" s="28"/>
      <c r="Z524" s="28"/>
    </row>
    <row r="525" spans="1:26" ht="15.75" customHeight="1" x14ac:dyDescent="0.25">
      <c r="A525" s="56" t="s">
        <v>78</v>
      </c>
      <c r="B525" s="300"/>
      <c r="C525" s="47">
        <v>188</v>
      </c>
      <c r="D525" s="47">
        <f t="shared" si="33"/>
        <v>105</v>
      </c>
      <c r="E525" s="47">
        <v>210</v>
      </c>
      <c r="F525" s="28"/>
      <c r="G525" s="28"/>
      <c r="H525" s="3"/>
      <c r="I525" s="28"/>
      <c r="J525" s="28"/>
      <c r="K525" s="28"/>
      <c r="L525" s="28"/>
      <c r="M525" s="28"/>
      <c r="N525" s="28"/>
      <c r="O525" s="28"/>
      <c r="P525" s="28"/>
      <c r="Q525" s="28"/>
      <c r="R525" s="28"/>
      <c r="S525" s="28"/>
      <c r="T525" s="28"/>
      <c r="U525" s="28"/>
      <c r="V525" s="28"/>
      <c r="W525" s="28"/>
      <c r="X525" s="28"/>
      <c r="Y525" s="28"/>
      <c r="Z525" s="28"/>
    </row>
    <row r="526" spans="1:26" ht="15.75" customHeight="1" x14ac:dyDescent="0.25">
      <c r="A526" s="56" t="s">
        <v>76</v>
      </c>
      <c r="B526" s="300"/>
      <c r="C526" s="50">
        <v>218</v>
      </c>
      <c r="D526" s="47">
        <f t="shared" si="33"/>
        <v>110</v>
      </c>
      <c r="E526" s="47">
        <v>220</v>
      </c>
      <c r="F526" s="28"/>
      <c r="G526" s="28"/>
      <c r="H526" s="3"/>
      <c r="I526" s="28"/>
      <c r="J526" s="28"/>
      <c r="K526" s="28"/>
      <c r="L526" s="28"/>
      <c r="M526" s="28"/>
      <c r="N526" s="28"/>
      <c r="O526" s="28"/>
      <c r="P526" s="28"/>
      <c r="Q526" s="28"/>
      <c r="R526" s="28"/>
      <c r="S526" s="28"/>
      <c r="T526" s="28"/>
      <c r="U526" s="28"/>
      <c r="V526" s="28"/>
      <c r="W526" s="28"/>
      <c r="X526" s="28"/>
      <c r="Y526" s="28"/>
      <c r="Z526" s="28"/>
    </row>
    <row r="527" spans="1:26" ht="15.75" customHeight="1" x14ac:dyDescent="0.25">
      <c r="A527" s="57" t="s">
        <v>79</v>
      </c>
      <c r="B527" s="300"/>
      <c r="C527" s="134">
        <v>239</v>
      </c>
      <c r="D527" s="47">
        <f t="shared" si="33"/>
        <v>120.5</v>
      </c>
      <c r="E527" s="47">
        <v>241</v>
      </c>
      <c r="F527" s="28"/>
      <c r="G527" s="28"/>
      <c r="H527" s="3"/>
      <c r="I527" s="28"/>
      <c r="J527" s="28"/>
      <c r="K527" s="28"/>
      <c r="L527" s="28"/>
      <c r="M527" s="28"/>
      <c r="N527" s="28"/>
      <c r="O527" s="28"/>
      <c r="P527" s="28"/>
      <c r="Q527" s="28"/>
      <c r="R527" s="28"/>
      <c r="S527" s="28"/>
      <c r="T527" s="28"/>
      <c r="U527" s="28"/>
      <c r="V527" s="28"/>
      <c r="W527" s="28"/>
      <c r="X527" s="28"/>
      <c r="Y527" s="28"/>
      <c r="Z527" s="28"/>
    </row>
    <row r="528" spans="1:26" ht="15.75" customHeight="1" x14ac:dyDescent="0.25">
      <c r="A528" s="132"/>
      <c r="B528" s="133"/>
      <c r="C528" s="133"/>
      <c r="D528" s="133"/>
      <c r="E528" s="133"/>
      <c r="F528" s="28"/>
      <c r="G528" s="28"/>
      <c r="H528" s="3"/>
      <c r="I528" s="28"/>
      <c r="J528" s="28"/>
      <c r="K528" s="28"/>
      <c r="L528" s="28"/>
      <c r="M528" s="28"/>
      <c r="N528" s="28"/>
      <c r="O528" s="28"/>
      <c r="P528" s="28"/>
      <c r="Q528" s="28"/>
      <c r="R528" s="28"/>
      <c r="S528" s="28"/>
      <c r="T528" s="28"/>
      <c r="U528" s="28"/>
      <c r="V528" s="28"/>
      <c r="W528" s="28"/>
      <c r="X528" s="28"/>
      <c r="Y528" s="28"/>
      <c r="Z528" s="28"/>
    </row>
    <row r="529" spans="1:26" ht="15.75" customHeight="1" x14ac:dyDescent="0.25">
      <c r="A529" s="9" t="s">
        <v>81</v>
      </c>
      <c r="B529" s="299" t="s">
        <v>82</v>
      </c>
      <c r="C529" s="11">
        <v>2</v>
      </c>
      <c r="D529" s="47">
        <f t="shared" ref="D529:D531" si="34">E529-E529*0.5</f>
        <v>0.5</v>
      </c>
      <c r="E529" s="47">
        <v>1</v>
      </c>
      <c r="F529" s="28"/>
      <c r="G529" s="28"/>
      <c r="H529" s="3"/>
      <c r="I529" s="28"/>
      <c r="J529" s="28"/>
      <c r="K529" s="28"/>
      <c r="L529" s="28"/>
      <c r="M529" s="28"/>
      <c r="N529" s="28"/>
      <c r="O529" s="28"/>
      <c r="P529" s="28"/>
      <c r="Q529" s="28"/>
      <c r="R529" s="28"/>
      <c r="S529" s="28"/>
      <c r="T529" s="28"/>
      <c r="U529" s="28"/>
      <c r="V529" s="28"/>
      <c r="W529" s="28"/>
      <c r="X529" s="28"/>
      <c r="Y529" s="28"/>
      <c r="Z529" s="28"/>
    </row>
    <row r="530" spans="1:26" ht="15.75" customHeight="1" x14ac:dyDescent="0.25">
      <c r="A530" s="9" t="s">
        <v>83</v>
      </c>
      <c r="B530" s="300"/>
      <c r="C530" s="11">
        <v>7.133</v>
      </c>
      <c r="D530" s="47">
        <f t="shared" si="34"/>
        <v>9.5</v>
      </c>
      <c r="E530" s="47">
        <v>19</v>
      </c>
      <c r="F530" s="28"/>
      <c r="G530" s="28"/>
      <c r="H530" s="3"/>
      <c r="I530" s="28"/>
      <c r="J530" s="28"/>
      <c r="K530" s="28"/>
      <c r="L530" s="28"/>
      <c r="M530" s="28"/>
      <c r="N530" s="28"/>
      <c r="O530" s="28"/>
      <c r="P530" s="28"/>
      <c r="Q530" s="28"/>
      <c r="R530" s="28"/>
      <c r="S530" s="28"/>
      <c r="T530" s="28"/>
      <c r="U530" s="28"/>
      <c r="V530" s="28"/>
      <c r="W530" s="28"/>
      <c r="X530" s="28"/>
      <c r="Y530" s="28"/>
      <c r="Z530" s="28"/>
    </row>
    <row r="531" spans="1:26" ht="15.75" customHeight="1" x14ac:dyDescent="0.25">
      <c r="A531" s="9" t="s">
        <v>155</v>
      </c>
      <c r="B531" s="301"/>
      <c r="C531" s="11">
        <v>10.72</v>
      </c>
      <c r="D531" s="47">
        <f t="shared" si="34"/>
        <v>8</v>
      </c>
      <c r="E531" s="47">
        <v>16</v>
      </c>
      <c r="F531" s="28"/>
      <c r="G531" s="28"/>
      <c r="H531" s="3"/>
      <c r="I531" s="28"/>
      <c r="J531" s="28"/>
      <c r="K531" s="28"/>
      <c r="L531" s="28"/>
      <c r="M531" s="28"/>
      <c r="N531" s="28"/>
      <c r="O531" s="28"/>
      <c r="P531" s="28"/>
      <c r="Q531" s="28"/>
      <c r="R531" s="28"/>
      <c r="S531" s="28"/>
      <c r="T531" s="28"/>
      <c r="U531" s="28"/>
      <c r="V531" s="28"/>
      <c r="W531" s="28"/>
      <c r="X531" s="28"/>
      <c r="Y531" s="28"/>
      <c r="Z531" s="28"/>
    </row>
    <row r="532" spans="1:26" ht="15.75" customHeight="1" x14ac:dyDescent="0.25">
      <c r="A532" s="41"/>
      <c r="B532" s="125"/>
      <c r="C532" s="42"/>
      <c r="D532" s="47"/>
      <c r="E532" s="25"/>
      <c r="F532" s="28"/>
      <c r="G532" s="28"/>
      <c r="H532" s="3"/>
      <c r="I532" s="28"/>
      <c r="J532" s="28"/>
      <c r="K532" s="28"/>
      <c r="L532" s="28"/>
      <c r="M532" s="28"/>
      <c r="N532" s="28"/>
      <c r="O532" s="28"/>
      <c r="P532" s="28"/>
      <c r="Q532" s="28"/>
      <c r="R532" s="28"/>
      <c r="S532" s="28"/>
      <c r="T532" s="28"/>
      <c r="U532" s="28"/>
      <c r="V532" s="28"/>
      <c r="W532" s="28"/>
      <c r="X532" s="28"/>
      <c r="Y532" s="28"/>
      <c r="Z532" s="28"/>
    </row>
    <row r="533" spans="1:26" ht="15.75" customHeight="1" x14ac:dyDescent="0.25">
      <c r="A533" s="129" t="s">
        <v>86</v>
      </c>
      <c r="B533" s="302" t="s">
        <v>87</v>
      </c>
      <c r="C533" s="51">
        <v>19</v>
      </c>
      <c r="D533" s="47">
        <f t="shared" ref="D533:D534" si="35">E533-E533*0.5</f>
        <v>10</v>
      </c>
      <c r="E533" s="47">
        <v>20</v>
      </c>
      <c r="F533" s="28"/>
      <c r="G533" s="28"/>
      <c r="H533" s="3"/>
      <c r="I533" s="28"/>
      <c r="J533" s="28"/>
      <c r="K533" s="28"/>
      <c r="L533" s="28"/>
      <c r="M533" s="28"/>
      <c r="N533" s="28"/>
      <c r="O533" s="28"/>
      <c r="P533" s="28"/>
      <c r="Q533" s="28"/>
      <c r="R533" s="28"/>
      <c r="S533" s="28"/>
      <c r="T533" s="28"/>
      <c r="U533" s="28"/>
      <c r="V533" s="28"/>
      <c r="W533" s="28"/>
      <c r="X533" s="28"/>
      <c r="Y533" s="28"/>
      <c r="Z533" s="28"/>
    </row>
    <row r="534" spans="1:26" ht="15.75" customHeight="1" x14ac:dyDescent="0.25">
      <c r="A534" s="12" t="s">
        <v>88</v>
      </c>
      <c r="B534" s="301"/>
      <c r="C534" s="25">
        <v>20</v>
      </c>
      <c r="D534" s="47">
        <f t="shared" si="35"/>
        <v>12.5</v>
      </c>
      <c r="E534" s="47">
        <v>25</v>
      </c>
      <c r="F534" s="28"/>
      <c r="G534" s="28"/>
      <c r="H534" s="3"/>
      <c r="I534" s="28"/>
      <c r="J534" s="28"/>
      <c r="K534" s="28"/>
      <c r="L534" s="28"/>
      <c r="M534" s="28"/>
      <c r="N534" s="28"/>
      <c r="O534" s="28"/>
      <c r="P534" s="28"/>
      <c r="Q534" s="28"/>
      <c r="R534" s="28"/>
      <c r="S534" s="28"/>
      <c r="T534" s="28"/>
      <c r="U534" s="28"/>
      <c r="V534" s="28"/>
      <c r="W534" s="28"/>
      <c r="X534" s="28"/>
      <c r="Y534" s="28"/>
      <c r="Z534" s="28"/>
    </row>
    <row r="535" spans="1:26" ht="15.75" customHeight="1" x14ac:dyDescent="0.25">
      <c r="A535" s="132"/>
      <c r="B535" s="133"/>
      <c r="C535" s="133"/>
      <c r="D535" s="133"/>
      <c r="E535" s="133"/>
      <c r="F535" s="28"/>
      <c r="G535" s="28"/>
      <c r="H535" s="3"/>
      <c r="I535" s="28"/>
      <c r="J535" s="28"/>
      <c r="K535" s="28"/>
      <c r="L535" s="28"/>
      <c r="M535" s="28"/>
      <c r="N535" s="28"/>
      <c r="O535" s="28"/>
      <c r="P535" s="28"/>
      <c r="Q535" s="28"/>
      <c r="R535" s="28"/>
      <c r="S535" s="28"/>
      <c r="T535" s="28"/>
      <c r="U535" s="28"/>
      <c r="V535" s="28"/>
      <c r="W535" s="28"/>
      <c r="X535" s="28"/>
      <c r="Y535" s="28"/>
      <c r="Z535" s="28"/>
    </row>
    <row r="536" spans="1:26" ht="15.75" customHeight="1" x14ac:dyDescent="0.25">
      <c r="A536" s="8" t="s">
        <v>89</v>
      </c>
      <c r="B536" s="302" t="s">
        <v>90</v>
      </c>
      <c r="C536" s="25">
        <v>6</v>
      </c>
      <c r="D536" s="47">
        <f t="shared" ref="D536:D537" si="36">E536-E536*0.5</f>
        <v>11.5</v>
      </c>
      <c r="E536" s="47">
        <v>23</v>
      </c>
      <c r="F536" s="28"/>
      <c r="G536" s="28"/>
      <c r="H536" s="3"/>
      <c r="I536" s="28"/>
      <c r="J536" s="28"/>
      <c r="K536" s="28"/>
      <c r="L536" s="28"/>
      <c r="M536" s="28"/>
      <c r="N536" s="28"/>
      <c r="O536" s="28"/>
      <c r="P536" s="28"/>
      <c r="Q536" s="28"/>
      <c r="R536" s="28"/>
      <c r="S536" s="28"/>
      <c r="T536" s="28"/>
      <c r="U536" s="28"/>
      <c r="V536" s="28"/>
      <c r="W536" s="28"/>
      <c r="X536" s="28"/>
      <c r="Y536" s="28"/>
      <c r="Z536" s="28"/>
    </row>
    <row r="537" spans="1:26" ht="15.75" customHeight="1" x14ac:dyDescent="0.25">
      <c r="A537" s="126" t="s">
        <v>91</v>
      </c>
      <c r="B537" s="301"/>
      <c r="C537" s="11">
        <v>16</v>
      </c>
      <c r="D537" s="47">
        <f t="shared" si="36"/>
        <v>61</v>
      </c>
      <c r="E537" s="47">
        <v>122</v>
      </c>
      <c r="F537" s="28"/>
      <c r="G537" s="28"/>
      <c r="H537" s="3"/>
      <c r="I537" s="28"/>
      <c r="J537" s="28"/>
      <c r="K537" s="28"/>
      <c r="L537" s="28"/>
      <c r="M537" s="28"/>
      <c r="N537" s="28"/>
      <c r="O537" s="28"/>
      <c r="P537" s="28"/>
      <c r="Q537" s="28"/>
      <c r="R537" s="28"/>
      <c r="S537" s="28"/>
      <c r="T537" s="28"/>
      <c r="U537" s="28"/>
      <c r="V537" s="28"/>
      <c r="W537" s="28"/>
      <c r="X537" s="28"/>
      <c r="Y537" s="28"/>
      <c r="Z537" s="28"/>
    </row>
    <row r="538" spans="1:26" ht="15.75" customHeight="1" x14ac:dyDescent="0.25">
      <c r="A538" s="135"/>
      <c r="B538" s="136"/>
      <c r="C538" s="136"/>
      <c r="D538" s="47"/>
      <c r="E538" s="25"/>
      <c r="F538" s="28"/>
      <c r="G538" s="28"/>
      <c r="H538" s="3"/>
      <c r="I538" s="28"/>
      <c r="J538" s="28"/>
      <c r="K538" s="28"/>
      <c r="L538" s="28"/>
      <c r="M538" s="28"/>
      <c r="N538" s="28"/>
      <c r="O538" s="28"/>
      <c r="P538" s="28"/>
      <c r="Q538" s="28"/>
      <c r="R538" s="28"/>
      <c r="S538" s="28"/>
      <c r="T538" s="28"/>
      <c r="U538" s="28"/>
      <c r="V538" s="28"/>
      <c r="W538" s="28"/>
      <c r="X538" s="28"/>
      <c r="Y538" s="28"/>
      <c r="Z538" s="28"/>
    </row>
    <row r="539" spans="1:26" ht="15.75" customHeight="1" x14ac:dyDescent="0.25">
      <c r="A539" s="9" t="s">
        <v>94</v>
      </c>
      <c r="B539" s="299" t="s">
        <v>95</v>
      </c>
      <c r="C539" s="47">
        <v>49.666666666666664</v>
      </c>
      <c r="D539" s="47">
        <f t="shared" ref="D539:D543" si="37">E539-E539*0.5</f>
        <v>43</v>
      </c>
      <c r="E539" s="47">
        <v>86</v>
      </c>
      <c r="F539" s="28"/>
      <c r="G539" s="28"/>
      <c r="H539" s="3"/>
      <c r="I539" s="28"/>
      <c r="J539" s="28"/>
      <c r="K539" s="28"/>
      <c r="L539" s="28"/>
      <c r="M539" s="28"/>
      <c r="N539" s="28"/>
      <c r="O539" s="28"/>
      <c r="P539" s="28"/>
      <c r="Q539" s="28"/>
      <c r="R539" s="28"/>
      <c r="S539" s="28"/>
      <c r="T539" s="28"/>
      <c r="U539" s="28"/>
      <c r="V539" s="28"/>
      <c r="W539" s="28"/>
      <c r="X539" s="28"/>
      <c r="Y539" s="28"/>
      <c r="Z539" s="28"/>
    </row>
    <row r="540" spans="1:26" ht="15.75" customHeight="1" x14ac:dyDescent="0.25">
      <c r="A540" s="9" t="s">
        <v>96</v>
      </c>
      <c r="B540" s="300"/>
      <c r="C540" s="47">
        <v>122</v>
      </c>
      <c r="D540" s="47">
        <f t="shared" si="37"/>
        <v>71.5</v>
      </c>
      <c r="E540" s="47">
        <v>143</v>
      </c>
      <c r="F540" s="28"/>
      <c r="G540" s="28"/>
      <c r="H540" s="3"/>
      <c r="I540" s="28"/>
      <c r="J540" s="28"/>
      <c r="K540" s="28"/>
      <c r="L540" s="28"/>
      <c r="M540" s="28"/>
      <c r="N540" s="28"/>
      <c r="O540" s="28"/>
      <c r="P540" s="28"/>
      <c r="Q540" s="28"/>
      <c r="R540" s="28"/>
      <c r="S540" s="28"/>
      <c r="T540" s="28"/>
      <c r="U540" s="28"/>
      <c r="V540" s="28"/>
      <c r="W540" s="28"/>
      <c r="X540" s="28"/>
      <c r="Y540" s="28"/>
      <c r="Z540" s="28"/>
    </row>
    <row r="541" spans="1:26" ht="15.75" customHeight="1" x14ac:dyDescent="0.25">
      <c r="A541" s="9" t="s">
        <v>97</v>
      </c>
      <c r="B541" s="300"/>
      <c r="C541" s="47">
        <v>130</v>
      </c>
      <c r="D541" s="47">
        <f t="shared" si="37"/>
        <v>69</v>
      </c>
      <c r="E541" s="47">
        <v>138</v>
      </c>
      <c r="F541" s="28"/>
      <c r="G541" s="28"/>
      <c r="H541" s="3"/>
      <c r="I541" s="28"/>
      <c r="J541" s="28"/>
      <c r="K541" s="28"/>
      <c r="L541" s="28"/>
      <c r="M541" s="28"/>
      <c r="N541" s="28"/>
      <c r="O541" s="28"/>
      <c r="P541" s="28"/>
      <c r="Q541" s="28"/>
      <c r="R541" s="28"/>
      <c r="S541" s="28"/>
      <c r="T541" s="28"/>
      <c r="U541" s="28"/>
      <c r="V541" s="28"/>
      <c r="W541" s="28"/>
      <c r="X541" s="28"/>
      <c r="Y541" s="28"/>
      <c r="Z541" s="28"/>
    </row>
    <row r="542" spans="1:26" ht="15.75" customHeight="1" x14ac:dyDescent="0.25">
      <c r="A542" s="9" t="s">
        <v>98</v>
      </c>
      <c r="B542" s="300"/>
      <c r="C542" s="47">
        <v>142</v>
      </c>
      <c r="D542" s="47">
        <f t="shared" si="37"/>
        <v>76.5</v>
      </c>
      <c r="E542" s="47">
        <v>153</v>
      </c>
      <c r="F542" s="28"/>
      <c r="G542" s="28"/>
      <c r="H542" s="3"/>
      <c r="I542" s="28"/>
      <c r="J542" s="28"/>
      <c r="K542" s="28"/>
      <c r="L542" s="28"/>
      <c r="M542" s="28"/>
      <c r="N542" s="28"/>
      <c r="O542" s="28"/>
      <c r="P542" s="28"/>
      <c r="Q542" s="28"/>
      <c r="R542" s="28"/>
      <c r="S542" s="28"/>
      <c r="T542" s="28"/>
      <c r="U542" s="28"/>
      <c r="V542" s="28"/>
      <c r="W542" s="28"/>
      <c r="X542" s="28"/>
      <c r="Y542" s="28"/>
      <c r="Z542" s="28"/>
    </row>
    <row r="543" spans="1:26" ht="15.75" customHeight="1" x14ac:dyDescent="0.25">
      <c r="A543" s="9" t="s">
        <v>99</v>
      </c>
      <c r="B543" s="301"/>
      <c r="C543" s="47">
        <v>146</v>
      </c>
      <c r="D543" s="47">
        <f t="shared" si="37"/>
        <v>83.5</v>
      </c>
      <c r="E543" s="47">
        <v>167</v>
      </c>
      <c r="F543" s="28"/>
      <c r="G543" s="28"/>
      <c r="H543" s="3"/>
      <c r="I543" s="28"/>
      <c r="J543" s="28"/>
      <c r="K543" s="28"/>
      <c r="L543" s="28"/>
      <c r="M543" s="28"/>
      <c r="N543" s="28"/>
      <c r="O543" s="28"/>
      <c r="P543" s="28"/>
      <c r="Q543" s="28"/>
      <c r="R543" s="28"/>
      <c r="S543" s="28"/>
      <c r="T543" s="28"/>
      <c r="U543" s="28"/>
      <c r="V543" s="28"/>
      <c r="W543" s="28"/>
      <c r="X543" s="28"/>
      <c r="Y543" s="28"/>
      <c r="Z543" s="28"/>
    </row>
    <row r="544" spans="1:26" ht="15.75" customHeight="1" x14ac:dyDescent="0.25">
      <c r="G544" s="123"/>
    </row>
    <row r="545" spans="1:26" ht="15.75" customHeight="1" x14ac:dyDescent="0.25">
      <c r="G545" s="123"/>
    </row>
    <row r="546" spans="1:26" ht="15.75" customHeight="1" x14ac:dyDescent="0.25">
      <c r="G546" s="123"/>
    </row>
    <row r="547" spans="1:26" ht="15.75" customHeight="1" x14ac:dyDescent="0.25">
      <c r="A547" s="29"/>
      <c r="B547" s="29"/>
      <c r="C547" s="29"/>
      <c r="D547" s="29"/>
      <c r="E547" s="29"/>
      <c r="F547" s="29"/>
      <c r="G547" s="122"/>
      <c r="H547" s="29"/>
      <c r="I547" s="29"/>
      <c r="J547" s="29"/>
      <c r="K547" s="29"/>
      <c r="L547" s="29"/>
      <c r="M547" s="29"/>
      <c r="N547" s="29"/>
      <c r="O547" s="29"/>
      <c r="P547" s="29"/>
      <c r="Q547" s="29"/>
      <c r="R547" s="29"/>
      <c r="S547" s="29"/>
      <c r="T547" s="29"/>
      <c r="U547" s="29"/>
      <c r="V547" s="29"/>
      <c r="W547" s="29"/>
      <c r="X547" s="29"/>
      <c r="Y547" s="29"/>
      <c r="Z547" s="29"/>
    </row>
    <row r="548" spans="1:26" ht="15.75" customHeight="1" x14ac:dyDescent="0.25">
      <c r="A548" s="28"/>
      <c r="B548" s="28"/>
      <c r="C548" s="28"/>
      <c r="D548" s="28"/>
      <c r="E548" s="28"/>
      <c r="F548" s="28"/>
      <c r="G548" s="123"/>
      <c r="H548" s="28"/>
      <c r="I548" s="28"/>
      <c r="J548" s="28"/>
      <c r="K548" s="28"/>
      <c r="L548" s="28"/>
      <c r="M548" s="28"/>
      <c r="N548" s="28"/>
      <c r="O548" s="28"/>
      <c r="P548" s="28"/>
      <c r="Q548" s="28"/>
      <c r="R548" s="28"/>
      <c r="S548" s="28"/>
      <c r="T548" s="28"/>
      <c r="U548" s="28"/>
      <c r="V548" s="28"/>
      <c r="W548" s="28"/>
      <c r="X548" s="28"/>
      <c r="Y548" s="28"/>
      <c r="Z548" s="28"/>
    </row>
    <row r="549" spans="1:26" ht="15.75" customHeight="1" x14ac:dyDescent="0.25">
      <c r="A549" s="28"/>
      <c r="B549" s="28"/>
      <c r="C549" s="28"/>
      <c r="D549" s="28"/>
      <c r="E549" s="28"/>
      <c r="F549" s="28"/>
      <c r="G549" s="123"/>
      <c r="H549" s="28"/>
      <c r="I549" s="28"/>
      <c r="J549" s="28"/>
      <c r="K549" s="28"/>
      <c r="L549" s="28"/>
      <c r="M549" s="28"/>
      <c r="N549" s="28"/>
      <c r="O549" s="28"/>
      <c r="P549" s="28"/>
      <c r="Q549" s="28"/>
      <c r="R549" s="28"/>
      <c r="S549" s="28"/>
      <c r="T549" s="28"/>
      <c r="U549" s="28"/>
      <c r="V549" s="28"/>
      <c r="W549" s="28"/>
      <c r="X549" s="28"/>
      <c r="Y549" s="28"/>
      <c r="Z549" s="28"/>
    </row>
    <row r="550" spans="1:26" ht="15.75" customHeight="1" x14ac:dyDescent="0.25">
      <c r="A550" s="23" t="s">
        <v>115</v>
      </c>
      <c r="B550" s="43" t="s">
        <v>282</v>
      </c>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5.75" customHeight="1" x14ac:dyDescent="0.25">
      <c r="A551" s="304" t="s">
        <v>574</v>
      </c>
      <c r="B551" s="297"/>
      <c r="C551" s="297"/>
      <c r="D551" s="297"/>
      <c r="E551" s="298"/>
      <c r="F551" s="28"/>
      <c r="G551" s="28"/>
      <c r="H551" s="3"/>
      <c r="I551" s="28"/>
      <c r="J551" s="28"/>
      <c r="K551" s="28"/>
      <c r="L551" s="28"/>
      <c r="M551" s="28"/>
      <c r="N551" s="28"/>
      <c r="O551" s="28"/>
      <c r="P551" s="28"/>
      <c r="Q551" s="28"/>
      <c r="R551" s="28"/>
      <c r="S551" s="28"/>
      <c r="T551" s="28"/>
      <c r="U551" s="28"/>
      <c r="V551" s="28"/>
      <c r="W551" s="28"/>
      <c r="X551" s="28"/>
      <c r="Y551" s="28"/>
      <c r="Z551" s="28"/>
    </row>
    <row r="552" spans="1:26" ht="15.75" customHeight="1" x14ac:dyDescent="0.25">
      <c r="A552" s="4" t="s">
        <v>0</v>
      </c>
      <c r="B552" s="5" t="s">
        <v>1</v>
      </c>
      <c r="C552" s="5" t="s">
        <v>2</v>
      </c>
      <c r="D552" s="5" t="s">
        <v>43</v>
      </c>
      <c r="E552" s="45" t="s">
        <v>125</v>
      </c>
      <c r="F552" s="28"/>
      <c r="G552" s="296" t="s">
        <v>6</v>
      </c>
      <c r="H552" s="297"/>
      <c r="I552" s="297"/>
      <c r="J552" s="297"/>
      <c r="K552" s="297"/>
      <c r="L552" s="298"/>
      <c r="M552" s="28"/>
      <c r="N552" s="28"/>
      <c r="O552" s="28"/>
      <c r="P552" s="28"/>
      <c r="Q552" s="28"/>
      <c r="R552" s="28"/>
      <c r="S552" s="28"/>
      <c r="T552" s="28"/>
      <c r="U552" s="28"/>
      <c r="V552" s="28"/>
      <c r="W552" s="28"/>
      <c r="X552" s="28"/>
      <c r="Y552" s="28"/>
      <c r="Z552" s="28"/>
    </row>
    <row r="553" spans="1:26" ht="15.75" customHeight="1" x14ac:dyDescent="0.25">
      <c r="A553" s="9" t="s">
        <v>7</v>
      </c>
      <c r="B553" s="302" t="s">
        <v>9</v>
      </c>
      <c r="C553" s="47">
        <v>28.1</v>
      </c>
      <c r="D553" s="47">
        <v>30</v>
      </c>
      <c r="E553" s="47">
        <v>35</v>
      </c>
      <c r="F553" s="28"/>
      <c r="G553" s="296" t="s">
        <v>106</v>
      </c>
      <c r="H553" s="297"/>
      <c r="I553" s="298"/>
      <c r="J553" s="296" t="s">
        <v>107</v>
      </c>
      <c r="K553" s="297"/>
      <c r="L553" s="298"/>
      <c r="M553" s="28"/>
      <c r="N553" s="28"/>
      <c r="O553" s="28"/>
      <c r="P553" s="28"/>
      <c r="Q553" s="28"/>
      <c r="R553" s="28"/>
      <c r="S553" s="28"/>
      <c r="T553" s="28"/>
      <c r="U553" s="28"/>
      <c r="V553" s="28"/>
      <c r="W553" s="28"/>
      <c r="X553" s="28"/>
      <c r="Y553" s="28"/>
      <c r="Z553" s="28"/>
    </row>
    <row r="554" spans="1:26" ht="15.75" customHeight="1" x14ac:dyDescent="0.25">
      <c r="A554" s="9" t="s">
        <v>17</v>
      </c>
      <c r="B554" s="300"/>
      <c r="C554" s="47">
        <v>63.911000000000001</v>
      </c>
      <c r="D554" s="47">
        <v>69</v>
      </c>
      <c r="E554" s="47">
        <v>70</v>
      </c>
      <c r="F554" s="28"/>
      <c r="G554" s="13" t="s">
        <v>13</v>
      </c>
      <c r="H554" s="39">
        <f>+H556+H556*0.1</f>
        <v>825</v>
      </c>
      <c r="I554" s="17" t="s">
        <v>580</v>
      </c>
      <c r="J554" s="13" t="s">
        <v>13</v>
      </c>
      <c r="K554" s="39">
        <f>+K556+K556*0.1</f>
        <v>693</v>
      </c>
      <c r="L554" s="17" t="s">
        <v>581</v>
      </c>
      <c r="M554" s="28"/>
      <c r="N554" s="28"/>
      <c r="O554" s="28"/>
      <c r="P554" s="28"/>
      <c r="Q554" s="28"/>
      <c r="R554" s="28"/>
      <c r="S554" s="28"/>
      <c r="T554" s="28"/>
      <c r="U554" s="28"/>
      <c r="V554" s="28"/>
      <c r="W554" s="28"/>
      <c r="X554" s="28"/>
      <c r="Y554" s="28"/>
      <c r="Z554" s="28"/>
    </row>
    <row r="555" spans="1:26" ht="15.75" customHeight="1" x14ac:dyDescent="0.25">
      <c r="A555" s="9" t="s">
        <v>26</v>
      </c>
      <c r="B555" s="300"/>
      <c r="C555" s="47">
        <v>69.921999999999997</v>
      </c>
      <c r="D555" s="47">
        <v>78</v>
      </c>
      <c r="E555" s="47">
        <v>80</v>
      </c>
      <c r="F555" s="28"/>
      <c r="G555" s="13" t="s">
        <v>19</v>
      </c>
      <c r="H555" s="40">
        <f>+H556-H556*0.1</f>
        <v>675</v>
      </c>
      <c r="I555" s="17" t="s">
        <v>582</v>
      </c>
      <c r="J555" s="13" t="s">
        <v>19</v>
      </c>
      <c r="K555" s="40">
        <f>+K556-K556*0.1</f>
        <v>567</v>
      </c>
      <c r="L555" s="17" t="s">
        <v>583</v>
      </c>
      <c r="M555" s="28"/>
      <c r="N555" s="28"/>
      <c r="O555" s="28"/>
      <c r="P555" s="28"/>
      <c r="Q555" s="28"/>
      <c r="R555" s="28"/>
      <c r="S555" s="28"/>
      <c r="T555" s="28"/>
      <c r="U555" s="28"/>
      <c r="V555" s="28"/>
      <c r="W555" s="28"/>
      <c r="X555" s="28"/>
      <c r="Y555" s="28"/>
      <c r="Z555" s="28"/>
    </row>
    <row r="556" spans="1:26" ht="15.75" customHeight="1" x14ac:dyDescent="0.25">
      <c r="A556" s="9" t="s">
        <v>32</v>
      </c>
      <c r="B556" s="300"/>
      <c r="C556" s="47">
        <v>96.744</v>
      </c>
      <c r="D556" s="47">
        <v>99</v>
      </c>
      <c r="E556" s="47">
        <v>100</v>
      </c>
      <c r="F556" s="28"/>
      <c r="G556" s="13" t="s">
        <v>27</v>
      </c>
      <c r="H556" s="20">
        <v>750</v>
      </c>
      <c r="I556" s="17" t="s">
        <v>584</v>
      </c>
      <c r="J556" s="13" t="s">
        <v>27</v>
      </c>
      <c r="K556" s="20">
        <v>630</v>
      </c>
      <c r="L556" s="17" t="s">
        <v>585</v>
      </c>
      <c r="M556" s="28"/>
      <c r="N556" s="28"/>
      <c r="O556" s="28"/>
      <c r="P556" s="28"/>
      <c r="Q556" s="28"/>
      <c r="R556" s="28"/>
      <c r="S556" s="28"/>
      <c r="T556" s="28"/>
      <c r="U556" s="28"/>
      <c r="V556" s="28"/>
      <c r="W556" s="28"/>
      <c r="X556" s="28"/>
      <c r="Y556" s="28"/>
      <c r="Z556" s="28"/>
    </row>
    <row r="557" spans="1:26" ht="15.75" customHeight="1" x14ac:dyDescent="0.25">
      <c r="A557" s="9" t="s">
        <v>33</v>
      </c>
      <c r="B557" s="301"/>
      <c r="C557" s="47">
        <v>128.11000000000001</v>
      </c>
      <c r="D557" s="47">
        <v>129</v>
      </c>
      <c r="E557" s="47">
        <v>129</v>
      </c>
      <c r="F557" s="28"/>
      <c r="G557" s="13" t="s">
        <v>121</v>
      </c>
      <c r="H557" s="20">
        <v>748</v>
      </c>
      <c r="I557" s="17" t="s">
        <v>587</v>
      </c>
      <c r="J557" s="13" t="s">
        <v>121</v>
      </c>
      <c r="K557" s="20">
        <v>617</v>
      </c>
      <c r="L557" s="17" t="s">
        <v>588</v>
      </c>
      <c r="M557" s="28"/>
      <c r="N557" s="28"/>
      <c r="O557" s="28"/>
      <c r="P557" s="28"/>
      <c r="Q557" s="28"/>
      <c r="R557" s="28"/>
      <c r="S557" s="28"/>
      <c r="T557" s="28"/>
      <c r="U557" s="28"/>
      <c r="V557" s="28"/>
      <c r="W557" s="28"/>
      <c r="X557" s="28"/>
      <c r="Y557" s="28"/>
      <c r="Z557" s="28"/>
    </row>
    <row r="558" spans="1:26" ht="15.75" customHeight="1" x14ac:dyDescent="0.25">
      <c r="A558" s="41"/>
      <c r="B558" s="125"/>
      <c r="C558" s="42"/>
      <c r="D558" s="25"/>
      <c r="E558" s="25"/>
      <c r="F558" s="28"/>
      <c r="G558" s="28"/>
      <c r="H558" s="3"/>
      <c r="I558" s="28"/>
      <c r="J558" s="28"/>
      <c r="K558" s="28"/>
      <c r="L558" s="28"/>
      <c r="M558" s="28"/>
      <c r="N558" s="28"/>
      <c r="O558" s="28"/>
      <c r="P558" s="28"/>
      <c r="Q558" s="28"/>
      <c r="R558" s="28"/>
      <c r="S558" s="28"/>
      <c r="T558" s="28"/>
      <c r="U558" s="28"/>
      <c r="V558" s="28"/>
      <c r="W558" s="28"/>
      <c r="X558" s="28"/>
      <c r="Y558" s="28"/>
      <c r="Z558" s="28"/>
    </row>
    <row r="559" spans="1:26" ht="15.75" customHeight="1" x14ac:dyDescent="0.25">
      <c r="A559" s="126" t="s">
        <v>35</v>
      </c>
      <c r="B559" s="302" t="s">
        <v>36</v>
      </c>
      <c r="C559" s="47">
        <v>207.78</v>
      </c>
      <c r="D559" s="47">
        <v>260</v>
      </c>
      <c r="E559" s="47">
        <v>247</v>
      </c>
      <c r="F559" s="127"/>
      <c r="G559" s="28"/>
      <c r="H559" s="3"/>
      <c r="I559" s="27" t="s">
        <v>241</v>
      </c>
      <c r="J559" s="128" t="s">
        <v>242</v>
      </c>
      <c r="K559" s="28"/>
      <c r="L559" s="28"/>
      <c r="M559" s="28"/>
      <c r="N559" s="28"/>
      <c r="O559" s="28"/>
      <c r="P559" s="28"/>
      <c r="Q559" s="28"/>
      <c r="R559" s="28"/>
      <c r="S559" s="28"/>
      <c r="T559" s="28"/>
      <c r="U559" s="28"/>
      <c r="V559" s="28"/>
      <c r="W559" s="28"/>
      <c r="X559" s="28"/>
      <c r="Y559" s="28"/>
      <c r="Z559" s="28"/>
    </row>
    <row r="560" spans="1:26" ht="15.75" customHeight="1" x14ac:dyDescent="0.25">
      <c r="A560" s="126" t="s">
        <v>37</v>
      </c>
      <c r="B560" s="300"/>
      <c r="C560" s="47">
        <v>444.11</v>
      </c>
      <c r="D560" s="47">
        <v>394</v>
      </c>
      <c r="E560" s="47">
        <v>391</v>
      </c>
      <c r="F560" s="127"/>
      <c r="G560" s="28"/>
      <c r="H560" s="3"/>
      <c r="I560" s="28"/>
      <c r="J560" s="28"/>
      <c r="K560" s="28"/>
      <c r="L560" s="28"/>
      <c r="M560" s="28"/>
      <c r="N560" s="28"/>
      <c r="O560" s="28"/>
      <c r="P560" s="28"/>
      <c r="Q560" s="28"/>
      <c r="R560" s="28"/>
      <c r="S560" s="28"/>
      <c r="T560" s="28"/>
      <c r="U560" s="28"/>
      <c r="V560" s="28"/>
      <c r="W560" s="28"/>
      <c r="X560" s="28"/>
      <c r="Y560" s="28"/>
      <c r="Z560" s="28"/>
    </row>
    <row r="561" spans="1:26" ht="15.75" customHeight="1" x14ac:dyDescent="0.25">
      <c r="A561" s="126" t="s">
        <v>38</v>
      </c>
      <c r="B561" s="300"/>
      <c r="C561" s="47">
        <v>579.55999999999995</v>
      </c>
      <c r="D561" s="47">
        <v>614</v>
      </c>
      <c r="E561" s="47">
        <v>622</v>
      </c>
      <c r="F561" s="127"/>
      <c r="G561" s="28"/>
      <c r="H561" s="3"/>
      <c r="I561" s="28"/>
      <c r="J561" s="28"/>
      <c r="K561" s="28"/>
      <c r="L561" s="28"/>
      <c r="M561" s="28"/>
      <c r="N561" s="28"/>
      <c r="O561" s="28"/>
      <c r="P561" s="28"/>
      <c r="Q561" s="28"/>
      <c r="R561" s="28"/>
      <c r="S561" s="28"/>
      <c r="T561" s="28"/>
      <c r="U561" s="28"/>
      <c r="V561" s="28"/>
      <c r="W561" s="28"/>
      <c r="X561" s="28"/>
      <c r="Y561" s="28"/>
      <c r="Z561" s="28"/>
    </row>
    <row r="562" spans="1:26" ht="15.75" customHeight="1" x14ac:dyDescent="0.25">
      <c r="A562" s="129" t="s">
        <v>39</v>
      </c>
      <c r="B562" s="300"/>
      <c r="C562" s="50">
        <v>746.22</v>
      </c>
      <c r="D562" s="47">
        <v>714</v>
      </c>
      <c r="E562" s="47">
        <v>717</v>
      </c>
      <c r="F562" s="28"/>
      <c r="G562" s="28"/>
      <c r="H562" s="3"/>
      <c r="I562" s="28"/>
      <c r="J562" s="28"/>
      <c r="K562" s="28"/>
      <c r="L562" s="28"/>
      <c r="M562" s="28"/>
      <c r="N562" s="28"/>
      <c r="O562" s="28"/>
      <c r="P562" s="28"/>
      <c r="Q562" s="28"/>
      <c r="R562" s="28"/>
      <c r="S562" s="28"/>
      <c r="T562" s="28"/>
      <c r="U562" s="28"/>
      <c r="V562" s="28"/>
      <c r="W562" s="28"/>
      <c r="X562" s="28"/>
      <c r="Y562" s="28"/>
      <c r="Z562" s="28"/>
    </row>
    <row r="563" spans="1:26" ht="15.75" customHeight="1" x14ac:dyDescent="0.25">
      <c r="A563" s="12" t="s">
        <v>41</v>
      </c>
      <c r="B563" s="301"/>
      <c r="C563" s="71">
        <v>869.5</v>
      </c>
      <c r="D563" s="47">
        <v>839</v>
      </c>
      <c r="E563" s="47">
        <v>829</v>
      </c>
      <c r="F563" s="127"/>
      <c r="G563" s="28"/>
      <c r="H563" s="3"/>
      <c r="I563" s="28"/>
      <c r="J563" s="28"/>
      <c r="K563" s="28"/>
      <c r="L563" s="28"/>
      <c r="M563" s="28"/>
      <c r="N563" s="28"/>
      <c r="O563" s="28"/>
      <c r="P563" s="28"/>
      <c r="Q563" s="28"/>
      <c r="R563" s="28"/>
      <c r="S563" s="28"/>
      <c r="T563" s="28"/>
      <c r="U563" s="28"/>
      <c r="V563" s="28"/>
      <c r="W563" s="28"/>
      <c r="X563" s="28"/>
      <c r="Y563" s="28"/>
      <c r="Z563" s="28"/>
    </row>
    <row r="564" spans="1:26" ht="15.75" customHeight="1" x14ac:dyDescent="0.25">
      <c r="A564" s="130"/>
      <c r="B564" s="131"/>
      <c r="C564" s="131"/>
      <c r="D564" s="131"/>
      <c r="E564" s="131"/>
      <c r="F564" s="28"/>
      <c r="G564" s="28"/>
      <c r="H564" s="3"/>
      <c r="I564" s="28"/>
      <c r="J564" s="28"/>
      <c r="K564" s="28"/>
      <c r="L564" s="28"/>
      <c r="M564" s="28"/>
      <c r="N564" s="28"/>
      <c r="O564" s="28"/>
      <c r="P564" s="28"/>
      <c r="Q564" s="28"/>
      <c r="R564" s="28"/>
      <c r="S564" s="28"/>
      <c r="T564" s="28"/>
      <c r="U564" s="28"/>
      <c r="V564" s="28"/>
      <c r="W564" s="28"/>
      <c r="X564" s="28"/>
      <c r="Y564" s="28"/>
      <c r="Z564" s="28"/>
    </row>
    <row r="565" spans="1:26" ht="15.75" customHeight="1" x14ac:dyDescent="0.25">
      <c r="A565" s="9" t="s">
        <v>46</v>
      </c>
      <c r="B565" s="299" t="s">
        <v>47</v>
      </c>
      <c r="C565" s="11">
        <v>88.4</v>
      </c>
      <c r="D565" s="47">
        <v>96</v>
      </c>
      <c r="E565" s="47">
        <v>97</v>
      </c>
      <c r="F565" s="28"/>
      <c r="G565" s="28"/>
      <c r="H565" s="3"/>
      <c r="I565" s="28"/>
      <c r="J565" s="28"/>
      <c r="K565" s="28"/>
      <c r="L565" s="28"/>
      <c r="M565" s="28"/>
      <c r="N565" s="28"/>
      <c r="O565" s="28"/>
      <c r="P565" s="28"/>
      <c r="Q565" s="28"/>
      <c r="R565" s="28"/>
      <c r="S565" s="28"/>
      <c r="T565" s="28"/>
      <c r="U565" s="28"/>
      <c r="V565" s="28"/>
      <c r="W565" s="28"/>
      <c r="X565" s="28"/>
      <c r="Y565" s="28"/>
      <c r="Z565" s="28"/>
    </row>
    <row r="566" spans="1:26" ht="15.75" customHeight="1" x14ac:dyDescent="0.25">
      <c r="A566" s="9" t="s">
        <v>48</v>
      </c>
      <c r="B566" s="300"/>
      <c r="C566" s="11">
        <v>94.6</v>
      </c>
      <c r="D566" s="47">
        <v>100</v>
      </c>
      <c r="E566" s="47">
        <v>104</v>
      </c>
      <c r="F566" s="28"/>
      <c r="G566" s="28"/>
      <c r="H566" s="3"/>
      <c r="I566" s="28"/>
      <c r="J566" s="28"/>
      <c r="K566" s="28"/>
      <c r="L566" s="28"/>
      <c r="M566" s="28"/>
      <c r="N566" s="28"/>
      <c r="O566" s="28"/>
      <c r="P566" s="28"/>
      <c r="Q566" s="28"/>
      <c r="R566" s="28"/>
      <c r="S566" s="28"/>
      <c r="T566" s="28"/>
      <c r="U566" s="28"/>
      <c r="V566" s="28"/>
      <c r="W566" s="28"/>
      <c r="X566" s="28"/>
      <c r="Y566" s="28"/>
      <c r="Z566" s="28"/>
    </row>
    <row r="567" spans="1:26" ht="15.75" customHeight="1" x14ac:dyDescent="0.25">
      <c r="A567" s="41"/>
      <c r="B567" s="125"/>
      <c r="C567" s="42"/>
      <c r="D567" s="42"/>
      <c r="E567" s="42"/>
      <c r="F567" s="28"/>
      <c r="G567" s="28"/>
      <c r="H567" s="3"/>
      <c r="I567" s="28"/>
      <c r="J567" s="28"/>
      <c r="K567" s="28"/>
      <c r="L567" s="28"/>
      <c r="M567" s="28"/>
      <c r="N567" s="28"/>
      <c r="O567" s="28"/>
      <c r="P567" s="28"/>
      <c r="Q567" s="28"/>
      <c r="R567" s="28"/>
      <c r="S567" s="28"/>
      <c r="T567" s="28"/>
      <c r="U567" s="28"/>
      <c r="V567" s="28"/>
      <c r="W567" s="28"/>
      <c r="X567" s="28"/>
      <c r="Y567" s="28"/>
      <c r="Z567" s="28"/>
    </row>
    <row r="568" spans="1:26" ht="15.75" customHeight="1" x14ac:dyDescent="0.25">
      <c r="A568" s="126" t="s">
        <v>50</v>
      </c>
      <c r="B568" s="302" t="s">
        <v>51</v>
      </c>
      <c r="C568" s="47">
        <v>271.44</v>
      </c>
      <c r="D568" s="47">
        <v>403</v>
      </c>
      <c r="E568" s="47">
        <v>398</v>
      </c>
      <c r="F568" s="28"/>
      <c r="G568" s="28"/>
      <c r="H568" s="3"/>
      <c r="I568" s="28"/>
      <c r="J568" s="28"/>
      <c r="K568" s="28"/>
      <c r="L568" s="28"/>
      <c r="M568" s="28"/>
      <c r="N568" s="28"/>
      <c r="O568" s="28"/>
      <c r="P568" s="28"/>
      <c r="Q568" s="28"/>
      <c r="R568" s="28"/>
      <c r="S568" s="28"/>
      <c r="T568" s="28"/>
      <c r="U568" s="28"/>
      <c r="V568" s="28"/>
      <c r="W568" s="28"/>
      <c r="X568" s="28"/>
      <c r="Y568" s="28"/>
      <c r="Z568" s="28"/>
    </row>
    <row r="569" spans="1:26" ht="15.75" customHeight="1" x14ac:dyDescent="0.25">
      <c r="A569" s="126" t="s">
        <v>54</v>
      </c>
      <c r="B569" s="300"/>
      <c r="C569" s="47">
        <v>550.22199999999998</v>
      </c>
      <c r="D569" s="47">
        <v>480</v>
      </c>
      <c r="E569" s="47">
        <v>426</v>
      </c>
      <c r="F569" s="28"/>
      <c r="G569" s="28"/>
      <c r="H569" s="3"/>
      <c r="I569" s="28"/>
      <c r="J569" s="28"/>
      <c r="K569" s="28"/>
      <c r="L569" s="28"/>
      <c r="M569" s="28"/>
      <c r="N569" s="28"/>
      <c r="O569" s="28"/>
      <c r="P569" s="28"/>
      <c r="Q569" s="28"/>
      <c r="R569" s="28"/>
      <c r="S569" s="28"/>
      <c r="T569" s="28"/>
      <c r="U569" s="28"/>
      <c r="V569" s="28"/>
      <c r="W569" s="28"/>
      <c r="X569" s="28"/>
      <c r="Y569" s="28"/>
      <c r="Z569" s="28"/>
    </row>
    <row r="570" spans="1:26" ht="15.75" customHeight="1" x14ac:dyDescent="0.25">
      <c r="A570" s="126" t="s">
        <v>55</v>
      </c>
      <c r="B570" s="300"/>
      <c r="C570" s="47">
        <v>746.8</v>
      </c>
      <c r="D570" s="47">
        <v>645</v>
      </c>
      <c r="E570" s="47">
        <v>640</v>
      </c>
      <c r="F570" s="28"/>
      <c r="G570" s="28"/>
      <c r="H570" s="3"/>
      <c r="I570" s="28"/>
      <c r="J570" s="28"/>
      <c r="K570" s="28"/>
      <c r="L570" s="28"/>
      <c r="M570" s="28"/>
      <c r="N570" s="28"/>
      <c r="O570" s="28"/>
      <c r="P570" s="28"/>
      <c r="Q570" s="28"/>
      <c r="R570" s="28"/>
      <c r="S570" s="28"/>
      <c r="T570" s="28"/>
      <c r="U570" s="28"/>
      <c r="V570" s="28"/>
      <c r="W570" s="28"/>
      <c r="X570" s="28"/>
      <c r="Y570" s="28"/>
      <c r="Z570" s="28"/>
    </row>
    <row r="571" spans="1:26" ht="15.75" customHeight="1" x14ac:dyDescent="0.25">
      <c r="A571" s="129" t="s">
        <v>56</v>
      </c>
      <c r="B571" s="300"/>
      <c r="C571" s="50">
        <v>768.33333333333337</v>
      </c>
      <c r="D571" s="47">
        <v>778</v>
      </c>
      <c r="E571" s="47">
        <v>774</v>
      </c>
      <c r="F571" s="28"/>
      <c r="G571" s="28"/>
      <c r="H571" s="3"/>
      <c r="I571" s="28"/>
      <c r="J571" s="28"/>
      <c r="K571" s="28"/>
      <c r="L571" s="28"/>
      <c r="M571" s="28"/>
      <c r="N571" s="28"/>
      <c r="O571" s="28"/>
      <c r="P571" s="28"/>
      <c r="Q571" s="28"/>
      <c r="R571" s="28"/>
      <c r="S571" s="28"/>
      <c r="T571" s="28"/>
      <c r="U571" s="28"/>
      <c r="V571" s="28"/>
      <c r="W571" s="28"/>
      <c r="X571" s="28"/>
      <c r="Y571" s="28"/>
      <c r="Z571" s="28"/>
    </row>
    <row r="572" spans="1:26" ht="15.75" customHeight="1" x14ac:dyDescent="0.25">
      <c r="A572" s="8" t="s">
        <v>57</v>
      </c>
      <c r="B572" s="301"/>
      <c r="C572" s="71">
        <v>609</v>
      </c>
      <c r="D572" s="47">
        <v>620</v>
      </c>
      <c r="E572" s="47">
        <v>623</v>
      </c>
      <c r="F572" s="28"/>
      <c r="G572" s="28"/>
      <c r="H572" s="3"/>
      <c r="I572" s="28"/>
      <c r="J572" s="28"/>
      <c r="K572" s="28"/>
      <c r="L572" s="28"/>
      <c r="M572" s="28"/>
      <c r="N572" s="28"/>
      <c r="O572" s="28"/>
      <c r="P572" s="28"/>
      <c r="Q572" s="28"/>
      <c r="R572" s="28"/>
      <c r="S572" s="28"/>
      <c r="T572" s="28"/>
      <c r="U572" s="28"/>
      <c r="V572" s="28"/>
      <c r="W572" s="28"/>
      <c r="X572" s="28"/>
      <c r="Y572" s="28"/>
      <c r="Z572" s="28"/>
    </row>
    <row r="573" spans="1:26" ht="15.75" customHeight="1" x14ac:dyDescent="0.25">
      <c r="A573" s="130"/>
      <c r="B573" s="131"/>
      <c r="C573" s="131"/>
      <c r="D573" s="131"/>
      <c r="E573" s="131"/>
      <c r="F573" s="28"/>
      <c r="G573" s="28"/>
      <c r="H573" s="3"/>
      <c r="I573" s="28"/>
      <c r="J573" s="28"/>
      <c r="K573" s="28"/>
      <c r="L573" s="28"/>
      <c r="M573" s="28"/>
      <c r="N573" s="28"/>
      <c r="O573" s="28"/>
      <c r="P573" s="28"/>
      <c r="Q573" s="28"/>
      <c r="R573" s="28"/>
      <c r="S573" s="28"/>
      <c r="T573" s="28"/>
      <c r="U573" s="28"/>
      <c r="V573" s="28"/>
      <c r="W573" s="28"/>
      <c r="X573" s="28"/>
      <c r="Y573" s="28"/>
      <c r="Z573" s="28"/>
    </row>
    <row r="574" spans="1:26" ht="15.75" customHeight="1" x14ac:dyDescent="0.25">
      <c r="A574" s="9" t="s">
        <v>60</v>
      </c>
      <c r="B574" s="299" t="s">
        <v>62</v>
      </c>
      <c r="C574" s="47">
        <v>19.741666666666667</v>
      </c>
      <c r="D574" s="53">
        <v>31</v>
      </c>
      <c r="E574" s="53">
        <v>34</v>
      </c>
      <c r="F574" s="28"/>
      <c r="G574" s="28"/>
      <c r="H574" s="3"/>
      <c r="I574" s="28"/>
      <c r="J574" s="28"/>
      <c r="K574" s="28"/>
      <c r="L574" s="28"/>
      <c r="M574" s="28"/>
      <c r="N574" s="28"/>
      <c r="O574" s="28"/>
      <c r="P574" s="28"/>
      <c r="Q574" s="28"/>
      <c r="R574" s="28"/>
      <c r="S574" s="28"/>
      <c r="T574" s="28"/>
      <c r="U574" s="28"/>
      <c r="V574" s="28"/>
      <c r="W574" s="28"/>
      <c r="X574" s="28"/>
      <c r="Y574" s="28"/>
      <c r="Z574" s="28"/>
    </row>
    <row r="575" spans="1:26" ht="15.75" customHeight="1" x14ac:dyDescent="0.25">
      <c r="A575" s="9" t="s">
        <v>65</v>
      </c>
      <c r="B575" s="300"/>
      <c r="C575" s="11">
        <v>42</v>
      </c>
      <c r="D575" s="54">
        <v>47</v>
      </c>
      <c r="E575" s="54">
        <v>56</v>
      </c>
      <c r="F575" s="28"/>
      <c r="G575" s="28"/>
      <c r="H575" s="3"/>
      <c r="I575" s="28"/>
      <c r="J575" s="28"/>
      <c r="K575" s="28"/>
      <c r="L575" s="28"/>
      <c r="M575" s="28"/>
      <c r="N575" s="28"/>
      <c r="O575" s="28"/>
      <c r="P575" s="28"/>
      <c r="Q575" s="28"/>
      <c r="R575" s="28"/>
      <c r="S575" s="28"/>
      <c r="T575" s="28"/>
      <c r="U575" s="28"/>
      <c r="V575" s="28"/>
      <c r="W575" s="28"/>
      <c r="X575" s="28"/>
      <c r="Y575" s="28"/>
      <c r="Z575" s="28"/>
    </row>
    <row r="576" spans="1:26" ht="15.75" customHeight="1" x14ac:dyDescent="0.25">
      <c r="A576" s="9" t="s">
        <v>64</v>
      </c>
      <c r="B576" s="301"/>
      <c r="C576" s="11">
        <v>42</v>
      </c>
      <c r="D576" s="54">
        <v>39</v>
      </c>
      <c r="E576" s="54">
        <v>35</v>
      </c>
      <c r="F576" s="28"/>
      <c r="G576" s="28"/>
      <c r="H576" s="3"/>
      <c r="I576" s="28"/>
      <c r="J576" s="28"/>
      <c r="K576" s="28"/>
      <c r="L576" s="28"/>
      <c r="M576" s="28"/>
      <c r="N576" s="28"/>
      <c r="O576" s="28"/>
      <c r="P576" s="28"/>
      <c r="Q576" s="28"/>
      <c r="R576" s="28"/>
      <c r="S576" s="28"/>
      <c r="T576" s="28"/>
      <c r="U576" s="28"/>
      <c r="V576" s="28"/>
      <c r="W576" s="28"/>
      <c r="X576" s="28"/>
      <c r="Y576" s="28"/>
      <c r="Z576" s="28"/>
    </row>
    <row r="577" spans="1:26" ht="15.75" customHeight="1" x14ac:dyDescent="0.25">
      <c r="A577" s="41"/>
      <c r="B577" s="125"/>
      <c r="C577" s="42"/>
      <c r="D577" s="25"/>
      <c r="E577" s="25"/>
      <c r="F577" s="28"/>
      <c r="G577" s="28"/>
      <c r="H577" s="3"/>
      <c r="I577" s="28"/>
      <c r="J577" s="28"/>
      <c r="K577" s="28"/>
      <c r="L577" s="28"/>
      <c r="M577" s="28"/>
      <c r="N577" s="28"/>
      <c r="O577" s="28"/>
      <c r="P577" s="28"/>
      <c r="Q577" s="28"/>
      <c r="R577" s="28"/>
      <c r="S577" s="28"/>
      <c r="T577" s="28"/>
      <c r="U577" s="28"/>
      <c r="V577" s="28"/>
      <c r="W577" s="28"/>
      <c r="X577" s="28"/>
      <c r="Y577" s="28"/>
      <c r="Z577" s="28"/>
    </row>
    <row r="578" spans="1:26" ht="15.75" customHeight="1" x14ac:dyDescent="0.25">
      <c r="A578" s="129" t="s">
        <v>66</v>
      </c>
      <c r="B578" s="302" t="s">
        <v>68</v>
      </c>
      <c r="C578" s="50">
        <v>204.5</v>
      </c>
      <c r="D578" s="47">
        <v>212</v>
      </c>
      <c r="E578" s="47">
        <v>209</v>
      </c>
      <c r="F578" s="28"/>
      <c r="G578" s="28"/>
      <c r="H578" s="3"/>
      <c r="I578" s="28"/>
      <c r="J578" s="28"/>
      <c r="K578" s="28"/>
      <c r="L578" s="28"/>
      <c r="M578" s="28"/>
      <c r="N578" s="28"/>
      <c r="O578" s="28"/>
      <c r="P578" s="28"/>
      <c r="Q578" s="28"/>
      <c r="R578" s="28"/>
      <c r="S578" s="28"/>
      <c r="T578" s="28"/>
      <c r="U578" s="28"/>
      <c r="V578" s="28"/>
      <c r="W578" s="28"/>
      <c r="X578" s="28"/>
      <c r="Y578" s="28"/>
      <c r="Z578" s="28"/>
    </row>
    <row r="579" spans="1:26" ht="15.75" customHeight="1" x14ac:dyDescent="0.25">
      <c r="A579" s="12" t="s">
        <v>69</v>
      </c>
      <c r="B579" s="301"/>
      <c r="C579" s="71">
        <v>277.7</v>
      </c>
      <c r="D579" s="47">
        <v>288</v>
      </c>
      <c r="E579" s="47">
        <v>280</v>
      </c>
      <c r="F579" s="28"/>
      <c r="G579" s="28"/>
      <c r="H579" s="3"/>
      <c r="I579" s="28"/>
      <c r="J579" s="28"/>
      <c r="K579" s="28"/>
      <c r="L579" s="28"/>
      <c r="M579" s="28"/>
      <c r="N579" s="28"/>
      <c r="O579" s="28"/>
      <c r="P579" s="28"/>
      <c r="Q579" s="28"/>
      <c r="R579" s="28"/>
      <c r="S579" s="28"/>
      <c r="T579" s="28"/>
      <c r="U579" s="28"/>
      <c r="V579" s="28"/>
      <c r="W579" s="28"/>
      <c r="X579" s="28"/>
      <c r="Y579" s="28"/>
      <c r="Z579" s="28"/>
    </row>
    <row r="580" spans="1:26" ht="15.75" customHeight="1" x14ac:dyDescent="0.25">
      <c r="A580" s="132"/>
      <c r="B580" s="133"/>
      <c r="C580" s="133"/>
      <c r="D580" s="133"/>
      <c r="E580" s="133"/>
      <c r="F580" s="28"/>
      <c r="G580" s="28"/>
      <c r="H580" s="3"/>
      <c r="I580" s="28"/>
      <c r="J580" s="28"/>
      <c r="K580" s="28"/>
      <c r="L580" s="28"/>
      <c r="M580" s="28"/>
      <c r="N580" s="28"/>
      <c r="O580" s="28"/>
      <c r="P580" s="28"/>
      <c r="Q580" s="28"/>
      <c r="R580" s="28"/>
      <c r="S580" s="28"/>
      <c r="T580" s="28"/>
      <c r="U580" s="28"/>
      <c r="V580" s="28"/>
      <c r="W580" s="28"/>
      <c r="X580" s="28"/>
      <c r="Y580" s="28"/>
      <c r="Z580" s="28"/>
    </row>
    <row r="581" spans="1:26" ht="15.75" customHeight="1" x14ac:dyDescent="0.25">
      <c r="A581" s="56" t="s">
        <v>69</v>
      </c>
      <c r="B581" s="303" t="s">
        <v>71</v>
      </c>
      <c r="C581" s="47">
        <v>12</v>
      </c>
      <c r="D581" s="47">
        <v>13</v>
      </c>
      <c r="E581" s="47">
        <v>16</v>
      </c>
      <c r="F581" s="28"/>
      <c r="G581" s="28"/>
      <c r="H581" s="3"/>
      <c r="I581" s="28"/>
      <c r="J581" s="28"/>
      <c r="K581" s="28"/>
      <c r="L581" s="28"/>
      <c r="M581" s="28"/>
      <c r="N581" s="28"/>
      <c r="O581" s="28"/>
      <c r="P581" s="28"/>
      <c r="Q581" s="28"/>
      <c r="R581" s="28"/>
      <c r="S581" s="28"/>
      <c r="T581" s="28"/>
      <c r="U581" s="28"/>
      <c r="V581" s="28"/>
      <c r="W581" s="28"/>
      <c r="X581" s="28"/>
      <c r="Y581" s="28"/>
      <c r="Z581" s="28"/>
    </row>
    <row r="582" spans="1:26" ht="15.75" customHeight="1" x14ac:dyDescent="0.25">
      <c r="A582" s="56" t="s">
        <v>72</v>
      </c>
      <c r="B582" s="300"/>
      <c r="C582" s="47">
        <v>14</v>
      </c>
      <c r="D582" s="47">
        <v>15</v>
      </c>
      <c r="E582" s="47">
        <v>16</v>
      </c>
      <c r="F582" s="28"/>
      <c r="G582" s="28"/>
      <c r="H582" s="3"/>
      <c r="I582" s="28"/>
      <c r="J582" s="28"/>
      <c r="K582" s="28"/>
      <c r="L582" s="28"/>
      <c r="M582" s="28"/>
      <c r="N582" s="28"/>
      <c r="O582" s="28"/>
      <c r="P582" s="28"/>
      <c r="Q582" s="28"/>
      <c r="R582" s="28"/>
      <c r="S582" s="28"/>
      <c r="T582" s="28"/>
      <c r="U582" s="28"/>
      <c r="V582" s="28"/>
      <c r="W582" s="28"/>
      <c r="X582" s="28"/>
      <c r="Y582" s="28"/>
      <c r="Z582" s="28"/>
    </row>
    <row r="583" spans="1:26" ht="15.75" customHeight="1" x14ac:dyDescent="0.25">
      <c r="A583" s="56" t="s">
        <v>73</v>
      </c>
      <c r="B583" s="301"/>
      <c r="C583" s="47">
        <v>17.43333333333333</v>
      </c>
      <c r="D583" s="47">
        <v>19</v>
      </c>
      <c r="E583" s="47">
        <v>19</v>
      </c>
      <c r="F583" s="28"/>
      <c r="G583" s="28"/>
      <c r="H583" s="3"/>
      <c r="I583" s="28"/>
      <c r="J583" s="28"/>
      <c r="K583" s="28"/>
      <c r="L583" s="28"/>
      <c r="M583" s="28"/>
      <c r="N583" s="28"/>
      <c r="O583" s="28"/>
      <c r="P583" s="28"/>
      <c r="Q583" s="28"/>
      <c r="R583" s="28"/>
      <c r="S583" s="28"/>
      <c r="T583" s="28"/>
      <c r="U583" s="28"/>
      <c r="V583" s="28"/>
      <c r="W583" s="28"/>
      <c r="X583" s="28"/>
      <c r="Y583" s="28"/>
      <c r="Z583" s="28"/>
    </row>
    <row r="584" spans="1:26" ht="15.75" customHeight="1" x14ac:dyDescent="0.25">
      <c r="A584" s="92"/>
      <c r="B584" s="69"/>
      <c r="C584" s="69"/>
      <c r="D584" s="25"/>
      <c r="E584" s="25"/>
      <c r="F584" s="28"/>
      <c r="G584" s="28"/>
      <c r="H584" s="3"/>
      <c r="I584" s="28"/>
      <c r="J584" s="28"/>
      <c r="K584" s="28"/>
      <c r="L584" s="28"/>
      <c r="M584" s="28"/>
      <c r="N584" s="28"/>
      <c r="O584" s="28"/>
      <c r="P584" s="28"/>
      <c r="Q584" s="28"/>
      <c r="R584" s="28"/>
      <c r="S584" s="28"/>
      <c r="T584" s="28"/>
      <c r="U584" s="28"/>
      <c r="V584" s="28"/>
      <c r="W584" s="28"/>
      <c r="X584" s="28"/>
      <c r="Y584" s="28"/>
      <c r="Z584" s="28"/>
    </row>
    <row r="585" spans="1:26" ht="15.75" customHeight="1" x14ac:dyDescent="0.25">
      <c r="A585" s="56" t="s">
        <v>80</v>
      </c>
      <c r="B585" s="309" t="s">
        <v>77</v>
      </c>
      <c r="C585" s="47">
        <v>117</v>
      </c>
      <c r="D585" s="47">
        <v>138</v>
      </c>
      <c r="E585" s="47">
        <v>135</v>
      </c>
      <c r="F585" s="28"/>
      <c r="G585" s="28"/>
      <c r="H585" s="3"/>
      <c r="I585" s="28"/>
      <c r="J585" s="28"/>
      <c r="K585" s="28"/>
      <c r="L585" s="28"/>
      <c r="M585" s="28"/>
      <c r="N585" s="28"/>
      <c r="O585" s="28"/>
      <c r="P585" s="28"/>
      <c r="Q585" s="28"/>
      <c r="R585" s="28"/>
      <c r="S585" s="28"/>
      <c r="T585" s="28"/>
      <c r="U585" s="28"/>
      <c r="V585" s="28"/>
      <c r="W585" s="28"/>
      <c r="X585" s="28"/>
      <c r="Y585" s="28"/>
      <c r="Z585" s="28"/>
    </row>
    <row r="586" spans="1:26" ht="15.75" customHeight="1" x14ac:dyDescent="0.25">
      <c r="A586" s="56" t="s">
        <v>78</v>
      </c>
      <c r="B586" s="300"/>
      <c r="C586" s="47">
        <v>188</v>
      </c>
      <c r="D586" s="47">
        <v>210</v>
      </c>
      <c r="E586" s="47">
        <v>210</v>
      </c>
      <c r="F586" s="28"/>
      <c r="G586" s="28"/>
      <c r="H586" s="3"/>
      <c r="I586" s="28"/>
      <c r="J586" s="28"/>
      <c r="K586" s="28"/>
      <c r="L586" s="28"/>
      <c r="M586" s="28"/>
      <c r="N586" s="28"/>
      <c r="O586" s="28"/>
      <c r="P586" s="28"/>
      <c r="Q586" s="28"/>
      <c r="R586" s="28"/>
      <c r="S586" s="28"/>
      <c r="T586" s="28"/>
      <c r="U586" s="28"/>
      <c r="V586" s="28"/>
      <c r="W586" s="28"/>
      <c r="X586" s="28"/>
      <c r="Y586" s="28"/>
      <c r="Z586" s="28"/>
    </row>
    <row r="587" spans="1:26" ht="15.75" customHeight="1" x14ac:dyDescent="0.25">
      <c r="A587" s="56" t="s">
        <v>76</v>
      </c>
      <c r="B587" s="300"/>
      <c r="C587" s="50">
        <v>218</v>
      </c>
      <c r="D587" s="47">
        <v>220</v>
      </c>
      <c r="E587" s="47">
        <v>220</v>
      </c>
      <c r="F587" s="28"/>
      <c r="G587" s="28"/>
      <c r="H587" s="3"/>
      <c r="I587" s="28"/>
      <c r="J587" s="28"/>
      <c r="K587" s="28"/>
      <c r="L587" s="28"/>
      <c r="M587" s="28"/>
      <c r="N587" s="28"/>
      <c r="O587" s="28"/>
      <c r="P587" s="28"/>
      <c r="Q587" s="28"/>
      <c r="R587" s="28"/>
      <c r="S587" s="28"/>
      <c r="T587" s="28"/>
      <c r="U587" s="28"/>
      <c r="V587" s="28"/>
      <c r="W587" s="28"/>
      <c r="X587" s="28"/>
      <c r="Y587" s="28"/>
      <c r="Z587" s="28"/>
    </row>
    <row r="588" spans="1:26" ht="15.75" customHeight="1" x14ac:dyDescent="0.25">
      <c r="A588" s="57" t="s">
        <v>79</v>
      </c>
      <c r="B588" s="300"/>
      <c r="C588" s="134">
        <v>239</v>
      </c>
      <c r="D588" s="47">
        <v>241</v>
      </c>
      <c r="E588" s="47">
        <v>241</v>
      </c>
      <c r="F588" s="28"/>
      <c r="G588" s="28"/>
      <c r="H588" s="3"/>
      <c r="I588" s="28"/>
      <c r="J588" s="28"/>
      <c r="K588" s="28"/>
      <c r="L588" s="28"/>
      <c r="M588" s="28"/>
      <c r="N588" s="28"/>
      <c r="O588" s="28"/>
      <c r="P588" s="28"/>
      <c r="Q588" s="28"/>
      <c r="R588" s="28"/>
      <c r="S588" s="28"/>
      <c r="T588" s="28"/>
      <c r="U588" s="28"/>
      <c r="V588" s="28"/>
      <c r="W588" s="28"/>
      <c r="X588" s="28"/>
      <c r="Y588" s="28"/>
      <c r="Z588" s="28"/>
    </row>
    <row r="589" spans="1:26" ht="15.75" customHeight="1" x14ac:dyDescent="0.25">
      <c r="A589" s="132"/>
      <c r="B589" s="133"/>
      <c r="C589" s="133"/>
      <c r="D589" s="133"/>
      <c r="E589" s="133"/>
      <c r="F589" s="28"/>
      <c r="G589" s="28"/>
      <c r="H589" s="3"/>
      <c r="I589" s="28"/>
      <c r="J589" s="28"/>
      <c r="K589" s="28"/>
      <c r="L589" s="28"/>
      <c r="M589" s="28"/>
      <c r="N589" s="28"/>
      <c r="O589" s="28"/>
      <c r="P589" s="28"/>
      <c r="Q589" s="28"/>
      <c r="R589" s="28"/>
      <c r="S589" s="28"/>
      <c r="T589" s="28"/>
      <c r="U589" s="28"/>
      <c r="V589" s="28"/>
      <c r="W589" s="28"/>
      <c r="X589" s="28"/>
      <c r="Y589" s="28"/>
      <c r="Z589" s="28"/>
    </row>
    <row r="590" spans="1:26" ht="15.75" customHeight="1" x14ac:dyDescent="0.25">
      <c r="A590" s="9" t="s">
        <v>81</v>
      </c>
      <c r="B590" s="299" t="s">
        <v>82</v>
      </c>
      <c r="C590" s="11">
        <v>2</v>
      </c>
      <c r="D590" s="47">
        <v>1</v>
      </c>
      <c r="E590" s="47">
        <v>1</v>
      </c>
      <c r="F590" s="28"/>
      <c r="G590" s="28"/>
      <c r="H590" s="3"/>
      <c r="I590" s="28"/>
      <c r="J590" s="28"/>
      <c r="K590" s="28"/>
      <c r="L590" s="28"/>
      <c r="M590" s="28"/>
      <c r="N590" s="28"/>
      <c r="O590" s="28"/>
      <c r="P590" s="28"/>
      <c r="Q590" s="28"/>
      <c r="R590" s="28"/>
      <c r="S590" s="28"/>
      <c r="T590" s="28"/>
      <c r="U590" s="28"/>
      <c r="V590" s="28"/>
      <c r="W590" s="28"/>
      <c r="X590" s="28"/>
      <c r="Y590" s="28"/>
      <c r="Z590" s="28"/>
    </row>
    <row r="591" spans="1:26" ht="15.75" customHeight="1" x14ac:dyDescent="0.25">
      <c r="A591" s="9" t="s">
        <v>83</v>
      </c>
      <c r="B591" s="300"/>
      <c r="C591" s="11">
        <v>7.133</v>
      </c>
      <c r="D591" s="47">
        <v>19</v>
      </c>
      <c r="E591" s="47">
        <v>18</v>
      </c>
      <c r="F591" s="28"/>
      <c r="G591" s="28"/>
      <c r="H591" s="3"/>
      <c r="I591" s="28"/>
      <c r="J591" s="28"/>
      <c r="K591" s="28"/>
      <c r="L591" s="28"/>
      <c r="M591" s="28"/>
      <c r="N591" s="28"/>
      <c r="O591" s="28"/>
      <c r="P591" s="28"/>
      <c r="Q591" s="28"/>
      <c r="R591" s="28"/>
      <c r="S591" s="28"/>
      <c r="T591" s="28"/>
      <c r="U591" s="28"/>
      <c r="V591" s="28"/>
      <c r="W591" s="28"/>
      <c r="X591" s="28"/>
      <c r="Y591" s="28"/>
      <c r="Z591" s="28"/>
    </row>
    <row r="592" spans="1:26" ht="15.75" customHeight="1" x14ac:dyDescent="0.25">
      <c r="A592" s="9" t="s">
        <v>155</v>
      </c>
      <c r="B592" s="301"/>
      <c r="C592" s="11">
        <v>10.72</v>
      </c>
      <c r="D592" s="47">
        <v>16</v>
      </c>
      <c r="E592" s="47">
        <v>14</v>
      </c>
      <c r="F592" s="28"/>
      <c r="G592" s="28"/>
      <c r="H592" s="3"/>
      <c r="I592" s="28"/>
      <c r="J592" s="28"/>
      <c r="K592" s="28"/>
      <c r="L592" s="28"/>
      <c r="M592" s="28"/>
      <c r="N592" s="28"/>
      <c r="O592" s="28"/>
      <c r="P592" s="28"/>
      <c r="Q592" s="28"/>
      <c r="R592" s="28"/>
      <c r="S592" s="28"/>
      <c r="T592" s="28"/>
      <c r="U592" s="28"/>
      <c r="V592" s="28"/>
      <c r="W592" s="28"/>
      <c r="X592" s="28"/>
      <c r="Y592" s="28"/>
      <c r="Z592" s="28"/>
    </row>
    <row r="593" spans="1:26" ht="15.75" customHeight="1" x14ac:dyDescent="0.25">
      <c r="A593" s="41"/>
      <c r="B593" s="125"/>
      <c r="C593" s="42"/>
      <c r="D593" s="25"/>
      <c r="E593" s="25"/>
      <c r="F593" s="28"/>
      <c r="G593" s="28"/>
      <c r="H593" s="3"/>
      <c r="I593" s="28"/>
      <c r="J593" s="28"/>
      <c r="K593" s="28"/>
      <c r="L593" s="28"/>
      <c r="M593" s="28"/>
      <c r="N593" s="28"/>
      <c r="O593" s="28"/>
      <c r="P593" s="28"/>
      <c r="Q593" s="28"/>
      <c r="R593" s="28"/>
      <c r="S593" s="28"/>
      <c r="T593" s="28"/>
      <c r="U593" s="28"/>
      <c r="V593" s="28"/>
      <c r="W593" s="28"/>
      <c r="X593" s="28"/>
      <c r="Y593" s="28"/>
      <c r="Z593" s="28"/>
    </row>
    <row r="594" spans="1:26" ht="15.75" customHeight="1" x14ac:dyDescent="0.25">
      <c r="A594" s="129" t="s">
        <v>86</v>
      </c>
      <c r="B594" s="302" t="s">
        <v>87</v>
      </c>
      <c r="C594" s="51">
        <v>19</v>
      </c>
      <c r="D594" s="47">
        <v>20</v>
      </c>
      <c r="E594" s="47">
        <v>31</v>
      </c>
      <c r="F594" s="28"/>
      <c r="G594" s="28"/>
      <c r="H594" s="3"/>
      <c r="I594" s="28"/>
      <c r="J594" s="28"/>
      <c r="K594" s="28"/>
      <c r="L594" s="28"/>
      <c r="M594" s="28"/>
      <c r="N594" s="28"/>
      <c r="O594" s="28"/>
      <c r="P594" s="28"/>
      <c r="Q594" s="28"/>
      <c r="R594" s="28"/>
      <c r="S594" s="28"/>
      <c r="T594" s="28"/>
      <c r="U594" s="28"/>
      <c r="V594" s="28"/>
      <c r="W594" s="28"/>
      <c r="X594" s="28"/>
      <c r="Y594" s="28"/>
      <c r="Z594" s="28"/>
    </row>
    <row r="595" spans="1:26" ht="15.75" customHeight="1" x14ac:dyDescent="0.25">
      <c r="A595" s="12" t="s">
        <v>88</v>
      </c>
      <c r="B595" s="301"/>
      <c r="C595" s="25">
        <v>20</v>
      </c>
      <c r="D595" s="47">
        <v>25</v>
      </c>
      <c r="E595" s="47">
        <v>35</v>
      </c>
      <c r="F595" s="28"/>
      <c r="G595" s="28"/>
      <c r="H595" s="3"/>
      <c r="I595" s="28"/>
      <c r="J595" s="28"/>
      <c r="K595" s="28"/>
      <c r="L595" s="28"/>
      <c r="M595" s="28"/>
      <c r="N595" s="28"/>
      <c r="O595" s="28"/>
      <c r="P595" s="28"/>
      <c r="Q595" s="28"/>
      <c r="R595" s="28"/>
      <c r="S595" s="28"/>
      <c r="T595" s="28"/>
      <c r="U595" s="28"/>
      <c r="V595" s="28"/>
      <c r="W595" s="28"/>
      <c r="X595" s="28"/>
      <c r="Y595" s="28"/>
      <c r="Z595" s="28"/>
    </row>
    <row r="596" spans="1:26" ht="15.75" customHeight="1" x14ac:dyDescent="0.25">
      <c r="A596" s="132"/>
      <c r="B596" s="133"/>
      <c r="C596" s="133"/>
      <c r="D596" s="133"/>
      <c r="E596" s="133"/>
      <c r="F596" s="28"/>
      <c r="G596" s="28"/>
      <c r="H596" s="3"/>
      <c r="I596" s="28"/>
      <c r="J596" s="28"/>
      <c r="K596" s="28"/>
      <c r="L596" s="28"/>
      <c r="M596" s="28"/>
      <c r="N596" s="28"/>
      <c r="O596" s="28"/>
      <c r="P596" s="28"/>
      <c r="Q596" s="28"/>
      <c r="R596" s="28"/>
      <c r="S596" s="28"/>
      <c r="T596" s="28"/>
      <c r="U596" s="28"/>
      <c r="V596" s="28"/>
      <c r="W596" s="28"/>
      <c r="X596" s="28"/>
      <c r="Y596" s="28"/>
      <c r="Z596" s="28"/>
    </row>
    <row r="597" spans="1:26" ht="15.75" customHeight="1" x14ac:dyDescent="0.25">
      <c r="A597" s="8" t="s">
        <v>89</v>
      </c>
      <c r="B597" s="302" t="s">
        <v>90</v>
      </c>
      <c r="C597" s="25">
        <v>6</v>
      </c>
      <c r="D597" s="47">
        <v>23</v>
      </c>
      <c r="E597" s="47">
        <v>50</v>
      </c>
      <c r="F597" s="28"/>
      <c r="G597" s="28"/>
      <c r="H597" s="3"/>
      <c r="I597" s="28"/>
      <c r="J597" s="28"/>
      <c r="K597" s="28"/>
      <c r="L597" s="28"/>
      <c r="M597" s="28"/>
      <c r="N597" s="28"/>
      <c r="O597" s="28"/>
      <c r="P597" s="28"/>
      <c r="Q597" s="28"/>
      <c r="R597" s="28"/>
      <c r="S597" s="28"/>
      <c r="T597" s="28"/>
      <c r="U597" s="28"/>
      <c r="V597" s="28"/>
      <c r="W597" s="28"/>
      <c r="X597" s="28"/>
      <c r="Y597" s="28"/>
      <c r="Z597" s="28"/>
    </row>
    <row r="598" spans="1:26" ht="15.75" customHeight="1" x14ac:dyDescent="0.25">
      <c r="A598" s="126" t="s">
        <v>91</v>
      </c>
      <c r="B598" s="301"/>
      <c r="C598" s="11">
        <v>16</v>
      </c>
      <c r="D598" s="47">
        <v>122</v>
      </c>
      <c r="E598" s="47">
        <v>212</v>
      </c>
      <c r="F598" s="28"/>
      <c r="G598" s="28"/>
      <c r="H598" s="3"/>
      <c r="I598" s="28"/>
      <c r="J598" s="28"/>
      <c r="K598" s="28"/>
      <c r="L598" s="28"/>
      <c r="M598" s="28"/>
      <c r="N598" s="28"/>
      <c r="O598" s="28"/>
      <c r="P598" s="28"/>
      <c r="Q598" s="28"/>
      <c r="R598" s="28"/>
      <c r="S598" s="28"/>
      <c r="T598" s="28"/>
      <c r="U598" s="28"/>
      <c r="V598" s="28"/>
      <c r="W598" s="28"/>
      <c r="X598" s="28"/>
      <c r="Y598" s="28"/>
      <c r="Z598" s="28"/>
    </row>
    <row r="599" spans="1:26" ht="15.75" customHeight="1" x14ac:dyDescent="0.25">
      <c r="A599" s="135"/>
      <c r="B599" s="136"/>
      <c r="C599" s="136"/>
      <c r="D599" s="25"/>
      <c r="E599" s="25"/>
      <c r="F599" s="28"/>
      <c r="G599" s="28"/>
      <c r="H599" s="3"/>
      <c r="I599" s="28"/>
      <c r="J599" s="28"/>
      <c r="K599" s="28"/>
      <c r="L599" s="28"/>
      <c r="M599" s="28"/>
      <c r="N599" s="28"/>
      <c r="O599" s="28"/>
      <c r="P599" s="28"/>
      <c r="Q599" s="28"/>
      <c r="R599" s="28"/>
      <c r="S599" s="28"/>
      <c r="T599" s="28"/>
      <c r="U599" s="28"/>
      <c r="V599" s="28"/>
      <c r="W599" s="28"/>
      <c r="X599" s="28"/>
      <c r="Y599" s="28"/>
      <c r="Z599" s="28"/>
    </row>
    <row r="600" spans="1:26" ht="15.75" customHeight="1" x14ac:dyDescent="0.25">
      <c r="A600" s="9" t="s">
        <v>94</v>
      </c>
      <c r="B600" s="299" t="s">
        <v>95</v>
      </c>
      <c r="C600" s="47">
        <v>49.666666666666664</v>
      </c>
      <c r="D600" s="47">
        <v>86</v>
      </c>
      <c r="E600" s="47">
        <v>95</v>
      </c>
      <c r="F600" s="28"/>
      <c r="G600" s="28"/>
      <c r="H600" s="3"/>
      <c r="I600" s="28"/>
      <c r="J600" s="28"/>
      <c r="K600" s="28"/>
      <c r="L600" s="28"/>
      <c r="M600" s="28"/>
      <c r="N600" s="28"/>
      <c r="O600" s="28"/>
      <c r="P600" s="28"/>
      <c r="Q600" s="28"/>
      <c r="R600" s="28"/>
      <c r="S600" s="28"/>
      <c r="T600" s="28"/>
      <c r="U600" s="28"/>
      <c r="V600" s="28"/>
      <c r="W600" s="28"/>
      <c r="X600" s="28"/>
      <c r="Y600" s="28"/>
      <c r="Z600" s="28"/>
    </row>
    <row r="601" spans="1:26" ht="15.75" customHeight="1" x14ac:dyDescent="0.25">
      <c r="A601" s="9" t="s">
        <v>96</v>
      </c>
      <c r="B601" s="300"/>
      <c r="C601" s="47">
        <v>122</v>
      </c>
      <c r="D601" s="47">
        <v>143</v>
      </c>
      <c r="E601" s="47">
        <v>140</v>
      </c>
      <c r="F601" s="28"/>
      <c r="G601" s="28"/>
      <c r="H601" s="3"/>
      <c r="I601" s="28"/>
      <c r="J601" s="28"/>
      <c r="K601" s="28"/>
      <c r="L601" s="28"/>
      <c r="M601" s="28"/>
      <c r="N601" s="28"/>
      <c r="O601" s="28"/>
      <c r="P601" s="28"/>
      <c r="Q601" s="28"/>
      <c r="R601" s="28"/>
      <c r="S601" s="28"/>
      <c r="T601" s="28"/>
      <c r="U601" s="28"/>
      <c r="V601" s="28"/>
      <c r="W601" s="28"/>
      <c r="X601" s="28"/>
      <c r="Y601" s="28"/>
      <c r="Z601" s="28"/>
    </row>
    <row r="602" spans="1:26" ht="15.75" customHeight="1" x14ac:dyDescent="0.25">
      <c r="A602" s="9" t="s">
        <v>97</v>
      </c>
      <c r="B602" s="300"/>
      <c r="C602" s="47">
        <v>130</v>
      </c>
      <c r="D602" s="47">
        <v>138</v>
      </c>
      <c r="E602" s="47">
        <v>134</v>
      </c>
      <c r="F602" s="28"/>
      <c r="G602" s="28"/>
      <c r="H602" s="3"/>
      <c r="I602" s="28"/>
      <c r="J602" s="28"/>
      <c r="K602" s="28"/>
      <c r="L602" s="28"/>
      <c r="M602" s="28"/>
      <c r="N602" s="28"/>
      <c r="O602" s="28"/>
      <c r="P602" s="28"/>
      <c r="Q602" s="28"/>
      <c r="R602" s="28"/>
      <c r="S602" s="28"/>
      <c r="T602" s="28"/>
      <c r="U602" s="28"/>
      <c r="V602" s="28"/>
      <c r="W602" s="28"/>
      <c r="X602" s="28"/>
      <c r="Y602" s="28"/>
      <c r="Z602" s="28"/>
    </row>
    <row r="603" spans="1:26" ht="15.75" customHeight="1" x14ac:dyDescent="0.25">
      <c r="A603" s="9" t="s">
        <v>98</v>
      </c>
      <c r="B603" s="300"/>
      <c r="C603" s="47">
        <v>142</v>
      </c>
      <c r="D603" s="47">
        <v>153</v>
      </c>
      <c r="E603" s="47">
        <v>150</v>
      </c>
      <c r="F603" s="28"/>
      <c r="G603" s="28"/>
      <c r="H603" s="3"/>
      <c r="I603" s="28"/>
      <c r="J603" s="28"/>
      <c r="K603" s="28"/>
      <c r="L603" s="28"/>
      <c r="M603" s="28"/>
      <c r="N603" s="28"/>
      <c r="O603" s="28"/>
      <c r="P603" s="28"/>
      <c r="Q603" s="28"/>
      <c r="R603" s="28"/>
      <c r="S603" s="28"/>
      <c r="T603" s="28"/>
      <c r="U603" s="28"/>
      <c r="V603" s="28"/>
      <c r="W603" s="28"/>
      <c r="X603" s="28"/>
      <c r="Y603" s="28"/>
      <c r="Z603" s="28"/>
    </row>
    <row r="604" spans="1:26" ht="15.75" customHeight="1" x14ac:dyDescent="0.25">
      <c r="A604" s="9" t="s">
        <v>99</v>
      </c>
      <c r="B604" s="301"/>
      <c r="C604" s="47">
        <v>146</v>
      </c>
      <c r="D604" s="47">
        <v>167</v>
      </c>
      <c r="E604" s="47">
        <v>163</v>
      </c>
      <c r="F604" s="28"/>
      <c r="G604" s="28"/>
      <c r="H604" s="3"/>
      <c r="I604" s="28"/>
      <c r="J604" s="28"/>
      <c r="K604" s="28"/>
      <c r="L604" s="28"/>
      <c r="M604" s="28"/>
      <c r="N604" s="28"/>
      <c r="O604" s="28"/>
      <c r="P604" s="28"/>
      <c r="Q604" s="28"/>
      <c r="R604" s="28"/>
      <c r="S604" s="28"/>
      <c r="T604" s="28"/>
      <c r="U604" s="28"/>
      <c r="V604" s="28"/>
      <c r="W604" s="28"/>
      <c r="X604" s="28"/>
      <c r="Y604" s="28"/>
      <c r="Z604" s="28"/>
    </row>
    <row r="605" spans="1:26" ht="15.75" customHeight="1" x14ac:dyDescent="0.25">
      <c r="A605" s="28"/>
      <c r="B605" s="28"/>
      <c r="C605" s="28"/>
      <c r="D605" s="28"/>
      <c r="E605" s="28"/>
      <c r="F605" s="28"/>
      <c r="G605" s="123"/>
      <c r="H605" s="28"/>
      <c r="I605" s="28"/>
      <c r="J605" s="28"/>
      <c r="K605" s="28"/>
      <c r="L605" s="28"/>
      <c r="M605" s="28"/>
      <c r="N605" s="28"/>
      <c r="O605" s="28"/>
      <c r="P605" s="28"/>
      <c r="Q605" s="28"/>
      <c r="R605" s="28"/>
      <c r="S605" s="28"/>
      <c r="T605" s="28"/>
      <c r="U605" s="28"/>
      <c r="V605" s="28"/>
      <c r="W605" s="28"/>
      <c r="X605" s="28"/>
      <c r="Y605" s="28"/>
      <c r="Z605" s="28"/>
    </row>
    <row r="606" spans="1:26" ht="15.75" customHeight="1" x14ac:dyDescent="0.25">
      <c r="A606" s="28"/>
      <c r="B606" s="28"/>
      <c r="C606" s="28"/>
      <c r="D606" s="28"/>
      <c r="E606" s="28"/>
      <c r="F606" s="28"/>
      <c r="G606" s="123"/>
      <c r="H606" s="28"/>
      <c r="I606" s="28"/>
      <c r="J606" s="28"/>
      <c r="K606" s="28"/>
      <c r="L606" s="28"/>
      <c r="M606" s="28"/>
      <c r="N606" s="28"/>
      <c r="O606" s="28"/>
      <c r="P606" s="28"/>
      <c r="Q606" s="28"/>
      <c r="R606" s="28"/>
      <c r="S606" s="28"/>
      <c r="T606" s="28"/>
      <c r="U606" s="28"/>
      <c r="V606" s="28"/>
      <c r="W606" s="28"/>
      <c r="X606" s="28"/>
      <c r="Y606" s="28"/>
      <c r="Z606" s="28"/>
    </row>
    <row r="607" spans="1:26" ht="15.75" customHeight="1" x14ac:dyDescent="0.25">
      <c r="G607" s="123"/>
    </row>
    <row r="608" spans="1:26" ht="15.75" customHeight="1" x14ac:dyDescent="0.25">
      <c r="A608" s="304" t="s">
        <v>603</v>
      </c>
      <c r="B608" s="297"/>
      <c r="C608" s="297"/>
      <c r="D608" s="297"/>
      <c r="E608" s="298"/>
      <c r="G608" s="123"/>
    </row>
    <row r="609" spans="1:7" ht="15.75" customHeight="1" x14ac:dyDescent="0.25">
      <c r="A609" s="4" t="s">
        <v>0</v>
      </c>
      <c r="B609" s="5" t="s">
        <v>1</v>
      </c>
      <c r="C609" s="5" t="s">
        <v>2</v>
      </c>
      <c r="D609" s="5" t="s">
        <v>43</v>
      </c>
      <c r="E609" s="45" t="s">
        <v>125</v>
      </c>
      <c r="G609" s="123"/>
    </row>
    <row r="610" spans="1:7" ht="15.75" customHeight="1" x14ac:dyDescent="0.25">
      <c r="A610" s="9" t="s">
        <v>7</v>
      </c>
      <c r="B610" s="302" t="s">
        <v>9</v>
      </c>
      <c r="C610" s="47">
        <v>28.1</v>
      </c>
      <c r="D610" s="47"/>
      <c r="E610" s="47"/>
      <c r="G610" s="123"/>
    </row>
    <row r="611" spans="1:7" ht="15.75" customHeight="1" x14ac:dyDescent="0.25">
      <c r="A611" s="9" t="s">
        <v>17</v>
      </c>
      <c r="B611" s="300"/>
      <c r="C611" s="47">
        <v>63.911000000000001</v>
      </c>
      <c r="D611" s="47"/>
      <c r="E611" s="47"/>
      <c r="G611" s="123"/>
    </row>
    <row r="612" spans="1:7" ht="15.75" customHeight="1" x14ac:dyDescent="0.25">
      <c r="A612" s="9" t="s">
        <v>26</v>
      </c>
      <c r="B612" s="300"/>
      <c r="C612" s="47">
        <v>69.921999999999997</v>
      </c>
      <c r="D612" s="47"/>
      <c r="E612" s="47"/>
      <c r="G612" s="123"/>
    </row>
    <row r="613" spans="1:7" ht="15.75" customHeight="1" x14ac:dyDescent="0.25">
      <c r="A613" s="9" t="s">
        <v>32</v>
      </c>
      <c r="B613" s="300"/>
      <c r="C613" s="47">
        <v>96.744</v>
      </c>
      <c r="D613" s="47"/>
      <c r="E613" s="47"/>
      <c r="G613" s="123"/>
    </row>
    <row r="614" spans="1:7" ht="15.75" customHeight="1" x14ac:dyDescent="0.25">
      <c r="A614" s="9" t="s">
        <v>33</v>
      </c>
      <c r="B614" s="301"/>
      <c r="C614" s="47">
        <v>128.11000000000001</v>
      </c>
      <c r="D614" s="47"/>
      <c r="E614" s="47"/>
      <c r="G614" s="123"/>
    </row>
    <row r="615" spans="1:7" ht="15.75" customHeight="1" x14ac:dyDescent="0.25">
      <c r="A615" s="41"/>
      <c r="B615" s="125"/>
      <c r="C615" s="42"/>
      <c r="D615" s="25"/>
      <c r="E615" s="25"/>
      <c r="G615" s="123"/>
    </row>
    <row r="616" spans="1:7" ht="15.75" customHeight="1" x14ac:dyDescent="0.25">
      <c r="A616" s="126" t="s">
        <v>35</v>
      </c>
      <c r="B616" s="302" t="s">
        <v>36</v>
      </c>
      <c r="C616" s="47">
        <v>207.78</v>
      </c>
      <c r="D616" s="47">
        <v>298</v>
      </c>
      <c r="E616" s="47"/>
      <c r="G616" s="123"/>
    </row>
    <row r="617" spans="1:7" ht="15.75" customHeight="1" x14ac:dyDescent="0.25">
      <c r="A617" s="126" t="s">
        <v>37</v>
      </c>
      <c r="B617" s="300"/>
      <c r="C617" s="47">
        <v>444.11</v>
      </c>
      <c r="D617" s="47">
        <v>397</v>
      </c>
      <c r="E617" s="47"/>
      <c r="G617" s="123"/>
    </row>
    <row r="618" spans="1:7" ht="15.75" customHeight="1" x14ac:dyDescent="0.25">
      <c r="A618" s="126" t="s">
        <v>38</v>
      </c>
      <c r="B618" s="300"/>
      <c r="C618" s="47">
        <v>579.55999999999995</v>
      </c>
      <c r="D618" s="47">
        <v>584</v>
      </c>
      <c r="E618" s="47"/>
      <c r="G618" s="123"/>
    </row>
    <row r="619" spans="1:7" ht="15.75" customHeight="1" x14ac:dyDescent="0.25">
      <c r="A619" s="129" t="s">
        <v>39</v>
      </c>
      <c r="B619" s="300"/>
      <c r="C619" s="50">
        <v>746.22</v>
      </c>
      <c r="D619" s="47">
        <v>703</v>
      </c>
      <c r="E619" s="47"/>
      <c r="G619" s="123"/>
    </row>
    <row r="620" spans="1:7" ht="15.75" customHeight="1" x14ac:dyDescent="0.25">
      <c r="A620" s="12" t="s">
        <v>41</v>
      </c>
      <c r="B620" s="301"/>
      <c r="C620" s="71">
        <v>869.5</v>
      </c>
      <c r="D620" s="47">
        <v>830</v>
      </c>
      <c r="E620" s="47"/>
      <c r="G620" s="123"/>
    </row>
    <row r="621" spans="1:7" ht="15.75" customHeight="1" x14ac:dyDescent="0.25">
      <c r="A621" s="130"/>
      <c r="B621" s="131"/>
      <c r="C621" s="131"/>
      <c r="D621" s="131"/>
      <c r="E621" s="131"/>
      <c r="G621" s="123"/>
    </row>
    <row r="622" spans="1:7" ht="15.75" customHeight="1" x14ac:dyDescent="0.25">
      <c r="A622" s="9" t="s">
        <v>46</v>
      </c>
      <c r="B622" s="299" t="s">
        <v>47</v>
      </c>
      <c r="C622" s="11">
        <v>88.4</v>
      </c>
      <c r="D622" s="47"/>
      <c r="E622" s="47"/>
      <c r="G622" s="123"/>
    </row>
    <row r="623" spans="1:7" ht="15.75" customHeight="1" x14ac:dyDescent="0.25">
      <c r="A623" s="9" t="s">
        <v>48</v>
      </c>
      <c r="B623" s="300"/>
      <c r="C623" s="11">
        <v>94.6</v>
      </c>
      <c r="D623" s="47"/>
      <c r="E623" s="47"/>
      <c r="G623" s="123"/>
    </row>
    <row r="624" spans="1:7" ht="15.75" customHeight="1" x14ac:dyDescent="0.25">
      <c r="A624" s="41"/>
      <c r="B624" s="125"/>
      <c r="C624" s="42"/>
      <c r="D624" s="42"/>
      <c r="E624" s="42"/>
      <c r="G624" s="123"/>
    </row>
    <row r="625" spans="1:7" ht="15.75" customHeight="1" x14ac:dyDescent="0.25">
      <c r="A625" s="126" t="s">
        <v>50</v>
      </c>
      <c r="B625" s="302" t="s">
        <v>51</v>
      </c>
      <c r="C625" s="47">
        <v>271.44</v>
      </c>
      <c r="D625" s="47">
        <v>381</v>
      </c>
      <c r="E625" s="47"/>
      <c r="G625" s="123"/>
    </row>
    <row r="626" spans="1:7" ht="15.75" customHeight="1" x14ac:dyDescent="0.25">
      <c r="A626" s="126" t="s">
        <v>54</v>
      </c>
      <c r="B626" s="300"/>
      <c r="C626" s="47">
        <v>550.22199999999998</v>
      </c>
      <c r="D626" s="47">
        <v>511</v>
      </c>
      <c r="E626" s="47"/>
      <c r="G626" s="123"/>
    </row>
    <row r="627" spans="1:7" ht="15.75" customHeight="1" x14ac:dyDescent="0.25">
      <c r="A627" s="126" t="s">
        <v>55</v>
      </c>
      <c r="B627" s="300"/>
      <c r="C627" s="47">
        <v>746.8</v>
      </c>
      <c r="D627" s="47">
        <v>668</v>
      </c>
      <c r="E627" s="47"/>
      <c r="G627" s="123"/>
    </row>
    <row r="628" spans="1:7" ht="15.75" customHeight="1" x14ac:dyDescent="0.25">
      <c r="A628" s="129" t="s">
        <v>56</v>
      </c>
      <c r="B628" s="300"/>
      <c r="C628" s="50">
        <v>768.33333333333337</v>
      </c>
      <c r="D628" s="47">
        <v>765</v>
      </c>
      <c r="E628" s="47"/>
      <c r="G628" s="123"/>
    </row>
    <row r="629" spans="1:7" ht="15.75" customHeight="1" x14ac:dyDescent="0.25">
      <c r="A629" s="8" t="s">
        <v>57</v>
      </c>
      <c r="B629" s="301"/>
      <c r="C629" s="71">
        <v>609</v>
      </c>
      <c r="D629" s="47">
        <v>710</v>
      </c>
      <c r="E629" s="47"/>
      <c r="G629" s="123"/>
    </row>
    <row r="630" spans="1:7" ht="15.75" customHeight="1" x14ac:dyDescent="0.25">
      <c r="A630" s="130"/>
      <c r="B630" s="131"/>
      <c r="C630" s="131"/>
      <c r="D630" s="131"/>
      <c r="E630" s="131"/>
      <c r="G630" s="123"/>
    </row>
    <row r="631" spans="1:7" ht="15.75" customHeight="1" x14ac:dyDescent="0.25">
      <c r="A631" s="9" t="s">
        <v>60</v>
      </c>
      <c r="B631" s="299" t="s">
        <v>62</v>
      </c>
      <c r="C631" s="47">
        <v>19.741666666666667</v>
      </c>
      <c r="D631" s="53"/>
      <c r="E631" s="53"/>
      <c r="G631" s="123"/>
    </row>
    <row r="632" spans="1:7" ht="15.75" customHeight="1" x14ac:dyDescent="0.25">
      <c r="A632" s="9" t="s">
        <v>65</v>
      </c>
      <c r="B632" s="300"/>
      <c r="C632" s="11">
        <v>42</v>
      </c>
      <c r="D632" s="54"/>
      <c r="E632" s="54"/>
      <c r="G632" s="123"/>
    </row>
    <row r="633" spans="1:7" ht="15.75" customHeight="1" x14ac:dyDescent="0.25">
      <c r="A633" s="9" t="s">
        <v>64</v>
      </c>
      <c r="B633" s="301"/>
      <c r="C633" s="11">
        <v>42</v>
      </c>
      <c r="D633" s="54"/>
      <c r="E633" s="54"/>
      <c r="G633" s="123"/>
    </row>
    <row r="634" spans="1:7" ht="15.75" customHeight="1" x14ac:dyDescent="0.25">
      <c r="A634" s="41"/>
      <c r="B634" s="125"/>
      <c r="C634" s="42"/>
      <c r="D634" s="25"/>
      <c r="E634" s="25"/>
      <c r="G634" s="123"/>
    </row>
    <row r="635" spans="1:7" ht="15.75" customHeight="1" x14ac:dyDescent="0.25">
      <c r="A635" s="129" t="s">
        <v>66</v>
      </c>
      <c r="B635" s="302" t="s">
        <v>68</v>
      </c>
      <c r="C635" s="50">
        <v>204.5</v>
      </c>
      <c r="D635" s="47">
        <v>203</v>
      </c>
      <c r="E635" s="47"/>
      <c r="G635" s="123"/>
    </row>
    <row r="636" spans="1:7" ht="15.75" customHeight="1" x14ac:dyDescent="0.25">
      <c r="A636" s="12" t="s">
        <v>69</v>
      </c>
      <c r="B636" s="301"/>
      <c r="C636" s="71">
        <v>277.7</v>
      </c>
      <c r="D636" s="47">
        <v>280</v>
      </c>
      <c r="E636" s="47"/>
      <c r="G636" s="123"/>
    </row>
    <row r="637" spans="1:7" ht="15.75" customHeight="1" x14ac:dyDescent="0.25">
      <c r="A637" s="132"/>
      <c r="B637" s="133"/>
      <c r="C637" s="133"/>
      <c r="D637" s="133"/>
      <c r="E637" s="133"/>
      <c r="G637" s="123"/>
    </row>
    <row r="638" spans="1:7" ht="15.75" customHeight="1" x14ac:dyDescent="0.25">
      <c r="A638" s="56" t="s">
        <v>69</v>
      </c>
      <c r="B638" s="303" t="s">
        <v>71</v>
      </c>
      <c r="C638" s="47">
        <v>12</v>
      </c>
      <c r="D638" s="47"/>
      <c r="E638" s="47"/>
      <c r="G638" s="123"/>
    </row>
    <row r="639" spans="1:7" ht="15.75" customHeight="1" x14ac:dyDescent="0.25">
      <c r="A639" s="56" t="s">
        <v>72</v>
      </c>
      <c r="B639" s="300"/>
      <c r="C639" s="47">
        <v>14</v>
      </c>
      <c r="D639" s="47"/>
      <c r="E639" s="47"/>
      <c r="G639" s="123"/>
    </row>
    <row r="640" spans="1:7" ht="15.75" customHeight="1" x14ac:dyDescent="0.25">
      <c r="A640" s="56" t="s">
        <v>73</v>
      </c>
      <c r="B640" s="301"/>
      <c r="C640" s="47">
        <v>17.43333333333333</v>
      </c>
      <c r="D640" s="47"/>
      <c r="E640" s="47"/>
      <c r="G640" s="123"/>
    </row>
    <row r="641" spans="1:7" ht="15.75" customHeight="1" x14ac:dyDescent="0.25">
      <c r="A641" s="92"/>
      <c r="B641" s="69"/>
      <c r="C641" s="69"/>
      <c r="D641" s="25"/>
      <c r="E641" s="25"/>
      <c r="G641" s="123"/>
    </row>
    <row r="642" spans="1:7" ht="15.75" customHeight="1" x14ac:dyDescent="0.25">
      <c r="A642" s="56" t="s">
        <v>80</v>
      </c>
      <c r="B642" s="309" t="s">
        <v>77</v>
      </c>
      <c r="C642" s="47">
        <v>117</v>
      </c>
      <c r="D642" s="47">
        <v>132</v>
      </c>
      <c r="E642" s="47"/>
      <c r="G642" s="123"/>
    </row>
    <row r="643" spans="1:7" ht="15.75" customHeight="1" x14ac:dyDescent="0.25">
      <c r="A643" s="56" t="s">
        <v>78</v>
      </c>
      <c r="B643" s="300"/>
      <c r="C643" s="47">
        <v>188</v>
      </c>
      <c r="D643" s="47">
        <v>199</v>
      </c>
      <c r="E643" s="47"/>
      <c r="G643" s="123"/>
    </row>
    <row r="644" spans="1:7" ht="15.75" customHeight="1" x14ac:dyDescent="0.25">
      <c r="A644" s="56" t="s">
        <v>76</v>
      </c>
      <c r="B644" s="300"/>
      <c r="C644" s="50">
        <v>218</v>
      </c>
      <c r="D644" s="47">
        <v>218</v>
      </c>
      <c r="E644" s="47"/>
      <c r="G644" s="123"/>
    </row>
    <row r="645" spans="1:7" ht="15.75" customHeight="1" x14ac:dyDescent="0.25">
      <c r="A645" s="57" t="s">
        <v>79</v>
      </c>
      <c r="B645" s="300"/>
      <c r="C645" s="134">
        <v>239</v>
      </c>
      <c r="D645" s="47">
        <v>239</v>
      </c>
      <c r="E645" s="47"/>
      <c r="G645" s="123"/>
    </row>
    <row r="646" spans="1:7" ht="15.75" customHeight="1" x14ac:dyDescent="0.25">
      <c r="A646" s="132"/>
      <c r="B646" s="133"/>
      <c r="C646" s="133"/>
      <c r="D646" s="133"/>
      <c r="E646" s="133"/>
      <c r="G646" s="123"/>
    </row>
    <row r="647" spans="1:7" ht="15.75" customHeight="1" x14ac:dyDescent="0.25">
      <c r="A647" s="9" t="s">
        <v>81</v>
      </c>
      <c r="B647" s="299" t="s">
        <v>82</v>
      </c>
      <c r="C647" s="11">
        <v>2</v>
      </c>
      <c r="D647" s="47"/>
      <c r="E647" s="47"/>
      <c r="G647" s="123"/>
    </row>
    <row r="648" spans="1:7" ht="15.75" customHeight="1" x14ac:dyDescent="0.25">
      <c r="A648" s="9" t="s">
        <v>83</v>
      </c>
      <c r="B648" s="300"/>
      <c r="C648" s="11">
        <v>7.133</v>
      </c>
      <c r="D648" s="47"/>
      <c r="E648" s="47"/>
      <c r="G648" s="123"/>
    </row>
    <row r="649" spans="1:7" ht="15.75" customHeight="1" x14ac:dyDescent="0.25">
      <c r="A649" s="9" t="s">
        <v>155</v>
      </c>
      <c r="B649" s="301"/>
      <c r="C649" s="11">
        <v>10.72</v>
      </c>
      <c r="D649" s="47"/>
      <c r="E649" s="47"/>
      <c r="G649" s="123"/>
    </row>
    <row r="650" spans="1:7" ht="15.75" customHeight="1" x14ac:dyDescent="0.25">
      <c r="A650" s="41"/>
      <c r="B650" s="125"/>
      <c r="C650" s="42"/>
      <c r="D650" s="25"/>
      <c r="E650" s="25"/>
      <c r="G650" s="123"/>
    </row>
    <row r="651" spans="1:7" ht="15.75" customHeight="1" x14ac:dyDescent="0.25">
      <c r="A651" s="129" t="s">
        <v>86</v>
      </c>
      <c r="B651" s="302" t="s">
        <v>87</v>
      </c>
      <c r="C651" s="51">
        <v>19</v>
      </c>
      <c r="D651" s="47">
        <v>31</v>
      </c>
      <c r="E651" s="47"/>
      <c r="G651" s="123"/>
    </row>
    <row r="652" spans="1:7" ht="15.75" customHeight="1" x14ac:dyDescent="0.25">
      <c r="A652" s="12" t="s">
        <v>88</v>
      </c>
      <c r="B652" s="301"/>
      <c r="C652" s="25">
        <v>20</v>
      </c>
      <c r="D652" s="47">
        <v>32</v>
      </c>
      <c r="E652" s="47"/>
      <c r="G652" s="123"/>
    </row>
    <row r="653" spans="1:7" ht="15.75" customHeight="1" x14ac:dyDescent="0.25">
      <c r="A653" s="132"/>
      <c r="B653" s="133"/>
      <c r="C653" s="133"/>
      <c r="D653" s="133"/>
      <c r="E653" s="133"/>
      <c r="G653" s="123"/>
    </row>
    <row r="654" spans="1:7" ht="15.75" customHeight="1" x14ac:dyDescent="0.25">
      <c r="A654" s="8" t="s">
        <v>89</v>
      </c>
      <c r="B654" s="302" t="s">
        <v>90</v>
      </c>
      <c r="C654" s="25">
        <v>6</v>
      </c>
      <c r="D654" s="47"/>
      <c r="E654" s="47"/>
      <c r="G654" s="123"/>
    </row>
    <row r="655" spans="1:7" ht="15.75" customHeight="1" x14ac:dyDescent="0.25">
      <c r="A655" s="126" t="s">
        <v>91</v>
      </c>
      <c r="B655" s="301"/>
      <c r="C655" s="11">
        <v>16</v>
      </c>
      <c r="D655" s="47"/>
      <c r="E655" s="47"/>
      <c r="G655" s="123"/>
    </row>
    <row r="656" spans="1:7" ht="15.75" customHeight="1" x14ac:dyDescent="0.25">
      <c r="A656" s="135"/>
      <c r="B656" s="136"/>
      <c r="C656" s="136"/>
      <c r="D656" s="25"/>
      <c r="E656" s="25"/>
      <c r="G656" s="123"/>
    </row>
    <row r="657" spans="1:7" ht="15.75" customHeight="1" x14ac:dyDescent="0.25">
      <c r="A657" s="9" t="s">
        <v>94</v>
      </c>
      <c r="B657" s="299" t="s">
        <v>95</v>
      </c>
      <c r="C657" s="47">
        <v>49.666666666666664</v>
      </c>
      <c r="D657" s="47">
        <v>83</v>
      </c>
      <c r="E657" s="47"/>
      <c r="G657" s="123"/>
    </row>
    <row r="658" spans="1:7" ht="15.75" customHeight="1" x14ac:dyDescent="0.25">
      <c r="A658" s="9" t="s">
        <v>96</v>
      </c>
      <c r="B658" s="300"/>
      <c r="C658" s="47">
        <v>122</v>
      </c>
      <c r="D658" s="47">
        <v>144</v>
      </c>
      <c r="E658" s="47"/>
      <c r="G658" s="123"/>
    </row>
    <row r="659" spans="1:7" ht="15.75" customHeight="1" x14ac:dyDescent="0.25">
      <c r="A659" s="9" t="s">
        <v>97</v>
      </c>
      <c r="B659" s="300"/>
      <c r="C659" s="47">
        <v>130</v>
      </c>
      <c r="D659" s="47">
        <v>125</v>
      </c>
      <c r="E659" s="47"/>
      <c r="G659" s="123"/>
    </row>
    <row r="660" spans="1:7" ht="15.75" customHeight="1" x14ac:dyDescent="0.25">
      <c r="A660" s="9" t="s">
        <v>98</v>
      </c>
      <c r="B660" s="300"/>
      <c r="C660" s="47">
        <v>142</v>
      </c>
      <c r="D660" s="47">
        <v>151</v>
      </c>
      <c r="E660" s="47"/>
      <c r="G660" s="123"/>
    </row>
    <row r="661" spans="1:7" ht="15.75" customHeight="1" x14ac:dyDescent="0.25">
      <c r="A661" s="9" t="s">
        <v>99</v>
      </c>
      <c r="B661" s="301"/>
      <c r="C661" s="47">
        <v>146</v>
      </c>
      <c r="D661" s="47">
        <v>164</v>
      </c>
      <c r="E661" s="47"/>
      <c r="G661" s="123"/>
    </row>
    <row r="662" spans="1:7" ht="15.75" customHeight="1" x14ac:dyDescent="0.25">
      <c r="G662" s="123"/>
    </row>
    <row r="663" spans="1:7" ht="15.75" customHeight="1" x14ac:dyDescent="0.25">
      <c r="G663" s="123"/>
    </row>
    <row r="664" spans="1:7" ht="15.75" customHeight="1" x14ac:dyDescent="0.25">
      <c r="G664" s="123"/>
    </row>
    <row r="665" spans="1:7" ht="15.75" customHeight="1" x14ac:dyDescent="0.25">
      <c r="G665" s="123"/>
    </row>
    <row r="666" spans="1:7" ht="15.75" customHeight="1" x14ac:dyDescent="0.25">
      <c r="G666" s="123"/>
    </row>
    <row r="667" spans="1:7" ht="15.75" customHeight="1" x14ac:dyDescent="0.25">
      <c r="G667" s="123"/>
    </row>
    <row r="668" spans="1:7" ht="15.75" customHeight="1" x14ac:dyDescent="0.25">
      <c r="G668" s="123"/>
    </row>
    <row r="669" spans="1:7" ht="15.75" customHeight="1" x14ac:dyDescent="0.25">
      <c r="G669" s="123"/>
    </row>
    <row r="670" spans="1:7" ht="15.75" customHeight="1" x14ac:dyDescent="0.25">
      <c r="G670" s="123"/>
    </row>
    <row r="671" spans="1:7" ht="15.75" customHeight="1" x14ac:dyDescent="0.25">
      <c r="G671" s="123"/>
    </row>
    <row r="672" spans="1:7" ht="15.75" customHeight="1" x14ac:dyDescent="0.25">
      <c r="G672" s="123"/>
    </row>
    <row r="673" spans="7:7" ht="15.75" customHeight="1" x14ac:dyDescent="0.25">
      <c r="G673" s="123"/>
    </row>
    <row r="674" spans="7:7" ht="15.75" customHeight="1" x14ac:dyDescent="0.25">
      <c r="G674" s="123"/>
    </row>
    <row r="675" spans="7:7" ht="15.75" customHeight="1" x14ac:dyDescent="0.25">
      <c r="G675" s="123"/>
    </row>
    <row r="676" spans="7:7" ht="15.75" customHeight="1" x14ac:dyDescent="0.25">
      <c r="G676" s="123"/>
    </row>
    <row r="677" spans="7:7" ht="15.75" customHeight="1" x14ac:dyDescent="0.25">
      <c r="G677" s="123"/>
    </row>
    <row r="678" spans="7:7" ht="15.75" customHeight="1" x14ac:dyDescent="0.25">
      <c r="G678" s="123"/>
    </row>
    <row r="679" spans="7:7" ht="15.75" customHeight="1" x14ac:dyDescent="0.25">
      <c r="G679" s="123"/>
    </row>
    <row r="680" spans="7:7" ht="15.75" customHeight="1" x14ac:dyDescent="0.25">
      <c r="G680" s="123"/>
    </row>
    <row r="681" spans="7:7" ht="15.75" customHeight="1" x14ac:dyDescent="0.25">
      <c r="G681" s="123"/>
    </row>
    <row r="682" spans="7:7" ht="15.75" customHeight="1" x14ac:dyDescent="0.25">
      <c r="G682" s="123"/>
    </row>
    <row r="683" spans="7:7" ht="15.75" customHeight="1" x14ac:dyDescent="0.25">
      <c r="G683" s="123"/>
    </row>
    <row r="684" spans="7:7" ht="15.75" customHeight="1" x14ac:dyDescent="0.25">
      <c r="G684" s="123"/>
    </row>
    <row r="685" spans="7:7" ht="15.75" customHeight="1" x14ac:dyDescent="0.25">
      <c r="G685" s="123"/>
    </row>
    <row r="686" spans="7:7" ht="15.75" customHeight="1" x14ac:dyDescent="0.25">
      <c r="G686" s="123"/>
    </row>
    <row r="687" spans="7:7" ht="15.75" customHeight="1" x14ac:dyDescent="0.25">
      <c r="G687" s="123"/>
    </row>
    <row r="688" spans="7:7" ht="15.75" customHeight="1" x14ac:dyDescent="0.25">
      <c r="G688" s="123"/>
    </row>
    <row r="689" spans="7:7" ht="15.75" customHeight="1" x14ac:dyDescent="0.25">
      <c r="G689" s="123"/>
    </row>
    <row r="690" spans="7:7" ht="15.75" customHeight="1" x14ac:dyDescent="0.25">
      <c r="G690" s="123"/>
    </row>
    <row r="691" spans="7:7" ht="15.75" customHeight="1" x14ac:dyDescent="0.25">
      <c r="G691" s="123"/>
    </row>
    <row r="692" spans="7:7" ht="15.75" customHeight="1" x14ac:dyDescent="0.25">
      <c r="G692" s="123"/>
    </row>
    <row r="693" spans="7:7" ht="15.75" customHeight="1" x14ac:dyDescent="0.25">
      <c r="G693" s="123"/>
    </row>
    <row r="694" spans="7:7" ht="15.75" customHeight="1" x14ac:dyDescent="0.25">
      <c r="G694" s="123"/>
    </row>
    <row r="695" spans="7:7" ht="15.75" customHeight="1" x14ac:dyDescent="0.25">
      <c r="G695" s="123"/>
    </row>
    <row r="696" spans="7:7" ht="15.75" customHeight="1" x14ac:dyDescent="0.25">
      <c r="G696" s="123"/>
    </row>
    <row r="697" spans="7:7" ht="15.75" customHeight="1" x14ac:dyDescent="0.25">
      <c r="G697" s="123"/>
    </row>
    <row r="698" spans="7:7" ht="15.75" customHeight="1" x14ac:dyDescent="0.25">
      <c r="G698" s="123"/>
    </row>
    <row r="699" spans="7:7" ht="15.75" customHeight="1" x14ac:dyDescent="0.25">
      <c r="G699" s="123"/>
    </row>
    <row r="700" spans="7:7" ht="15.75" customHeight="1" x14ac:dyDescent="0.25">
      <c r="G700" s="123"/>
    </row>
    <row r="701" spans="7:7" ht="15.75" customHeight="1" x14ac:dyDescent="0.25">
      <c r="G701" s="123"/>
    </row>
    <row r="702" spans="7:7" ht="15.75" customHeight="1" x14ac:dyDescent="0.25">
      <c r="G702" s="123"/>
    </row>
    <row r="703" spans="7:7" ht="15.75" customHeight="1" x14ac:dyDescent="0.25">
      <c r="G703" s="123"/>
    </row>
    <row r="704" spans="7:7" ht="15.75" customHeight="1" x14ac:dyDescent="0.25">
      <c r="G704" s="123"/>
    </row>
    <row r="705" spans="7:7" ht="15.75" customHeight="1" x14ac:dyDescent="0.25">
      <c r="G705" s="123"/>
    </row>
    <row r="706" spans="7:7" ht="15.75" customHeight="1" x14ac:dyDescent="0.25">
      <c r="G706" s="123"/>
    </row>
    <row r="707" spans="7:7" ht="15.75" customHeight="1" x14ac:dyDescent="0.25">
      <c r="G707" s="123"/>
    </row>
    <row r="708" spans="7:7" ht="15.75" customHeight="1" x14ac:dyDescent="0.25">
      <c r="G708" s="123"/>
    </row>
    <row r="709" spans="7:7" ht="15.75" customHeight="1" x14ac:dyDescent="0.25">
      <c r="G709" s="123"/>
    </row>
    <row r="710" spans="7:7" ht="15.75" customHeight="1" x14ac:dyDescent="0.25">
      <c r="G710" s="123"/>
    </row>
    <row r="711" spans="7:7" ht="15.75" customHeight="1" x14ac:dyDescent="0.25">
      <c r="G711" s="123"/>
    </row>
    <row r="712" spans="7:7" ht="15.75" customHeight="1" x14ac:dyDescent="0.25">
      <c r="G712" s="123"/>
    </row>
    <row r="713" spans="7:7" ht="15.75" customHeight="1" x14ac:dyDescent="0.25">
      <c r="G713" s="123"/>
    </row>
    <row r="714" spans="7:7" ht="15.75" customHeight="1" x14ac:dyDescent="0.25">
      <c r="G714" s="123"/>
    </row>
    <row r="715" spans="7:7" ht="15.75" customHeight="1" x14ac:dyDescent="0.25">
      <c r="G715" s="123"/>
    </row>
    <row r="716" spans="7:7" ht="15.75" customHeight="1" x14ac:dyDescent="0.25">
      <c r="G716" s="123"/>
    </row>
    <row r="717" spans="7:7" ht="15.75" customHeight="1" x14ac:dyDescent="0.25">
      <c r="G717" s="123"/>
    </row>
    <row r="718" spans="7:7" ht="15.75" customHeight="1" x14ac:dyDescent="0.25">
      <c r="G718" s="123"/>
    </row>
    <row r="719" spans="7:7" ht="15.75" customHeight="1" x14ac:dyDescent="0.25">
      <c r="G719" s="123"/>
    </row>
    <row r="720" spans="7:7" ht="15.75" customHeight="1" x14ac:dyDescent="0.25">
      <c r="G720" s="123"/>
    </row>
    <row r="721" spans="7:7" ht="15.75" customHeight="1" x14ac:dyDescent="0.25">
      <c r="G721" s="123"/>
    </row>
    <row r="722" spans="7:7" ht="15.75" customHeight="1" x14ac:dyDescent="0.25">
      <c r="G722" s="123"/>
    </row>
    <row r="723" spans="7:7" ht="15.75" customHeight="1" x14ac:dyDescent="0.25">
      <c r="G723" s="123"/>
    </row>
    <row r="724" spans="7:7" ht="15.75" customHeight="1" x14ac:dyDescent="0.25">
      <c r="G724" s="123"/>
    </row>
    <row r="725" spans="7:7" ht="15.75" customHeight="1" x14ac:dyDescent="0.25">
      <c r="G725" s="123"/>
    </row>
    <row r="726" spans="7:7" ht="15.75" customHeight="1" x14ac:dyDescent="0.25">
      <c r="G726" s="123"/>
    </row>
    <row r="727" spans="7:7" ht="15.75" customHeight="1" x14ac:dyDescent="0.25">
      <c r="G727" s="123"/>
    </row>
    <row r="728" spans="7:7" ht="15.75" customHeight="1" x14ac:dyDescent="0.25">
      <c r="G728" s="123"/>
    </row>
    <row r="729" spans="7:7" ht="15.75" customHeight="1" x14ac:dyDescent="0.25">
      <c r="G729" s="123"/>
    </row>
    <row r="730" spans="7:7" ht="15.75" customHeight="1" x14ac:dyDescent="0.25">
      <c r="G730" s="123"/>
    </row>
    <row r="731" spans="7:7" ht="15.75" customHeight="1" x14ac:dyDescent="0.25">
      <c r="G731" s="123"/>
    </row>
    <row r="732" spans="7:7" ht="15.75" customHeight="1" x14ac:dyDescent="0.25">
      <c r="G732" s="123"/>
    </row>
    <row r="733" spans="7:7" ht="15.75" customHeight="1" x14ac:dyDescent="0.25">
      <c r="G733" s="123"/>
    </row>
    <row r="734" spans="7:7" ht="15.75" customHeight="1" x14ac:dyDescent="0.25">
      <c r="G734" s="123"/>
    </row>
    <row r="735" spans="7:7" ht="15.75" customHeight="1" x14ac:dyDescent="0.25">
      <c r="G735" s="123"/>
    </row>
    <row r="736" spans="7:7" ht="15.75" customHeight="1" x14ac:dyDescent="0.25">
      <c r="G736" s="123"/>
    </row>
    <row r="737" spans="7:7" ht="15.75" customHeight="1" x14ac:dyDescent="0.25">
      <c r="G737" s="123"/>
    </row>
    <row r="738" spans="7:7" ht="15.75" customHeight="1" x14ac:dyDescent="0.25">
      <c r="G738" s="123"/>
    </row>
    <row r="739" spans="7:7" ht="15.75" customHeight="1" x14ac:dyDescent="0.25">
      <c r="G739" s="123"/>
    </row>
    <row r="740" spans="7:7" ht="15.75" customHeight="1" x14ac:dyDescent="0.25">
      <c r="G740" s="123"/>
    </row>
    <row r="741" spans="7:7" ht="15.75" customHeight="1" x14ac:dyDescent="0.25">
      <c r="G741" s="123"/>
    </row>
    <row r="742" spans="7:7" ht="15.75" customHeight="1" x14ac:dyDescent="0.25">
      <c r="G742" s="123"/>
    </row>
    <row r="743" spans="7:7" ht="15.75" customHeight="1" x14ac:dyDescent="0.25">
      <c r="G743" s="123"/>
    </row>
    <row r="744" spans="7:7" ht="15.75" customHeight="1" x14ac:dyDescent="0.25">
      <c r="G744" s="123"/>
    </row>
    <row r="745" spans="7:7" ht="15.75" customHeight="1" x14ac:dyDescent="0.25">
      <c r="G745" s="123"/>
    </row>
    <row r="746" spans="7:7" ht="15.75" customHeight="1" x14ac:dyDescent="0.25">
      <c r="G746" s="123"/>
    </row>
    <row r="747" spans="7:7" ht="15.75" customHeight="1" x14ac:dyDescent="0.25">
      <c r="G747" s="123"/>
    </row>
    <row r="748" spans="7:7" ht="15.75" customHeight="1" x14ac:dyDescent="0.25">
      <c r="G748" s="123"/>
    </row>
    <row r="749" spans="7:7" ht="15.75" customHeight="1" x14ac:dyDescent="0.25">
      <c r="G749" s="123"/>
    </row>
    <row r="750" spans="7:7" ht="15.75" customHeight="1" x14ac:dyDescent="0.25">
      <c r="G750" s="123"/>
    </row>
    <row r="751" spans="7:7" ht="15.75" customHeight="1" x14ac:dyDescent="0.25">
      <c r="G751" s="123"/>
    </row>
    <row r="752" spans="7:7" ht="15.75" customHeight="1" x14ac:dyDescent="0.25">
      <c r="G752" s="123"/>
    </row>
    <row r="753" spans="7:7" ht="15.75" customHeight="1" x14ac:dyDescent="0.25">
      <c r="G753" s="123"/>
    </row>
    <row r="754" spans="7:7" ht="15.75" customHeight="1" x14ac:dyDescent="0.25">
      <c r="G754" s="123"/>
    </row>
    <row r="755" spans="7:7" ht="15.75" customHeight="1" x14ac:dyDescent="0.25">
      <c r="G755" s="123"/>
    </row>
    <row r="756" spans="7:7" ht="15.75" customHeight="1" x14ac:dyDescent="0.25">
      <c r="G756" s="123"/>
    </row>
    <row r="757" spans="7:7" ht="15.75" customHeight="1" x14ac:dyDescent="0.25">
      <c r="G757" s="123"/>
    </row>
    <row r="758" spans="7:7" ht="15.75" customHeight="1" x14ac:dyDescent="0.25">
      <c r="G758" s="123"/>
    </row>
    <row r="759" spans="7:7" ht="15.75" customHeight="1" x14ac:dyDescent="0.25">
      <c r="G759" s="123"/>
    </row>
    <row r="760" spans="7:7" ht="15.75" customHeight="1" x14ac:dyDescent="0.25">
      <c r="G760" s="123"/>
    </row>
    <row r="761" spans="7:7" ht="15.75" customHeight="1" x14ac:dyDescent="0.25">
      <c r="G761" s="123"/>
    </row>
    <row r="762" spans="7:7" ht="15.75" customHeight="1" x14ac:dyDescent="0.25">
      <c r="G762" s="123"/>
    </row>
    <row r="763" spans="7:7" ht="15.75" customHeight="1" x14ac:dyDescent="0.25">
      <c r="G763" s="123"/>
    </row>
    <row r="764" spans="7:7" ht="15.75" customHeight="1" x14ac:dyDescent="0.25">
      <c r="G764" s="123"/>
    </row>
    <row r="765" spans="7:7" ht="15.75" customHeight="1" x14ac:dyDescent="0.25">
      <c r="G765" s="123"/>
    </row>
    <row r="766" spans="7:7" ht="15.75" customHeight="1" x14ac:dyDescent="0.25">
      <c r="G766" s="123"/>
    </row>
    <row r="767" spans="7:7" ht="15.75" customHeight="1" x14ac:dyDescent="0.25">
      <c r="G767" s="123"/>
    </row>
    <row r="768" spans="7:7" ht="15.75" customHeight="1" x14ac:dyDescent="0.25">
      <c r="G768" s="123"/>
    </row>
    <row r="769" spans="7:7" ht="15.75" customHeight="1" x14ac:dyDescent="0.25">
      <c r="G769" s="123"/>
    </row>
    <row r="770" spans="7:7" ht="15.75" customHeight="1" x14ac:dyDescent="0.25">
      <c r="G770" s="123"/>
    </row>
    <row r="771" spans="7:7" ht="15.75" customHeight="1" x14ac:dyDescent="0.25">
      <c r="G771" s="123"/>
    </row>
    <row r="772" spans="7:7" ht="15.75" customHeight="1" x14ac:dyDescent="0.25">
      <c r="G772" s="123"/>
    </row>
    <row r="773" spans="7:7" ht="15.75" customHeight="1" x14ac:dyDescent="0.25">
      <c r="G773" s="123"/>
    </row>
    <row r="774" spans="7:7" ht="15.75" customHeight="1" x14ac:dyDescent="0.25">
      <c r="G774" s="123"/>
    </row>
    <row r="775" spans="7:7" ht="15.75" customHeight="1" x14ac:dyDescent="0.25">
      <c r="G775" s="123"/>
    </row>
    <row r="776" spans="7:7" ht="15.75" customHeight="1" x14ac:dyDescent="0.25">
      <c r="G776" s="123"/>
    </row>
    <row r="777" spans="7:7" ht="15.75" customHeight="1" x14ac:dyDescent="0.25">
      <c r="G777" s="123"/>
    </row>
    <row r="778" spans="7:7" ht="15.75" customHeight="1" x14ac:dyDescent="0.25">
      <c r="G778" s="123"/>
    </row>
    <row r="779" spans="7:7" ht="15.75" customHeight="1" x14ac:dyDescent="0.25">
      <c r="G779" s="123"/>
    </row>
    <row r="780" spans="7:7" ht="15.75" customHeight="1" x14ac:dyDescent="0.25">
      <c r="G780" s="123"/>
    </row>
    <row r="781" spans="7:7" ht="15.75" customHeight="1" x14ac:dyDescent="0.25">
      <c r="G781" s="123"/>
    </row>
    <row r="782" spans="7:7" ht="15.75" customHeight="1" x14ac:dyDescent="0.25">
      <c r="G782" s="123"/>
    </row>
    <row r="783" spans="7:7" ht="15.75" customHeight="1" x14ac:dyDescent="0.25">
      <c r="G783" s="123"/>
    </row>
    <row r="784" spans="7:7" ht="15.75" customHeight="1" x14ac:dyDescent="0.25">
      <c r="G784" s="123"/>
    </row>
    <row r="785" spans="7:7" ht="15.75" customHeight="1" x14ac:dyDescent="0.25">
      <c r="G785" s="123"/>
    </row>
    <row r="786" spans="7:7" ht="15.75" customHeight="1" x14ac:dyDescent="0.25">
      <c r="G786" s="123"/>
    </row>
    <row r="787" spans="7:7" ht="15.75" customHeight="1" x14ac:dyDescent="0.25">
      <c r="G787" s="123"/>
    </row>
    <row r="788" spans="7:7" ht="15.75" customHeight="1" x14ac:dyDescent="0.25">
      <c r="G788" s="123"/>
    </row>
    <row r="789" spans="7:7" ht="15.75" customHeight="1" x14ac:dyDescent="0.25">
      <c r="G789" s="123"/>
    </row>
    <row r="790" spans="7:7" ht="15.75" customHeight="1" x14ac:dyDescent="0.25">
      <c r="G790" s="123"/>
    </row>
    <row r="791" spans="7:7" ht="15.75" customHeight="1" x14ac:dyDescent="0.25">
      <c r="G791" s="123"/>
    </row>
    <row r="792" spans="7:7" ht="15.75" customHeight="1" x14ac:dyDescent="0.25">
      <c r="G792" s="123"/>
    </row>
    <row r="793" spans="7:7" ht="15.75" customHeight="1" x14ac:dyDescent="0.25">
      <c r="G793" s="123"/>
    </row>
    <row r="794" spans="7:7" ht="15.75" customHeight="1" x14ac:dyDescent="0.25">
      <c r="G794" s="123"/>
    </row>
    <row r="795" spans="7:7" ht="15.75" customHeight="1" x14ac:dyDescent="0.25">
      <c r="G795" s="123"/>
    </row>
    <row r="796" spans="7:7" ht="15.75" customHeight="1" x14ac:dyDescent="0.25">
      <c r="G796" s="123"/>
    </row>
    <row r="797" spans="7:7" ht="15.75" customHeight="1" x14ac:dyDescent="0.25">
      <c r="G797" s="123"/>
    </row>
    <row r="798" spans="7:7" ht="15.75" customHeight="1" x14ac:dyDescent="0.25">
      <c r="G798" s="123"/>
    </row>
    <row r="799" spans="7:7" ht="15.75" customHeight="1" x14ac:dyDescent="0.25">
      <c r="G799" s="123"/>
    </row>
    <row r="800" spans="7:7" ht="15.75" customHeight="1" x14ac:dyDescent="0.25">
      <c r="G800" s="123"/>
    </row>
    <row r="801" spans="7:7" ht="15.75" customHeight="1" x14ac:dyDescent="0.25">
      <c r="G801" s="123"/>
    </row>
    <row r="802" spans="7:7" ht="15.75" customHeight="1" x14ac:dyDescent="0.25">
      <c r="G802" s="123"/>
    </row>
    <row r="803" spans="7:7" ht="15.75" customHeight="1" x14ac:dyDescent="0.25">
      <c r="G803" s="123"/>
    </row>
    <row r="804" spans="7:7" ht="15.75" customHeight="1" x14ac:dyDescent="0.25">
      <c r="G804" s="123"/>
    </row>
    <row r="805" spans="7:7" ht="15.75" customHeight="1" x14ac:dyDescent="0.25">
      <c r="G805" s="123"/>
    </row>
    <row r="806" spans="7:7" ht="15.75" customHeight="1" x14ac:dyDescent="0.25">
      <c r="G806" s="123"/>
    </row>
    <row r="807" spans="7:7" ht="15.75" customHeight="1" x14ac:dyDescent="0.25">
      <c r="G807" s="123"/>
    </row>
    <row r="808" spans="7:7" ht="15.75" customHeight="1" x14ac:dyDescent="0.25">
      <c r="G808" s="123"/>
    </row>
    <row r="809" spans="7:7" ht="15.75" customHeight="1" x14ac:dyDescent="0.25">
      <c r="G809" s="123"/>
    </row>
    <row r="810" spans="7:7" ht="15.75" customHeight="1" x14ac:dyDescent="0.25">
      <c r="G810" s="123"/>
    </row>
    <row r="811" spans="7:7" ht="15.75" customHeight="1" x14ac:dyDescent="0.25">
      <c r="G811" s="123"/>
    </row>
    <row r="812" spans="7:7" ht="15.75" customHeight="1" x14ac:dyDescent="0.25">
      <c r="G812" s="123"/>
    </row>
    <row r="813" spans="7:7" ht="15.75" customHeight="1" x14ac:dyDescent="0.25">
      <c r="G813" s="123"/>
    </row>
    <row r="814" spans="7:7" ht="15.75" customHeight="1" x14ac:dyDescent="0.25">
      <c r="G814" s="123"/>
    </row>
    <row r="815" spans="7:7" ht="15.75" customHeight="1" x14ac:dyDescent="0.25">
      <c r="G815" s="123"/>
    </row>
    <row r="816" spans="7:7" ht="15.75" customHeight="1" x14ac:dyDescent="0.25">
      <c r="G816" s="123"/>
    </row>
    <row r="817" spans="7:7" ht="15.75" customHeight="1" x14ac:dyDescent="0.25">
      <c r="G817" s="123"/>
    </row>
    <row r="818" spans="7:7" ht="15.75" customHeight="1" x14ac:dyDescent="0.25">
      <c r="G818" s="123"/>
    </row>
    <row r="819" spans="7:7" ht="15.75" customHeight="1" x14ac:dyDescent="0.25">
      <c r="G819" s="123"/>
    </row>
    <row r="820" spans="7:7" ht="15.75" customHeight="1" x14ac:dyDescent="0.25">
      <c r="G820" s="123"/>
    </row>
    <row r="821" spans="7:7" ht="15.75" customHeight="1" x14ac:dyDescent="0.25">
      <c r="G821" s="123"/>
    </row>
    <row r="822" spans="7:7" ht="15.75" customHeight="1" x14ac:dyDescent="0.25">
      <c r="G822" s="123"/>
    </row>
    <row r="823" spans="7:7" ht="15.75" customHeight="1" x14ac:dyDescent="0.25">
      <c r="G823" s="123"/>
    </row>
    <row r="824" spans="7:7" ht="15.75" customHeight="1" x14ac:dyDescent="0.25">
      <c r="G824" s="123"/>
    </row>
    <row r="825" spans="7:7" ht="15.75" customHeight="1" x14ac:dyDescent="0.25">
      <c r="G825" s="123"/>
    </row>
    <row r="826" spans="7:7" ht="15.75" customHeight="1" x14ac:dyDescent="0.25">
      <c r="G826" s="123"/>
    </row>
    <row r="827" spans="7:7" ht="15.75" customHeight="1" x14ac:dyDescent="0.25">
      <c r="G827" s="123"/>
    </row>
    <row r="828" spans="7:7" ht="15.75" customHeight="1" x14ac:dyDescent="0.25">
      <c r="G828" s="123"/>
    </row>
    <row r="829" spans="7:7" ht="15.75" customHeight="1" x14ac:dyDescent="0.25">
      <c r="G829" s="123"/>
    </row>
    <row r="830" spans="7:7" ht="15.75" customHeight="1" x14ac:dyDescent="0.25">
      <c r="G830" s="123"/>
    </row>
    <row r="831" spans="7:7" ht="15.75" customHeight="1" x14ac:dyDescent="0.25">
      <c r="G831" s="123"/>
    </row>
    <row r="832" spans="7:7" ht="15.75" customHeight="1" x14ac:dyDescent="0.25">
      <c r="G832" s="123"/>
    </row>
    <row r="833" spans="7:7" ht="15.75" customHeight="1" x14ac:dyDescent="0.25">
      <c r="G833" s="123"/>
    </row>
    <row r="834" spans="7:7" ht="15.75" customHeight="1" x14ac:dyDescent="0.25">
      <c r="G834" s="123"/>
    </row>
    <row r="835" spans="7:7" ht="15.75" customHeight="1" x14ac:dyDescent="0.25">
      <c r="G835" s="123"/>
    </row>
    <row r="836" spans="7:7" ht="15.75" customHeight="1" x14ac:dyDescent="0.25">
      <c r="G836" s="123"/>
    </row>
    <row r="837" spans="7:7" ht="15.75" customHeight="1" x14ac:dyDescent="0.25">
      <c r="G837" s="123"/>
    </row>
    <row r="838" spans="7:7" ht="15.75" customHeight="1" x14ac:dyDescent="0.25">
      <c r="G838" s="123"/>
    </row>
    <row r="839" spans="7:7" ht="15.75" customHeight="1" x14ac:dyDescent="0.25">
      <c r="G839" s="123"/>
    </row>
    <row r="840" spans="7:7" ht="15.75" customHeight="1" x14ac:dyDescent="0.25">
      <c r="G840" s="123"/>
    </row>
    <row r="841" spans="7:7" ht="15.75" customHeight="1" x14ac:dyDescent="0.25">
      <c r="G841" s="123"/>
    </row>
    <row r="842" spans="7:7" ht="15.75" customHeight="1" x14ac:dyDescent="0.25">
      <c r="G842" s="123"/>
    </row>
    <row r="843" spans="7:7" ht="15.75" customHeight="1" x14ac:dyDescent="0.25">
      <c r="G843" s="123"/>
    </row>
    <row r="844" spans="7:7" ht="15.75" customHeight="1" x14ac:dyDescent="0.25">
      <c r="G844" s="123"/>
    </row>
    <row r="845" spans="7:7" ht="15.75" customHeight="1" x14ac:dyDescent="0.25">
      <c r="G845" s="123"/>
    </row>
    <row r="846" spans="7:7" ht="15.75" customHeight="1" x14ac:dyDescent="0.25">
      <c r="G846" s="123"/>
    </row>
    <row r="847" spans="7:7" ht="15.75" customHeight="1" x14ac:dyDescent="0.25">
      <c r="G847" s="123"/>
    </row>
    <row r="848" spans="7:7" ht="15.75" customHeight="1" x14ac:dyDescent="0.25">
      <c r="G848" s="123"/>
    </row>
    <row r="849" spans="7:7" ht="15.75" customHeight="1" x14ac:dyDescent="0.25">
      <c r="G849" s="123"/>
    </row>
    <row r="850" spans="7:7" ht="15.75" customHeight="1" x14ac:dyDescent="0.25">
      <c r="G850" s="123"/>
    </row>
    <row r="851" spans="7:7" ht="15.75" customHeight="1" x14ac:dyDescent="0.25">
      <c r="G851" s="123"/>
    </row>
    <row r="852" spans="7:7" ht="15.75" customHeight="1" x14ac:dyDescent="0.25">
      <c r="G852" s="123"/>
    </row>
    <row r="853" spans="7:7" ht="15.75" customHeight="1" x14ac:dyDescent="0.25">
      <c r="G853" s="123"/>
    </row>
    <row r="854" spans="7:7" ht="15.75" customHeight="1" x14ac:dyDescent="0.25">
      <c r="G854" s="123"/>
    </row>
    <row r="855" spans="7:7" ht="15.75" customHeight="1" x14ac:dyDescent="0.25">
      <c r="G855" s="123"/>
    </row>
    <row r="856" spans="7:7" ht="15.75" customHeight="1" x14ac:dyDescent="0.25">
      <c r="G856" s="123"/>
    </row>
    <row r="857" spans="7:7" ht="15.75" customHeight="1" x14ac:dyDescent="0.25">
      <c r="G857" s="123"/>
    </row>
    <row r="858" spans="7:7" ht="15.75" customHeight="1" x14ac:dyDescent="0.25">
      <c r="G858" s="123"/>
    </row>
    <row r="859" spans="7:7" ht="15.75" customHeight="1" x14ac:dyDescent="0.25">
      <c r="G859" s="123"/>
    </row>
    <row r="860" spans="7:7" ht="15.75" customHeight="1" x14ac:dyDescent="0.25">
      <c r="G860" s="123"/>
    </row>
    <row r="861" spans="7:7" ht="15.75" customHeight="1" x14ac:dyDescent="0.25">
      <c r="G861" s="123"/>
    </row>
    <row r="862" spans="7:7" ht="15.75" customHeight="1" x14ac:dyDescent="0.25">
      <c r="G862" s="123"/>
    </row>
    <row r="863" spans="7:7" ht="15.75" customHeight="1" x14ac:dyDescent="0.25">
      <c r="G863" s="123"/>
    </row>
    <row r="864" spans="7:7" ht="15.75" customHeight="1" x14ac:dyDescent="0.25">
      <c r="G864" s="123"/>
    </row>
    <row r="865" spans="7:7" ht="15.75" customHeight="1" x14ac:dyDescent="0.25">
      <c r="G865" s="123"/>
    </row>
    <row r="866" spans="7:7" ht="15.75" customHeight="1" x14ac:dyDescent="0.25">
      <c r="G866" s="123"/>
    </row>
    <row r="867" spans="7:7" ht="15.75" customHeight="1" x14ac:dyDescent="0.25">
      <c r="G867" s="123"/>
    </row>
    <row r="868" spans="7:7" ht="15.75" customHeight="1" x14ac:dyDescent="0.25">
      <c r="G868" s="123"/>
    </row>
    <row r="869" spans="7:7" ht="15.75" customHeight="1" x14ac:dyDescent="0.25">
      <c r="G869" s="123"/>
    </row>
    <row r="870" spans="7:7" ht="15.75" customHeight="1" x14ac:dyDescent="0.25">
      <c r="G870" s="123"/>
    </row>
    <row r="871" spans="7:7" ht="15.75" customHeight="1" x14ac:dyDescent="0.25">
      <c r="G871" s="123"/>
    </row>
    <row r="872" spans="7:7" ht="15.75" customHeight="1" x14ac:dyDescent="0.25">
      <c r="G872" s="123"/>
    </row>
    <row r="873" spans="7:7" ht="15.75" customHeight="1" x14ac:dyDescent="0.25">
      <c r="G873" s="123"/>
    </row>
    <row r="874" spans="7:7" ht="15.75" customHeight="1" x14ac:dyDescent="0.25">
      <c r="G874" s="123"/>
    </row>
    <row r="875" spans="7:7" ht="15.75" customHeight="1" x14ac:dyDescent="0.25">
      <c r="G875" s="123"/>
    </row>
    <row r="876" spans="7:7" ht="15.75" customHeight="1" x14ac:dyDescent="0.25">
      <c r="G876" s="123"/>
    </row>
    <row r="877" spans="7:7" ht="15.75" customHeight="1" x14ac:dyDescent="0.25">
      <c r="G877" s="123"/>
    </row>
    <row r="878" spans="7:7" ht="15.75" customHeight="1" x14ac:dyDescent="0.25">
      <c r="G878" s="123"/>
    </row>
    <row r="879" spans="7:7" ht="15.75" customHeight="1" x14ac:dyDescent="0.25">
      <c r="G879" s="123"/>
    </row>
    <row r="880" spans="7:7" ht="15.75" customHeight="1" x14ac:dyDescent="0.25">
      <c r="G880" s="123"/>
    </row>
    <row r="881" spans="7:7" ht="15.75" customHeight="1" x14ac:dyDescent="0.25">
      <c r="G881" s="123"/>
    </row>
    <row r="882" spans="7:7" ht="15.75" customHeight="1" x14ac:dyDescent="0.25">
      <c r="G882" s="123"/>
    </row>
    <row r="883" spans="7:7" ht="15.75" customHeight="1" x14ac:dyDescent="0.25">
      <c r="G883" s="123"/>
    </row>
    <row r="884" spans="7:7" ht="15.75" customHeight="1" x14ac:dyDescent="0.25">
      <c r="G884" s="123"/>
    </row>
    <row r="885" spans="7:7" ht="15.75" customHeight="1" x14ac:dyDescent="0.25">
      <c r="G885" s="123"/>
    </row>
    <row r="886" spans="7:7" ht="15.75" customHeight="1" x14ac:dyDescent="0.25">
      <c r="G886" s="123"/>
    </row>
    <row r="887" spans="7:7" ht="15.75" customHeight="1" x14ac:dyDescent="0.25">
      <c r="G887" s="123"/>
    </row>
    <row r="888" spans="7:7" ht="15.75" customHeight="1" x14ac:dyDescent="0.25">
      <c r="G888" s="123"/>
    </row>
    <row r="889" spans="7:7" ht="15.75" customHeight="1" x14ac:dyDescent="0.25">
      <c r="G889" s="123"/>
    </row>
    <row r="890" spans="7:7" ht="15.75" customHeight="1" x14ac:dyDescent="0.25">
      <c r="G890" s="123"/>
    </row>
    <row r="891" spans="7:7" ht="15.75" customHeight="1" x14ac:dyDescent="0.25">
      <c r="G891" s="123"/>
    </row>
    <row r="892" spans="7:7" ht="15.75" customHeight="1" x14ac:dyDescent="0.25">
      <c r="G892" s="123"/>
    </row>
    <row r="893" spans="7:7" ht="15.75" customHeight="1" x14ac:dyDescent="0.25">
      <c r="G893" s="123"/>
    </row>
    <row r="894" spans="7:7" ht="15.75" customHeight="1" x14ac:dyDescent="0.25">
      <c r="G894" s="123"/>
    </row>
    <row r="895" spans="7:7" ht="15.75" customHeight="1" x14ac:dyDescent="0.25">
      <c r="G895" s="123"/>
    </row>
    <row r="896" spans="7:7" ht="15.75" customHeight="1" x14ac:dyDescent="0.25">
      <c r="G896" s="123"/>
    </row>
    <row r="897" spans="7:7" ht="15.75" customHeight="1" x14ac:dyDescent="0.25">
      <c r="G897" s="123"/>
    </row>
    <row r="898" spans="7:7" ht="15.75" customHeight="1" x14ac:dyDescent="0.25">
      <c r="G898" s="123"/>
    </row>
    <row r="899" spans="7:7" ht="15.75" customHeight="1" x14ac:dyDescent="0.25">
      <c r="G899" s="123"/>
    </row>
    <row r="900" spans="7:7" ht="15.75" customHeight="1" x14ac:dyDescent="0.25">
      <c r="G900" s="123"/>
    </row>
    <row r="901" spans="7:7" ht="15.75" customHeight="1" x14ac:dyDescent="0.25">
      <c r="G901" s="123"/>
    </row>
    <row r="902" spans="7:7" ht="15.75" customHeight="1" x14ac:dyDescent="0.25">
      <c r="G902" s="123"/>
    </row>
    <row r="903" spans="7:7" ht="15.75" customHeight="1" x14ac:dyDescent="0.25">
      <c r="G903" s="123"/>
    </row>
    <row r="904" spans="7:7" ht="15.75" customHeight="1" x14ac:dyDescent="0.25">
      <c r="G904" s="123"/>
    </row>
    <row r="905" spans="7:7" ht="15.75" customHeight="1" x14ac:dyDescent="0.25">
      <c r="G905" s="123"/>
    </row>
    <row r="906" spans="7:7" ht="15.75" customHeight="1" x14ac:dyDescent="0.25">
      <c r="G906" s="123"/>
    </row>
    <row r="907" spans="7:7" ht="15.75" customHeight="1" x14ac:dyDescent="0.25">
      <c r="G907" s="123"/>
    </row>
    <row r="908" spans="7:7" ht="15.75" customHeight="1" x14ac:dyDescent="0.25">
      <c r="G908" s="123"/>
    </row>
    <row r="909" spans="7:7" ht="15.75" customHeight="1" x14ac:dyDescent="0.25">
      <c r="G909" s="123"/>
    </row>
    <row r="910" spans="7:7" ht="15.75" customHeight="1" x14ac:dyDescent="0.25">
      <c r="G910" s="123"/>
    </row>
    <row r="911" spans="7:7" ht="15.75" customHeight="1" x14ac:dyDescent="0.25">
      <c r="G911" s="123"/>
    </row>
    <row r="912" spans="7:7" ht="15.75" customHeight="1" x14ac:dyDescent="0.25">
      <c r="G912" s="123"/>
    </row>
    <row r="913" spans="7:7" ht="15.75" customHeight="1" x14ac:dyDescent="0.25">
      <c r="G913" s="123"/>
    </row>
    <row r="914" spans="7:7" ht="15.75" customHeight="1" x14ac:dyDescent="0.25">
      <c r="G914" s="123"/>
    </row>
    <row r="915" spans="7:7" ht="15.75" customHeight="1" x14ac:dyDescent="0.25">
      <c r="G915" s="123"/>
    </row>
    <row r="916" spans="7:7" ht="15.75" customHeight="1" x14ac:dyDescent="0.25">
      <c r="G916" s="123"/>
    </row>
    <row r="917" spans="7:7" ht="15.75" customHeight="1" x14ac:dyDescent="0.25">
      <c r="G917" s="123"/>
    </row>
    <row r="918" spans="7:7" ht="15.75" customHeight="1" x14ac:dyDescent="0.25">
      <c r="G918" s="123"/>
    </row>
    <row r="919" spans="7:7" ht="15.75" customHeight="1" x14ac:dyDescent="0.25">
      <c r="G919" s="123"/>
    </row>
    <row r="920" spans="7:7" ht="15.75" customHeight="1" x14ac:dyDescent="0.25">
      <c r="G920" s="123"/>
    </row>
    <row r="921" spans="7:7" ht="15.75" customHeight="1" x14ac:dyDescent="0.25">
      <c r="G921" s="123"/>
    </row>
    <row r="922" spans="7:7" ht="15.75" customHeight="1" x14ac:dyDescent="0.25">
      <c r="G922" s="123"/>
    </row>
    <row r="923" spans="7:7" ht="15.75" customHeight="1" x14ac:dyDescent="0.25">
      <c r="G923" s="123"/>
    </row>
    <row r="924" spans="7:7" ht="15.75" customHeight="1" x14ac:dyDescent="0.25">
      <c r="G924" s="123"/>
    </row>
    <row r="925" spans="7:7" ht="15.75" customHeight="1" x14ac:dyDescent="0.25">
      <c r="G925" s="123"/>
    </row>
    <row r="926" spans="7:7" ht="15.75" customHeight="1" x14ac:dyDescent="0.25">
      <c r="G926" s="123"/>
    </row>
    <row r="927" spans="7:7" ht="15.75" customHeight="1" x14ac:dyDescent="0.25">
      <c r="G927" s="123"/>
    </row>
    <row r="928" spans="7:7" ht="15.75" customHeight="1" x14ac:dyDescent="0.25">
      <c r="G928" s="123"/>
    </row>
    <row r="929" spans="7:7" ht="15.75" customHeight="1" x14ac:dyDescent="0.25">
      <c r="G929" s="123"/>
    </row>
    <row r="930" spans="7:7" ht="15.75" customHeight="1" x14ac:dyDescent="0.25">
      <c r="G930" s="123"/>
    </row>
    <row r="931" spans="7:7" ht="15.75" customHeight="1" x14ac:dyDescent="0.25">
      <c r="G931" s="123"/>
    </row>
    <row r="932" spans="7:7" ht="15.75" customHeight="1" x14ac:dyDescent="0.25">
      <c r="G932" s="123"/>
    </row>
    <row r="933" spans="7:7" ht="15.75" customHeight="1" x14ac:dyDescent="0.25">
      <c r="G933" s="123"/>
    </row>
    <row r="934" spans="7:7" ht="15.75" customHeight="1" x14ac:dyDescent="0.25">
      <c r="G934" s="123"/>
    </row>
    <row r="935" spans="7:7" ht="15.75" customHeight="1" x14ac:dyDescent="0.25">
      <c r="G935" s="123"/>
    </row>
    <row r="936" spans="7:7" ht="15.75" customHeight="1" x14ac:dyDescent="0.25">
      <c r="G936" s="123"/>
    </row>
    <row r="937" spans="7:7" ht="15.75" customHeight="1" x14ac:dyDescent="0.25">
      <c r="G937" s="123"/>
    </row>
    <row r="938" spans="7:7" ht="15.75" customHeight="1" x14ac:dyDescent="0.25">
      <c r="G938" s="123"/>
    </row>
    <row r="939" spans="7:7" ht="15.75" customHeight="1" x14ac:dyDescent="0.25">
      <c r="G939" s="123"/>
    </row>
    <row r="940" spans="7:7" ht="15.75" customHeight="1" x14ac:dyDescent="0.25">
      <c r="G940" s="123"/>
    </row>
    <row r="941" spans="7:7" ht="15.75" customHeight="1" x14ac:dyDescent="0.25">
      <c r="G941" s="123"/>
    </row>
    <row r="942" spans="7:7" ht="15.75" customHeight="1" x14ac:dyDescent="0.25">
      <c r="G942" s="123"/>
    </row>
    <row r="943" spans="7:7" ht="15.75" customHeight="1" x14ac:dyDescent="0.25">
      <c r="G943" s="123"/>
    </row>
    <row r="944" spans="7:7" ht="15.75" customHeight="1" x14ac:dyDescent="0.25">
      <c r="G944" s="123"/>
    </row>
    <row r="945" spans="7:7" ht="15.75" customHeight="1" x14ac:dyDescent="0.25">
      <c r="G945" s="123"/>
    </row>
    <row r="946" spans="7:7" ht="15.75" customHeight="1" x14ac:dyDescent="0.25">
      <c r="G946" s="123"/>
    </row>
    <row r="947" spans="7:7" ht="15.75" customHeight="1" x14ac:dyDescent="0.25">
      <c r="G947" s="123"/>
    </row>
    <row r="948" spans="7:7" ht="15.75" customHeight="1" x14ac:dyDescent="0.25">
      <c r="G948" s="123"/>
    </row>
    <row r="949" spans="7:7" ht="15.75" customHeight="1" x14ac:dyDescent="0.25">
      <c r="G949" s="123"/>
    </row>
    <row r="950" spans="7:7" ht="15.75" customHeight="1" x14ac:dyDescent="0.25">
      <c r="G950" s="123"/>
    </row>
    <row r="951" spans="7:7" ht="15.75" customHeight="1" x14ac:dyDescent="0.25">
      <c r="G951" s="123"/>
    </row>
    <row r="952" spans="7:7" ht="15.75" customHeight="1" x14ac:dyDescent="0.25">
      <c r="G952" s="123"/>
    </row>
    <row r="953" spans="7:7" ht="15.75" customHeight="1" x14ac:dyDescent="0.25">
      <c r="G953" s="123"/>
    </row>
    <row r="954" spans="7:7" ht="15.75" customHeight="1" x14ac:dyDescent="0.25">
      <c r="G954" s="123"/>
    </row>
    <row r="955" spans="7:7" ht="15.75" customHeight="1" x14ac:dyDescent="0.25">
      <c r="G955" s="123"/>
    </row>
    <row r="956" spans="7:7" ht="15.75" customHeight="1" x14ac:dyDescent="0.25">
      <c r="G956" s="123"/>
    </row>
    <row r="957" spans="7:7" ht="15.75" customHeight="1" x14ac:dyDescent="0.25">
      <c r="G957" s="123"/>
    </row>
    <row r="958" spans="7:7" ht="15.75" customHeight="1" x14ac:dyDescent="0.25">
      <c r="G958" s="123"/>
    </row>
    <row r="959" spans="7:7" ht="15.75" customHeight="1" x14ac:dyDescent="0.25">
      <c r="G959" s="123"/>
    </row>
    <row r="960" spans="7:7" ht="15.75" customHeight="1" x14ac:dyDescent="0.25">
      <c r="G960" s="123"/>
    </row>
    <row r="961" spans="7:7" ht="15.75" customHeight="1" x14ac:dyDescent="0.25">
      <c r="G961" s="123"/>
    </row>
    <row r="962" spans="7:7" ht="15.75" customHeight="1" x14ac:dyDescent="0.25">
      <c r="G962" s="123"/>
    </row>
    <row r="963" spans="7:7" ht="15.75" customHeight="1" x14ac:dyDescent="0.25">
      <c r="G963" s="123"/>
    </row>
    <row r="964" spans="7:7" ht="15.75" customHeight="1" x14ac:dyDescent="0.25">
      <c r="G964" s="123"/>
    </row>
    <row r="965" spans="7:7" ht="15.75" customHeight="1" x14ac:dyDescent="0.25">
      <c r="G965" s="123"/>
    </row>
    <row r="966" spans="7:7" ht="15.75" customHeight="1" x14ac:dyDescent="0.25">
      <c r="G966" s="123"/>
    </row>
    <row r="967" spans="7:7" ht="15.75" customHeight="1" x14ac:dyDescent="0.25">
      <c r="G967" s="123"/>
    </row>
    <row r="968" spans="7:7" ht="15.75" customHeight="1" x14ac:dyDescent="0.25">
      <c r="G968" s="123"/>
    </row>
    <row r="969" spans="7:7" ht="15.75" customHeight="1" x14ac:dyDescent="0.25">
      <c r="G969" s="123"/>
    </row>
    <row r="970" spans="7:7" ht="15.75" customHeight="1" x14ac:dyDescent="0.25">
      <c r="G970" s="123"/>
    </row>
    <row r="971" spans="7:7" ht="15.75" customHeight="1" x14ac:dyDescent="0.25">
      <c r="G971" s="123"/>
    </row>
    <row r="972" spans="7:7" ht="15.75" customHeight="1" x14ac:dyDescent="0.25">
      <c r="G972" s="123"/>
    </row>
    <row r="973" spans="7:7" ht="15.75" customHeight="1" x14ac:dyDescent="0.25">
      <c r="G973" s="123"/>
    </row>
    <row r="974" spans="7:7" ht="15.75" customHeight="1" x14ac:dyDescent="0.25">
      <c r="G974" s="123"/>
    </row>
    <row r="975" spans="7:7" ht="15.75" customHeight="1" x14ac:dyDescent="0.25">
      <c r="G975" s="123"/>
    </row>
    <row r="976" spans="7:7" ht="15.75" customHeight="1" x14ac:dyDescent="0.25">
      <c r="G976" s="123"/>
    </row>
    <row r="977" spans="7:7" ht="15.75" customHeight="1" x14ac:dyDescent="0.25">
      <c r="G977" s="123"/>
    </row>
    <row r="978" spans="7:7" ht="15.75" customHeight="1" x14ac:dyDescent="0.25">
      <c r="G978" s="123"/>
    </row>
    <row r="979" spans="7:7" ht="15.75" customHeight="1" x14ac:dyDescent="0.25">
      <c r="G979" s="123"/>
    </row>
    <row r="980" spans="7:7" ht="15.75" customHeight="1" x14ac:dyDescent="0.25">
      <c r="G980" s="123"/>
    </row>
    <row r="981" spans="7:7" ht="15.75" customHeight="1" x14ac:dyDescent="0.25">
      <c r="G981" s="123"/>
    </row>
    <row r="982" spans="7:7" ht="15.75" customHeight="1" x14ac:dyDescent="0.25">
      <c r="G982" s="123"/>
    </row>
    <row r="983" spans="7:7" ht="15.75" customHeight="1" x14ac:dyDescent="0.25">
      <c r="G983" s="123"/>
    </row>
    <row r="984" spans="7:7" ht="15.75" customHeight="1" x14ac:dyDescent="0.25">
      <c r="G984" s="123"/>
    </row>
    <row r="985" spans="7:7" ht="15.75" customHeight="1" x14ac:dyDescent="0.25">
      <c r="G985" s="123"/>
    </row>
    <row r="986" spans="7:7" ht="15.75" customHeight="1" x14ac:dyDescent="0.25">
      <c r="G986" s="123"/>
    </row>
    <row r="987" spans="7:7" ht="15.75" customHeight="1" x14ac:dyDescent="0.25">
      <c r="G987" s="123"/>
    </row>
    <row r="988" spans="7:7" ht="15.75" customHeight="1" x14ac:dyDescent="0.25">
      <c r="G988" s="123"/>
    </row>
    <row r="989" spans="7:7" ht="15.75" customHeight="1" x14ac:dyDescent="0.25">
      <c r="G989" s="123"/>
    </row>
    <row r="990" spans="7:7" ht="15.75" customHeight="1" x14ac:dyDescent="0.25">
      <c r="G990" s="123"/>
    </row>
    <row r="991" spans="7:7" ht="15.75" customHeight="1" x14ac:dyDescent="0.25">
      <c r="G991" s="123"/>
    </row>
    <row r="992" spans="7:7" ht="15.75" customHeight="1" x14ac:dyDescent="0.25">
      <c r="G992" s="123"/>
    </row>
    <row r="993" spans="7:7" ht="15.75" customHeight="1" x14ac:dyDescent="0.25">
      <c r="G993" s="123"/>
    </row>
    <row r="994" spans="7:7" ht="15.75" customHeight="1" x14ac:dyDescent="0.25">
      <c r="G994" s="123"/>
    </row>
    <row r="995" spans="7:7" ht="15.75" customHeight="1" x14ac:dyDescent="0.25">
      <c r="G995" s="123"/>
    </row>
    <row r="996" spans="7:7" ht="15.75" customHeight="1" x14ac:dyDescent="0.25">
      <c r="G996" s="123"/>
    </row>
    <row r="997" spans="7:7" ht="15.75" customHeight="1" x14ac:dyDescent="0.25">
      <c r="G997" s="123"/>
    </row>
    <row r="998" spans="7:7" ht="15.75" customHeight="1" x14ac:dyDescent="0.25">
      <c r="G998" s="123"/>
    </row>
    <row r="999" spans="7:7" ht="15.75" customHeight="1" x14ac:dyDescent="0.25">
      <c r="G999" s="123"/>
    </row>
    <row r="1000" spans="7:7" ht="15.75" customHeight="1" x14ac:dyDescent="0.25">
      <c r="G1000" s="123"/>
    </row>
  </sheetData>
  <mergeCells count="301">
    <mergeCell ref="B559:B563"/>
    <mergeCell ref="B565:B566"/>
    <mergeCell ref="B568:B572"/>
    <mergeCell ref="B574:B576"/>
    <mergeCell ref="B578:B579"/>
    <mergeCell ref="B581:B583"/>
    <mergeCell ref="B536:B537"/>
    <mergeCell ref="B539:B543"/>
    <mergeCell ref="A551:E551"/>
    <mergeCell ref="G552:L552"/>
    <mergeCell ref="G553:I553"/>
    <mergeCell ref="J553:L553"/>
    <mergeCell ref="B498:B502"/>
    <mergeCell ref="B504:B505"/>
    <mergeCell ref="B507:B511"/>
    <mergeCell ref="B513:B515"/>
    <mergeCell ref="B517:B518"/>
    <mergeCell ref="B520:B522"/>
    <mergeCell ref="B524:B527"/>
    <mergeCell ref="B553:B557"/>
    <mergeCell ref="N456:P459"/>
    <mergeCell ref="G492:I492"/>
    <mergeCell ref="J492:L492"/>
    <mergeCell ref="I456:L456"/>
    <mergeCell ref="I457:L457"/>
    <mergeCell ref="I461:L461"/>
    <mergeCell ref="I474:L474"/>
    <mergeCell ref="I475:L475"/>
    <mergeCell ref="I479:L479"/>
    <mergeCell ref="G491:L491"/>
    <mergeCell ref="B597:B598"/>
    <mergeCell ref="B600:B604"/>
    <mergeCell ref="A608:E608"/>
    <mergeCell ref="B610:B614"/>
    <mergeCell ref="B647:B649"/>
    <mergeCell ref="B651:B652"/>
    <mergeCell ref="B654:B655"/>
    <mergeCell ref="B657:B661"/>
    <mergeCell ref="B616:B620"/>
    <mergeCell ref="B622:B623"/>
    <mergeCell ref="B625:B629"/>
    <mergeCell ref="B631:B633"/>
    <mergeCell ref="B635:B636"/>
    <mergeCell ref="B638:B640"/>
    <mergeCell ref="B642:B645"/>
    <mergeCell ref="B404:B408"/>
    <mergeCell ref="B410:B411"/>
    <mergeCell ref="B413:B417"/>
    <mergeCell ref="B419:B421"/>
    <mergeCell ref="B423:B424"/>
    <mergeCell ref="B426:B428"/>
    <mergeCell ref="B585:B588"/>
    <mergeCell ref="B590:B592"/>
    <mergeCell ref="B594:B595"/>
    <mergeCell ref="B430:B433"/>
    <mergeCell ref="B435:B437"/>
    <mergeCell ref="B439:B440"/>
    <mergeCell ref="B442:B443"/>
    <mergeCell ref="B445:B449"/>
    <mergeCell ref="B456:F456"/>
    <mergeCell ref="B458:F458"/>
    <mergeCell ref="B464:F464"/>
    <mergeCell ref="B474:F474"/>
    <mergeCell ref="B476:F476"/>
    <mergeCell ref="B482:F482"/>
    <mergeCell ref="A490:E490"/>
    <mergeCell ref="B492:B496"/>
    <mergeCell ref="B529:B531"/>
    <mergeCell ref="B533:B534"/>
    <mergeCell ref="B357:B359"/>
    <mergeCell ref="A360:D360"/>
    <mergeCell ref="A363:E363"/>
    <mergeCell ref="G398:I398"/>
    <mergeCell ref="J398:L398"/>
    <mergeCell ref="A367:D367"/>
    <mergeCell ref="A372:E372"/>
    <mergeCell ref="A376:D376"/>
    <mergeCell ref="A379:E379"/>
    <mergeCell ref="A383:E383"/>
    <mergeCell ref="A396:E396"/>
    <mergeCell ref="G397:L397"/>
    <mergeCell ref="B361:B362"/>
    <mergeCell ref="B364:B366"/>
    <mergeCell ref="B368:B371"/>
    <mergeCell ref="B373:B375"/>
    <mergeCell ref="B377:B378"/>
    <mergeCell ref="B380:B382"/>
    <mergeCell ref="B384:B388"/>
    <mergeCell ref="B398:B402"/>
    <mergeCell ref="A334:E334"/>
    <mergeCell ref="B336:B340"/>
    <mergeCell ref="A341:D341"/>
    <mergeCell ref="B342:B346"/>
    <mergeCell ref="A347:E347"/>
    <mergeCell ref="B348:B349"/>
    <mergeCell ref="A350:D350"/>
    <mergeCell ref="B351:B355"/>
    <mergeCell ref="A356:E356"/>
    <mergeCell ref="A321:C321"/>
    <mergeCell ref="A322:C322"/>
    <mergeCell ref="A323:C323"/>
    <mergeCell ref="A324:C324"/>
    <mergeCell ref="A325:C325"/>
    <mergeCell ref="A326:C326"/>
    <mergeCell ref="A327:C327"/>
    <mergeCell ref="A328:C328"/>
    <mergeCell ref="A329:C329"/>
    <mergeCell ref="J321:O321"/>
    <mergeCell ref="J329:O329"/>
    <mergeCell ref="G335:L335"/>
    <mergeCell ref="G336:I336"/>
    <mergeCell ref="J336:L336"/>
    <mergeCell ref="J322:O322"/>
    <mergeCell ref="J323:O323"/>
    <mergeCell ref="J324:O324"/>
    <mergeCell ref="J325:O325"/>
    <mergeCell ref="J326:O326"/>
    <mergeCell ref="J327:O327"/>
    <mergeCell ref="J328:O328"/>
    <mergeCell ref="A317:C317"/>
    <mergeCell ref="A318:C318"/>
    <mergeCell ref="A319:C319"/>
    <mergeCell ref="A320:C320"/>
    <mergeCell ref="J315:O315"/>
    <mergeCell ref="J316:O316"/>
    <mergeCell ref="J317:O317"/>
    <mergeCell ref="J318:O318"/>
    <mergeCell ref="J319:O319"/>
    <mergeCell ref="J320:O320"/>
    <mergeCell ref="A312:O312"/>
    <mergeCell ref="A313:C313"/>
    <mergeCell ref="D313:F313"/>
    <mergeCell ref="G313:I313"/>
    <mergeCell ref="J313:O313"/>
    <mergeCell ref="J314:O314"/>
    <mergeCell ref="A314:C314"/>
    <mergeCell ref="A315:C315"/>
    <mergeCell ref="A316:C316"/>
    <mergeCell ref="J290:O290"/>
    <mergeCell ref="B297:F297"/>
    <mergeCell ref="B299:F299"/>
    <mergeCell ref="B305:F305"/>
    <mergeCell ref="J291:O291"/>
    <mergeCell ref="J292:O292"/>
    <mergeCell ref="A293:C293"/>
    <mergeCell ref="J293:O293"/>
    <mergeCell ref="I297:L297"/>
    <mergeCell ref="N297:P300"/>
    <mergeCell ref="I298:L298"/>
    <mergeCell ref="I302:L302"/>
    <mergeCell ref="A290:C290"/>
    <mergeCell ref="A291:C291"/>
    <mergeCell ref="A292:C292"/>
    <mergeCell ref="A287:C287"/>
    <mergeCell ref="A288:C288"/>
    <mergeCell ref="O268:S273"/>
    <mergeCell ref="H273:K273"/>
    <mergeCell ref="A276:O276"/>
    <mergeCell ref="A277:C277"/>
    <mergeCell ref="D277:F277"/>
    <mergeCell ref="G277:I277"/>
    <mergeCell ref="J277:O277"/>
    <mergeCell ref="J278:O278"/>
    <mergeCell ref="A278:C278"/>
    <mergeCell ref="A279:C279"/>
    <mergeCell ref="A280:C280"/>
    <mergeCell ref="A281:C281"/>
    <mergeCell ref="A282:C282"/>
    <mergeCell ref="A283:C283"/>
    <mergeCell ref="A284:C284"/>
    <mergeCell ref="A285:C285"/>
    <mergeCell ref="A286:C286"/>
    <mergeCell ref="A289:C289"/>
    <mergeCell ref="J288:O288"/>
    <mergeCell ref="J289:O289"/>
    <mergeCell ref="C236:C240"/>
    <mergeCell ref="B267:F267"/>
    <mergeCell ref="H268:K268"/>
    <mergeCell ref="B231:F231"/>
    <mergeCell ref="B235:F235"/>
    <mergeCell ref="B246:G246"/>
    <mergeCell ref="I246:L246"/>
    <mergeCell ref="J286:O286"/>
    <mergeCell ref="J287:O287"/>
    <mergeCell ref="J279:O279"/>
    <mergeCell ref="J280:O280"/>
    <mergeCell ref="J281:O281"/>
    <mergeCell ref="J282:O282"/>
    <mergeCell ref="J283:O283"/>
    <mergeCell ref="J284:O284"/>
    <mergeCell ref="J285:O285"/>
    <mergeCell ref="B269:F269"/>
    <mergeCell ref="H269:K269"/>
    <mergeCell ref="N246:S252"/>
    <mergeCell ref="I247:L247"/>
    <mergeCell ref="B248:F248"/>
    <mergeCell ref="I248:L248"/>
    <mergeCell ref="I252:L252"/>
    <mergeCell ref="B253:F253"/>
    <mergeCell ref="H187:M187"/>
    <mergeCell ref="C188:C192"/>
    <mergeCell ref="H188:J188"/>
    <mergeCell ref="K188:M188"/>
    <mergeCell ref="B193:E193"/>
    <mergeCell ref="B199:F199"/>
    <mergeCell ref="C225:C227"/>
    <mergeCell ref="C229:C230"/>
    <mergeCell ref="C232:C234"/>
    <mergeCell ref="C194:C198"/>
    <mergeCell ref="C200:C201"/>
    <mergeCell ref="B202:E202"/>
    <mergeCell ref="C203:C207"/>
    <mergeCell ref="B208:F208"/>
    <mergeCell ref="C209:C211"/>
    <mergeCell ref="B212:E212"/>
    <mergeCell ref="C213:C214"/>
    <mergeCell ref="B215:F215"/>
    <mergeCell ref="C216:C218"/>
    <mergeCell ref="B219:E219"/>
    <mergeCell ref="C220:C223"/>
    <mergeCell ref="B224:F224"/>
    <mergeCell ref="B228:E228"/>
    <mergeCell ref="I155:L155"/>
    <mergeCell ref="B156:G156"/>
    <mergeCell ref="B171:G171"/>
    <mergeCell ref="I172:L172"/>
    <mergeCell ref="B173:G173"/>
    <mergeCell ref="I173:L173"/>
    <mergeCell ref="I177:L177"/>
    <mergeCell ref="B178:G178"/>
    <mergeCell ref="B186:E186"/>
    <mergeCell ref="B129:E129"/>
    <mergeCell ref="C130:C131"/>
    <mergeCell ref="B132:F132"/>
    <mergeCell ref="B136:F136"/>
    <mergeCell ref="C133:C135"/>
    <mergeCell ref="C137:C141"/>
    <mergeCell ref="B149:G149"/>
    <mergeCell ref="I150:L150"/>
    <mergeCell ref="B151:G151"/>
    <mergeCell ref="I151:L151"/>
    <mergeCell ref="C110:C112"/>
    <mergeCell ref="B113:E113"/>
    <mergeCell ref="C114:C115"/>
    <mergeCell ref="B116:F116"/>
    <mergeCell ref="C117:C119"/>
    <mergeCell ref="B120:E120"/>
    <mergeCell ref="C121:C124"/>
    <mergeCell ref="B125:F125"/>
    <mergeCell ref="C126:C128"/>
    <mergeCell ref="I68:L68"/>
    <mergeCell ref="B87:E87"/>
    <mergeCell ref="H88:M88"/>
    <mergeCell ref="H89:J89"/>
    <mergeCell ref="K89:M89"/>
    <mergeCell ref="B94:E94"/>
    <mergeCell ref="B100:F100"/>
    <mergeCell ref="B103:E103"/>
    <mergeCell ref="B109:F109"/>
    <mergeCell ref="B69:G69"/>
    <mergeCell ref="B75:G75"/>
    <mergeCell ref="I76:L76"/>
    <mergeCell ref="B77:G77"/>
    <mergeCell ref="I77:L77"/>
    <mergeCell ref="I81:L81"/>
    <mergeCell ref="B82:G82"/>
    <mergeCell ref="C89:C93"/>
    <mergeCell ref="C95:C99"/>
    <mergeCell ref="C101:C102"/>
    <mergeCell ref="C104:C108"/>
    <mergeCell ref="C36:C39"/>
    <mergeCell ref="B40:H40"/>
    <mergeCell ref="B44:F44"/>
    <mergeCell ref="B47:H47"/>
    <mergeCell ref="B51:H51"/>
    <mergeCell ref="B62:G62"/>
    <mergeCell ref="I63:L63"/>
    <mergeCell ref="B64:G64"/>
    <mergeCell ref="I64:L64"/>
    <mergeCell ref="C41:C43"/>
    <mergeCell ref="C45:C46"/>
    <mergeCell ref="C48:C50"/>
    <mergeCell ref="C52:C56"/>
    <mergeCell ref="B18:F18"/>
    <mergeCell ref="C19:C23"/>
    <mergeCell ref="B24:H24"/>
    <mergeCell ref="C25:C27"/>
    <mergeCell ref="B28:F28"/>
    <mergeCell ref="C29:C30"/>
    <mergeCell ref="B31:H31"/>
    <mergeCell ref="C32:C34"/>
    <mergeCell ref="B35:F35"/>
    <mergeCell ref="B1:F1"/>
    <mergeCell ref="J2:O2"/>
    <mergeCell ref="C3:C7"/>
    <mergeCell ref="J3:L3"/>
    <mergeCell ref="M3:O3"/>
    <mergeCell ref="B8:F8"/>
    <mergeCell ref="B14:H14"/>
    <mergeCell ref="C9:C13"/>
    <mergeCell ref="C15:C17"/>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S1000"/>
  <sheetViews>
    <sheetView workbookViewId="0"/>
  </sheetViews>
  <sheetFormatPr baseColWidth="10" defaultColWidth="12.625" defaultRowHeight="15" customHeight="1" x14ac:dyDescent="0.2"/>
  <cols>
    <col min="1" max="3" width="10" customWidth="1"/>
    <col min="4" max="4" width="14.875" customWidth="1"/>
    <col min="5" max="5" width="12" customWidth="1"/>
    <col min="6" max="6" width="10" customWidth="1"/>
    <col min="7" max="7" width="12" customWidth="1"/>
    <col min="8" max="26" width="10" customWidth="1"/>
  </cols>
  <sheetData>
    <row r="2" spans="1:19" ht="24" x14ac:dyDescent="0.2">
      <c r="C2" s="4" t="s">
        <v>0</v>
      </c>
      <c r="D2" s="5" t="s">
        <v>1</v>
      </c>
      <c r="E2" s="5" t="s">
        <v>42</v>
      </c>
      <c r="F2" s="5" t="s">
        <v>43</v>
      </c>
      <c r="G2" s="5" t="s">
        <v>44</v>
      </c>
      <c r="I2" s="296" t="s">
        <v>45</v>
      </c>
      <c r="J2" s="297"/>
      <c r="K2" s="297"/>
      <c r="L2" s="298"/>
    </row>
    <row r="3" spans="1:19" ht="14.25" x14ac:dyDescent="0.2">
      <c r="C3" s="310" t="s">
        <v>8</v>
      </c>
      <c r="D3" s="297"/>
      <c r="E3" s="297"/>
      <c r="F3" s="297"/>
      <c r="G3" s="306"/>
      <c r="I3" s="305" t="s">
        <v>10</v>
      </c>
      <c r="J3" s="297"/>
      <c r="K3" s="297"/>
      <c r="L3" s="298"/>
    </row>
    <row r="4" spans="1:19" ht="14.25" x14ac:dyDescent="0.2">
      <c r="C4" s="9" t="s">
        <v>11</v>
      </c>
      <c r="D4" s="12" t="s">
        <v>12</v>
      </c>
      <c r="E4" s="17">
        <v>500</v>
      </c>
      <c r="F4" s="22">
        <v>498</v>
      </c>
      <c r="G4" s="11">
        <v>501</v>
      </c>
      <c r="I4" s="12"/>
      <c r="J4" s="12" t="s">
        <v>52</v>
      </c>
      <c r="K4" s="12" t="s">
        <v>53</v>
      </c>
      <c r="L4" s="12"/>
    </row>
    <row r="5" spans="1:19" ht="14.25" x14ac:dyDescent="0.2">
      <c r="C5" s="9" t="s">
        <v>11</v>
      </c>
      <c r="D5" s="12" t="s">
        <v>18</v>
      </c>
      <c r="E5" s="17">
        <v>0</v>
      </c>
      <c r="F5" s="22">
        <v>0</v>
      </c>
      <c r="G5" s="11">
        <v>0</v>
      </c>
      <c r="I5" s="12" t="s">
        <v>12</v>
      </c>
      <c r="J5" s="17">
        <v>500</v>
      </c>
      <c r="K5" s="11">
        <v>500</v>
      </c>
      <c r="L5" s="17" t="s">
        <v>268</v>
      </c>
    </row>
    <row r="6" spans="1:19" ht="14.25" x14ac:dyDescent="0.2">
      <c r="C6" s="9" t="s">
        <v>21</v>
      </c>
      <c r="D6" s="12" t="s">
        <v>59</v>
      </c>
      <c r="E6" s="17">
        <v>440</v>
      </c>
      <c r="F6" s="22">
        <v>432</v>
      </c>
      <c r="G6" s="11">
        <v>439</v>
      </c>
      <c r="I6" s="12" t="s">
        <v>18</v>
      </c>
      <c r="J6" s="17">
        <v>0</v>
      </c>
      <c r="K6" s="11">
        <v>0</v>
      </c>
      <c r="L6" s="17" t="s">
        <v>269</v>
      </c>
    </row>
    <row r="7" spans="1:19" ht="15.75" customHeight="1" x14ac:dyDescent="0.2">
      <c r="C7" s="9" t="s">
        <v>21</v>
      </c>
      <c r="D7" s="12" t="s">
        <v>63</v>
      </c>
      <c r="E7" s="17">
        <v>160</v>
      </c>
      <c r="F7" s="22">
        <v>167</v>
      </c>
      <c r="G7" s="11">
        <v>163</v>
      </c>
    </row>
    <row r="8" spans="1:19" ht="15.75" customHeight="1" x14ac:dyDescent="0.2">
      <c r="D8" s="2"/>
      <c r="E8" s="1"/>
    </row>
    <row r="9" spans="1:19" x14ac:dyDescent="0.2">
      <c r="D9" s="2"/>
      <c r="E9" s="2"/>
    </row>
    <row r="10" spans="1:19" x14ac:dyDescent="0.25">
      <c r="A10" s="29"/>
      <c r="B10" s="29"/>
      <c r="C10" s="29"/>
      <c r="D10" s="32"/>
      <c r="E10" s="32"/>
      <c r="F10" s="29"/>
      <c r="G10" s="29"/>
      <c r="H10" s="29"/>
      <c r="I10" s="29"/>
      <c r="J10" s="29"/>
      <c r="K10" s="29"/>
      <c r="L10" s="29"/>
      <c r="M10" s="29"/>
      <c r="N10" s="29"/>
      <c r="O10" s="29"/>
      <c r="P10" s="29"/>
      <c r="Q10" s="29"/>
      <c r="R10" s="29"/>
    </row>
    <row r="11" spans="1:19" x14ac:dyDescent="0.25">
      <c r="A11" s="21" t="s">
        <v>271</v>
      </c>
      <c r="D11" s="2"/>
      <c r="E11" s="2"/>
    </row>
    <row r="12" spans="1:19" x14ac:dyDescent="0.25">
      <c r="I12" s="28"/>
    </row>
    <row r="13" spans="1:19" x14ac:dyDescent="0.25">
      <c r="C13" s="345" t="s">
        <v>273</v>
      </c>
      <c r="D13" s="297"/>
      <c r="E13" s="297"/>
      <c r="F13" s="297"/>
      <c r="G13" s="297"/>
      <c r="H13" s="150"/>
      <c r="I13" s="345" t="s">
        <v>274</v>
      </c>
      <c r="J13" s="297"/>
      <c r="K13" s="297"/>
      <c r="L13" s="297"/>
      <c r="M13" s="150"/>
    </row>
    <row r="14" spans="1:19" ht="64.5" customHeight="1" x14ac:dyDescent="0.2">
      <c r="C14" s="151" t="s">
        <v>0</v>
      </c>
      <c r="D14" s="152" t="s">
        <v>1</v>
      </c>
      <c r="E14" s="152" t="s">
        <v>42</v>
      </c>
      <c r="F14" s="152" t="s">
        <v>43</v>
      </c>
      <c r="G14" s="152" t="s">
        <v>44</v>
      </c>
      <c r="I14" s="296" t="s">
        <v>45</v>
      </c>
      <c r="J14" s="297"/>
      <c r="K14" s="297"/>
      <c r="L14" s="298"/>
      <c r="N14" s="324" t="s">
        <v>276</v>
      </c>
      <c r="O14" s="315"/>
      <c r="P14" s="315"/>
      <c r="Q14" s="315"/>
      <c r="R14" s="315"/>
      <c r="S14" s="315"/>
    </row>
    <row r="15" spans="1:19" ht="14.25" x14ac:dyDescent="0.2">
      <c r="C15" s="310" t="s">
        <v>8</v>
      </c>
      <c r="D15" s="297"/>
      <c r="E15" s="297"/>
      <c r="F15" s="297"/>
      <c r="G15" s="306"/>
      <c r="I15" s="305" t="s">
        <v>10</v>
      </c>
      <c r="J15" s="297"/>
      <c r="K15" s="297"/>
      <c r="L15" s="298"/>
      <c r="N15" s="315"/>
      <c r="O15" s="315"/>
      <c r="P15" s="315"/>
      <c r="Q15" s="315"/>
      <c r="R15" s="315"/>
      <c r="S15" s="315"/>
    </row>
    <row r="16" spans="1:19" ht="14.25" x14ac:dyDescent="0.2">
      <c r="C16" s="9" t="s">
        <v>11</v>
      </c>
      <c r="D16" s="12" t="s">
        <v>12</v>
      </c>
      <c r="E16" s="17">
        <v>580</v>
      </c>
      <c r="F16" s="22" t="s">
        <v>277</v>
      </c>
      <c r="G16" s="11">
        <v>584</v>
      </c>
      <c r="I16" s="12"/>
      <c r="J16" s="12" t="s">
        <v>52</v>
      </c>
      <c r="K16" s="12" t="s">
        <v>53</v>
      </c>
      <c r="L16" s="12"/>
      <c r="N16" s="315"/>
      <c r="O16" s="315"/>
      <c r="P16" s="315"/>
      <c r="Q16" s="315"/>
      <c r="R16" s="315"/>
      <c r="S16" s="315"/>
    </row>
    <row r="17" spans="1:19" ht="14.25" x14ac:dyDescent="0.2">
      <c r="C17" s="9" t="s">
        <v>11</v>
      </c>
      <c r="D17" s="12" t="s">
        <v>18</v>
      </c>
      <c r="E17" s="17">
        <v>0</v>
      </c>
      <c r="F17" s="22" t="s">
        <v>277</v>
      </c>
      <c r="G17" s="153">
        <v>0</v>
      </c>
      <c r="I17" s="12" t="s">
        <v>12</v>
      </c>
      <c r="J17" s="17">
        <v>550</v>
      </c>
      <c r="K17" s="11">
        <v>580</v>
      </c>
      <c r="L17" s="17" t="s">
        <v>279</v>
      </c>
      <c r="N17" s="315"/>
      <c r="O17" s="315"/>
      <c r="P17" s="315"/>
      <c r="Q17" s="315"/>
      <c r="R17" s="315"/>
      <c r="S17" s="315"/>
    </row>
    <row r="18" spans="1:19" ht="14.25" x14ac:dyDescent="0.2">
      <c r="C18" s="9" t="s">
        <v>21</v>
      </c>
      <c r="D18" s="12" t="s">
        <v>59</v>
      </c>
      <c r="E18" s="17">
        <v>440</v>
      </c>
      <c r="F18" s="22" t="s">
        <v>277</v>
      </c>
      <c r="G18" s="11">
        <v>440</v>
      </c>
      <c r="I18" s="12" t="s">
        <v>18</v>
      </c>
      <c r="J18" s="17">
        <v>0</v>
      </c>
      <c r="K18" s="11">
        <v>0</v>
      </c>
      <c r="L18" s="17" t="s">
        <v>281</v>
      </c>
      <c r="N18" s="315"/>
      <c r="O18" s="315"/>
      <c r="P18" s="315"/>
      <c r="Q18" s="315"/>
      <c r="R18" s="315"/>
      <c r="S18" s="315"/>
    </row>
    <row r="19" spans="1:19" ht="24.75" customHeight="1" x14ac:dyDescent="0.2">
      <c r="C19" s="9" t="s">
        <v>21</v>
      </c>
      <c r="D19" s="12" t="s">
        <v>63</v>
      </c>
      <c r="E19" s="17">
        <v>160</v>
      </c>
      <c r="F19" s="22" t="s">
        <v>277</v>
      </c>
      <c r="G19" s="11">
        <v>159</v>
      </c>
    </row>
    <row r="21" spans="1:19" ht="15.75" customHeight="1" x14ac:dyDescent="0.2"/>
    <row r="22" spans="1:19" ht="15.75" customHeight="1" x14ac:dyDescent="0.2"/>
    <row r="23" spans="1:19" ht="15.75" customHeight="1" x14ac:dyDescent="0.2"/>
    <row r="24" spans="1:19" ht="15.75" customHeight="1" x14ac:dyDescent="0.25">
      <c r="A24" s="29"/>
      <c r="B24" s="29"/>
      <c r="C24" s="29"/>
      <c r="D24" s="32"/>
      <c r="E24" s="32"/>
      <c r="F24" s="29"/>
      <c r="G24" s="29"/>
      <c r="H24" s="29"/>
      <c r="I24" s="29"/>
      <c r="J24" s="29"/>
      <c r="K24" s="29"/>
      <c r="L24" s="29"/>
      <c r="M24" s="29"/>
    </row>
    <row r="25" spans="1:19" ht="15.75" customHeight="1" x14ac:dyDescent="0.25">
      <c r="A25" s="21" t="s">
        <v>271</v>
      </c>
      <c r="D25" s="2"/>
      <c r="E25" s="2"/>
    </row>
    <row r="26" spans="1:19" ht="15.75" customHeight="1" x14ac:dyDescent="0.25">
      <c r="I26" s="28"/>
    </row>
    <row r="27" spans="1:19" ht="15.75" customHeight="1" x14ac:dyDescent="0.25">
      <c r="C27" s="345" t="s">
        <v>273</v>
      </c>
      <c r="D27" s="297"/>
      <c r="E27" s="297"/>
      <c r="F27" s="297"/>
      <c r="G27" s="297"/>
      <c r="H27" s="150"/>
      <c r="I27" s="345" t="s">
        <v>284</v>
      </c>
      <c r="J27" s="297"/>
      <c r="K27" s="297"/>
      <c r="L27" s="297"/>
      <c r="M27" s="150"/>
    </row>
    <row r="28" spans="1:19" ht="15.75" customHeight="1" x14ac:dyDescent="0.2">
      <c r="C28" s="151" t="s">
        <v>0</v>
      </c>
      <c r="D28" s="152" t="s">
        <v>1</v>
      </c>
      <c r="E28" s="152" t="s">
        <v>42</v>
      </c>
      <c r="F28" s="152" t="s">
        <v>43</v>
      </c>
      <c r="G28" s="152" t="s">
        <v>44</v>
      </c>
      <c r="I28" s="296" t="s">
        <v>45</v>
      </c>
      <c r="J28" s="297"/>
      <c r="K28" s="297"/>
      <c r="L28" s="298"/>
    </row>
    <row r="29" spans="1:19" ht="15.75" customHeight="1" x14ac:dyDescent="0.2">
      <c r="C29" s="310" t="s">
        <v>8</v>
      </c>
      <c r="D29" s="297"/>
      <c r="E29" s="297"/>
      <c r="F29" s="297"/>
      <c r="G29" s="306"/>
      <c r="I29" s="305" t="s">
        <v>10</v>
      </c>
      <c r="J29" s="297"/>
      <c r="K29" s="297"/>
      <c r="L29" s="298"/>
    </row>
    <row r="30" spans="1:19" ht="15.75" customHeight="1" x14ac:dyDescent="0.2">
      <c r="C30" s="9" t="s">
        <v>11</v>
      </c>
      <c r="D30" s="12" t="s">
        <v>12</v>
      </c>
      <c r="E30" s="17">
        <v>580</v>
      </c>
      <c r="F30" s="22">
        <v>609</v>
      </c>
      <c r="G30" s="11">
        <v>517</v>
      </c>
      <c r="I30" s="12"/>
      <c r="J30" s="12" t="s">
        <v>52</v>
      </c>
      <c r="K30" s="12" t="s">
        <v>53</v>
      </c>
      <c r="L30" s="12"/>
    </row>
    <row r="31" spans="1:19" ht="15.75" customHeight="1" x14ac:dyDescent="0.2">
      <c r="C31" s="9" t="s">
        <v>11</v>
      </c>
      <c r="D31" s="12" t="s">
        <v>18</v>
      </c>
      <c r="E31" s="17">
        <v>0</v>
      </c>
      <c r="F31" s="22">
        <v>0</v>
      </c>
      <c r="G31" s="153">
        <v>0</v>
      </c>
      <c r="I31" s="12" t="s">
        <v>12</v>
      </c>
      <c r="J31" s="17">
        <v>580</v>
      </c>
      <c r="K31" s="11">
        <v>517</v>
      </c>
      <c r="L31" s="17" t="s">
        <v>285</v>
      </c>
    </row>
    <row r="32" spans="1:19" ht="15.75" customHeight="1" x14ac:dyDescent="0.2">
      <c r="C32" s="9" t="s">
        <v>21</v>
      </c>
      <c r="D32" s="12" t="s">
        <v>59</v>
      </c>
      <c r="E32" s="17">
        <v>440</v>
      </c>
      <c r="F32" s="22">
        <v>541</v>
      </c>
      <c r="G32" s="11">
        <v>440</v>
      </c>
      <c r="I32" s="12" t="s">
        <v>18</v>
      </c>
      <c r="J32" s="17">
        <v>0</v>
      </c>
      <c r="K32" s="11">
        <v>0</v>
      </c>
      <c r="L32" s="17" t="s">
        <v>287</v>
      </c>
    </row>
    <row r="33" spans="1:13" ht="15.75" customHeight="1" x14ac:dyDescent="0.2">
      <c r="C33" s="9" t="s">
        <v>21</v>
      </c>
      <c r="D33" s="12" t="s">
        <v>63</v>
      </c>
      <c r="E33" s="17">
        <v>160</v>
      </c>
      <c r="F33" s="22">
        <v>220</v>
      </c>
      <c r="G33" s="11">
        <v>166</v>
      </c>
    </row>
    <row r="34" spans="1:13" ht="15.75" customHeight="1" x14ac:dyDescent="0.2"/>
    <row r="35" spans="1:13" ht="15.75" customHeight="1" x14ac:dyDescent="0.2"/>
    <row r="36" spans="1:13" ht="15.75" customHeight="1" x14ac:dyDescent="0.2"/>
    <row r="37" spans="1:13" ht="15.75" customHeight="1" x14ac:dyDescent="0.25">
      <c r="A37" s="29"/>
      <c r="B37" s="29"/>
      <c r="C37" s="29"/>
      <c r="D37" s="32"/>
      <c r="E37" s="32"/>
      <c r="F37" s="29"/>
      <c r="G37" s="29"/>
      <c r="H37" s="29"/>
      <c r="I37" s="29"/>
      <c r="J37" s="29"/>
      <c r="K37" s="29"/>
      <c r="L37" s="29"/>
      <c r="M37" s="29"/>
    </row>
    <row r="38" spans="1:13" ht="15.75" customHeight="1" x14ac:dyDescent="0.25">
      <c r="A38" s="21" t="s">
        <v>290</v>
      </c>
      <c r="D38" s="2"/>
      <c r="E38" s="2"/>
    </row>
    <row r="39" spans="1:13" ht="15.75" customHeight="1" x14ac:dyDescent="0.25">
      <c r="I39" s="28"/>
    </row>
    <row r="40" spans="1:13" ht="15.75" customHeight="1" x14ac:dyDescent="0.25">
      <c r="C40" s="345" t="s">
        <v>292</v>
      </c>
      <c r="D40" s="297"/>
      <c r="E40" s="297"/>
      <c r="F40" s="297"/>
      <c r="G40" s="297"/>
      <c r="H40" s="150"/>
      <c r="I40" s="345" t="s">
        <v>284</v>
      </c>
      <c r="J40" s="297"/>
      <c r="K40" s="297"/>
      <c r="L40" s="297"/>
      <c r="M40" s="150"/>
    </row>
    <row r="41" spans="1:13" ht="15.75" customHeight="1" x14ac:dyDescent="0.2">
      <c r="C41" s="151" t="s">
        <v>0</v>
      </c>
      <c r="D41" s="152" t="s">
        <v>1</v>
      </c>
      <c r="E41" s="152" t="s">
        <v>42</v>
      </c>
      <c r="F41" s="152" t="s">
        <v>43</v>
      </c>
      <c r="G41" s="152" t="s">
        <v>44</v>
      </c>
      <c r="I41" s="296" t="s">
        <v>45</v>
      </c>
      <c r="J41" s="297"/>
      <c r="K41" s="297"/>
      <c r="L41" s="298"/>
    </row>
    <row r="42" spans="1:13" ht="15.75" customHeight="1" x14ac:dyDescent="0.2">
      <c r="C42" s="310" t="s">
        <v>8</v>
      </c>
      <c r="D42" s="297"/>
      <c r="E42" s="297"/>
      <c r="F42" s="297"/>
      <c r="G42" s="306"/>
      <c r="I42" s="305" t="s">
        <v>10</v>
      </c>
      <c r="J42" s="297"/>
      <c r="K42" s="297"/>
      <c r="L42" s="298"/>
    </row>
    <row r="43" spans="1:13" ht="15.75" customHeight="1" x14ac:dyDescent="0.2">
      <c r="C43" s="9" t="s">
        <v>11</v>
      </c>
      <c r="D43" s="12" t="s">
        <v>12</v>
      </c>
      <c r="E43" s="17"/>
      <c r="F43" s="22">
        <v>499</v>
      </c>
      <c r="G43" s="11">
        <v>535</v>
      </c>
      <c r="I43" s="12"/>
      <c r="J43" s="12" t="s">
        <v>52</v>
      </c>
      <c r="K43" s="12" t="s">
        <v>53</v>
      </c>
      <c r="L43" s="12"/>
    </row>
    <row r="44" spans="1:13" ht="15.75" customHeight="1" x14ac:dyDescent="0.2">
      <c r="C44" s="9" t="s">
        <v>11</v>
      </c>
      <c r="D44" s="12" t="s">
        <v>18</v>
      </c>
      <c r="E44" s="17">
        <v>0</v>
      </c>
      <c r="F44" s="22">
        <v>0</v>
      </c>
      <c r="G44" s="153">
        <v>0</v>
      </c>
      <c r="I44" s="12" t="s">
        <v>12</v>
      </c>
      <c r="J44" s="17">
        <v>500</v>
      </c>
      <c r="K44" s="11">
        <v>535</v>
      </c>
      <c r="L44" s="17" t="s">
        <v>297</v>
      </c>
    </row>
    <row r="45" spans="1:13" ht="15.75" customHeight="1" x14ac:dyDescent="0.2">
      <c r="C45" s="9" t="s">
        <v>21</v>
      </c>
      <c r="D45" s="12" t="s">
        <v>59</v>
      </c>
      <c r="E45" s="17">
        <v>440</v>
      </c>
      <c r="F45" s="22">
        <v>412</v>
      </c>
      <c r="G45" s="11">
        <v>535</v>
      </c>
      <c r="I45" s="12" t="s">
        <v>18</v>
      </c>
      <c r="J45" s="17">
        <v>0</v>
      </c>
      <c r="K45" s="11">
        <v>0</v>
      </c>
      <c r="L45" s="17" t="s">
        <v>298</v>
      </c>
    </row>
    <row r="46" spans="1:13" ht="15.75" customHeight="1" x14ac:dyDescent="0.2">
      <c r="C46" s="9" t="s">
        <v>21</v>
      </c>
      <c r="D46" s="12" t="s">
        <v>63</v>
      </c>
      <c r="E46" s="17">
        <v>160</v>
      </c>
      <c r="F46" s="22">
        <v>152</v>
      </c>
      <c r="G46" s="11">
        <v>167</v>
      </c>
    </row>
    <row r="47" spans="1:13" ht="15.75" customHeight="1" x14ac:dyDescent="0.2"/>
    <row r="48" spans="1:13"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9">
    <mergeCell ref="C42:G42"/>
    <mergeCell ref="I42:L42"/>
    <mergeCell ref="I14:L14"/>
    <mergeCell ref="I15:L15"/>
    <mergeCell ref="C27:G27"/>
    <mergeCell ref="I27:L27"/>
    <mergeCell ref="I28:L28"/>
    <mergeCell ref="C29:G29"/>
    <mergeCell ref="I29:L29"/>
    <mergeCell ref="N14:S18"/>
    <mergeCell ref="C15:G15"/>
    <mergeCell ref="C40:G40"/>
    <mergeCell ref="I40:L40"/>
    <mergeCell ref="I41:L41"/>
    <mergeCell ref="I2:L2"/>
    <mergeCell ref="C3:G3"/>
    <mergeCell ref="I3:L3"/>
    <mergeCell ref="C13:G13"/>
    <mergeCell ref="I13:L13"/>
  </mergeCell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Z1000"/>
  <sheetViews>
    <sheetView workbookViewId="0"/>
  </sheetViews>
  <sheetFormatPr baseColWidth="10" defaultColWidth="12.625" defaultRowHeight="15" customHeight="1" x14ac:dyDescent="0.2"/>
  <cols>
    <col min="1" max="6" width="10" customWidth="1"/>
    <col min="7" max="7" width="11.5" customWidth="1"/>
    <col min="8" max="26" width="10" customWidth="1"/>
  </cols>
  <sheetData>
    <row r="2" spans="1:26" ht="24" x14ac:dyDescent="0.2">
      <c r="C2" s="4" t="s">
        <v>0</v>
      </c>
      <c r="D2" s="5" t="s">
        <v>1</v>
      </c>
      <c r="E2" s="5" t="s">
        <v>42</v>
      </c>
      <c r="F2" s="5" t="s">
        <v>43</v>
      </c>
      <c r="G2" s="5" t="s">
        <v>44</v>
      </c>
      <c r="I2" s="296" t="s">
        <v>45</v>
      </c>
      <c r="J2" s="297"/>
      <c r="K2" s="297"/>
      <c r="L2" s="298"/>
    </row>
    <row r="3" spans="1:26" ht="14.25" x14ac:dyDescent="0.2">
      <c r="C3" s="310" t="s">
        <v>8</v>
      </c>
      <c r="D3" s="297"/>
      <c r="E3" s="297"/>
      <c r="F3" s="297"/>
      <c r="G3" s="306"/>
      <c r="I3" s="305" t="s">
        <v>10</v>
      </c>
      <c r="J3" s="297"/>
      <c r="K3" s="297"/>
      <c r="L3" s="298"/>
    </row>
    <row r="4" spans="1:26" ht="14.25" x14ac:dyDescent="0.2">
      <c r="C4" s="9" t="s">
        <v>11</v>
      </c>
      <c r="D4" s="12" t="s">
        <v>12</v>
      </c>
      <c r="E4" s="17">
        <v>750</v>
      </c>
      <c r="F4" s="22">
        <v>749</v>
      </c>
      <c r="G4" s="11">
        <v>799</v>
      </c>
      <c r="I4" s="12"/>
      <c r="J4" s="12" t="s">
        <v>52</v>
      </c>
      <c r="K4" s="12" t="s">
        <v>53</v>
      </c>
      <c r="L4" s="12"/>
    </row>
    <row r="5" spans="1:26" ht="14.25" x14ac:dyDescent="0.2">
      <c r="C5" s="9" t="s">
        <v>11</v>
      </c>
      <c r="D5" s="12" t="s">
        <v>18</v>
      </c>
      <c r="E5" s="17">
        <v>0</v>
      </c>
      <c r="F5" s="22">
        <v>0</v>
      </c>
      <c r="G5" s="11">
        <v>0</v>
      </c>
      <c r="I5" s="12" t="s">
        <v>12</v>
      </c>
      <c r="J5" s="17">
        <v>750</v>
      </c>
      <c r="K5" s="11">
        <v>800</v>
      </c>
      <c r="L5" s="17" t="s">
        <v>299</v>
      </c>
    </row>
    <row r="6" spans="1:26" ht="25.5" x14ac:dyDescent="0.2">
      <c r="C6" s="9" t="s">
        <v>21</v>
      </c>
      <c r="D6" s="12" t="s">
        <v>59</v>
      </c>
      <c r="E6" s="17">
        <v>440</v>
      </c>
      <c r="F6" s="22">
        <v>420</v>
      </c>
      <c r="G6" s="11">
        <v>452</v>
      </c>
      <c r="I6" s="12" t="s">
        <v>18</v>
      </c>
      <c r="J6" s="17">
        <v>0</v>
      </c>
      <c r="K6" s="11">
        <v>0</v>
      </c>
      <c r="L6" s="17" t="s">
        <v>300</v>
      </c>
    </row>
    <row r="7" spans="1:26" ht="25.5" x14ac:dyDescent="0.2">
      <c r="C7" s="9" t="s">
        <v>21</v>
      </c>
      <c r="D7" s="12" t="s">
        <v>63</v>
      </c>
      <c r="E7" s="17">
        <v>160</v>
      </c>
      <c r="F7" s="22">
        <v>150</v>
      </c>
      <c r="G7" s="11">
        <v>165</v>
      </c>
      <c r="I7" s="305" t="s">
        <v>23</v>
      </c>
      <c r="J7" s="297"/>
      <c r="K7" s="297"/>
      <c r="L7" s="298"/>
    </row>
    <row r="8" spans="1:26" ht="14.25" x14ac:dyDescent="0.2">
      <c r="C8" s="310" t="s">
        <v>29</v>
      </c>
      <c r="D8" s="297"/>
      <c r="E8" s="297"/>
      <c r="F8" s="297"/>
      <c r="G8" s="306"/>
      <c r="I8" s="12" t="s">
        <v>12</v>
      </c>
      <c r="J8" s="17">
        <v>700</v>
      </c>
      <c r="K8" s="11">
        <v>750</v>
      </c>
      <c r="L8" s="17" t="s">
        <v>301</v>
      </c>
    </row>
    <row r="9" spans="1:26" ht="14.25" x14ac:dyDescent="0.2">
      <c r="C9" s="9" t="s">
        <v>11</v>
      </c>
      <c r="D9" s="12" t="s">
        <v>12</v>
      </c>
      <c r="E9" s="17">
        <v>700</v>
      </c>
      <c r="F9" s="22">
        <v>700</v>
      </c>
      <c r="G9" s="22">
        <v>747</v>
      </c>
      <c r="I9" s="12" t="s">
        <v>18</v>
      </c>
      <c r="J9" s="17">
        <v>0</v>
      </c>
      <c r="K9" s="11">
        <v>0</v>
      </c>
      <c r="L9" s="17" t="s">
        <v>302</v>
      </c>
    </row>
    <row r="10" spans="1:26" ht="14.25" x14ac:dyDescent="0.2">
      <c r="C10" s="9" t="s">
        <v>11</v>
      </c>
      <c r="D10" s="12" t="s">
        <v>18</v>
      </c>
      <c r="E10" s="17">
        <v>0</v>
      </c>
      <c r="F10" s="22">
        <v>0</v>
      </c>
      <c r="G10" s="22">
        <v>0</v>
      </c>
    </row>
    <row r="11" spans="1:26" ht="25.5" x14ac:dyDescent="0.2">
      <c r="C11" s="9" t="s">
        <v>21</v>
      </c>
      <c r="D11" s="12" t="s">
        <v>59</v>
      </c>
      <c r="E11" s="17">
        <v>430</v>
      </c>
      <c r="F11" s="22">
        <v>385</v>
      </c>
      <c r="G11" s="22">
        <v>145</v>
      </c>
    </row>
    <row r="12" spans="1:26" ht="25.5" x14ac:dyDescent="0.2">
      <c r="C12" s="9" t="s">
        <v>21</v>
      </c>
      <c r="D12" s="12" t="s">
        <v>63</v>
      </c>
      <c r="E12" s="17">
        <v>150</v>
      </c>
      <c r="F12" s="22">
        <v>140</v>
      </c>
      <c r="G12" s="22">
        <v>422</v>
      </c>
    </row>
    <row r="13" spans="1:26" x14ac:dyDescent="0.2">
      <c r="D13" s="2"/>
      <c r="E13" s="1"/>
    </row>
    <row r="14" spans="1:26" x14ac:dyDescent="0.2">
      <c r="D14" s="2"/>
      <c r="E14" s="2"/>
    </row>
    <row r="15" spans="1:26" x14ac:dyDescent="0.25">
      <c r="A15" s="29"/>
      <c r="B15" s="29"/>
      <c r="C15" s="29"/>
      <c r="D15" s="32"/>
      <c r="E15" s="32"/>
      <c r="F15" s="29"/>
      <c r="G15" s="29"/>
      <c r="H15" s="29"/>
      <c r="I15" s="29"/>
      <c r="J15" s="29"/>
      <c r="K15" s="29"/>
      <c r="L15" s="29"/>
      <c r="M15" s="29"/>
      <c r="N15" s="29"/>
      <c r="O15" s="29"/>
      <c r="P15" s="29"/>
      <c r="Q15" s="29"/>
      <c r="R15" s="29"/>
      <c r="S15" s="29"/>
      <c r="T15" s="29"/>
      <c r="U15" s="29"/>
      <c r="V15" s="29"/>
      <c r="W15" s="29"/>
      <c r="X15" s="29"/>
      <c r="Y15" s="29"/>
      <c r="Z15" s="29"/>
    </row>
    <row r="16" spans="1:26" x14ac:dyDescent="0.2">
      <c r="D16" s="2"/>
      <c r="E16" s="2"/>
    </row>
    <row r="17" spans="1:26" x14ac:dyDescent="0.2">
      <c r="D17" s="2"/>
      <c r="E17" s="2"/>
    </row>
    <row r="18" spans="1:26" x14ac:dyDescent="0.25">
      <c r="C18" s="21" t="s">
        <v>303</v>
      </c>
      <c r="D18" s="2"/>
      <c r="E18" s="2"/>
    </row>
    <row r="20" spans="1:26" ht="36.75" customHeight="1" x14ac:dyDescent="0.2">
      <c r="C20" s="4" t="s">
        <v>0</v>
      </c>
      <c r="D20" s="5" t="s">
        <v>1</v>
      </c>
      <c r="E20" s="5" t="s">
        <v>42</v>
      </c>
      <c r="F20" s="5" t="s">
        <v>43</v>
      </c>
      <c r="G20" s="5" t="s">
        <v>44</v>
      </c>
      <c r="I20" s="296" t="s">
        <v>45</v>
      </c>
      <c r="J20" s="297"/>
      <c r="K20" s="297"/>
      <c r="L20" s="298"/>
    </row>
    <row r="21" spans="1:26" ht="36.75" customHeight="1" x14ac:dyDescent="0.2">
      <c r="C21" s="310" t="s">
        <v>8</v>
      </c>
      <c r="D21" s="297"/>
      <c r="E21" s="297"/>
      <c r="F21" s="297"/>
      <c r="G21" s="306"/>
      <c r="I21" s="305" t="s">
        <v>10</v>
      </c>
      <c r="J21" s="297"/>
      <c r="K21" s="297"/>
      <c r="L21" s="298"/>
    </row>
    <row r="22" spans="1:26" ht="15.75" customHeight="1" x14ac:dyDescent="0.2">
      <c r="C22" s="9" t="s">
        <v>11</v>
      </c>
      <c r="D22" s="12" t="s">
        <v>12</v>
      </c>
      <c r="E22" s="17">
        <v>800</v>
      </c>
      <c r="F22" s="22" t="s">
        <v>304</v>
      </c>
      <c r="G22" s="11">
        <v>799</v>
      </c>
      <c r="I22" s="12"/>
      <c r="J22" s="12" t="s">
        <v>52</v>
      </c>
      <c r="K22" s="12" t="s">
        <v>53</v>
      </c>
      <c r="L22" s="12"/>
    </row>
    <row r="23" spans="1:26" ht="15.75" customHeight="1" x14ac:dyDescent="0.2">
      <c r="C23" s="9" t="s">
        <v>11</v>
      </c>
      <c r="D23" s="12" t="s">
        <v>18</v>
      </c>
      <c r="E23" s="17">
        <v>0</v>
      </c>
      <c r="F23" s="22"/>
      <c r="G23" s="11">
        <v>0</v>
      </c>
      <c r="I23" s="12" t="s">
        <v>12</v>
      </c>
      <c r="J23" s="17">
        <v>800</v>
      </c>
      <c r="K23" s="11">
        <v>800</v>
      </c>
      <c r="L23" s="17" t="s">
        <v>305</v>
      </c>
    </row>
    <row r="24" spans="1:26" ht="15.75" customHeight="1" x14ac:dyDescent="0.2">
      <c r="C24" s="9" t="s">
        <v>21</v>
      </c>
      <c r="D24" s="12" t="s">
        <v>59</v>
      </c>
      <c r="E24" s="17">
        <v>440</v>
      </c>
      <c r="F24" s="22"/>
      <c r="G24" s="11">
        <v>452</v>
      </c>
      <c r="I24" s="12" t="s">
        <v>18</v>
      </c>
      <c r="J24" s="17">
        <v>0</v>
      </c>
      <c r="K24" s="11">
        <v>0</v>
      </c>
      <c r="L24" s="17" t="s">
        <v>306</v>
      </c>
    </row>
    <row r="25" spans="1:26" ht="15.75" customHeight="1" x14ac:dyDescent="0.2">
      <c r="C25" s="9" t="s">
        <v>21</v>
      </c>
      <c r="D25" s="12" t="s">
        <v>63</v>
      </c>
      <c r="E25" s="17">
        <v>160</v>
      </c>
      <c r="F25" s="22"/>
      <c r="G25" s="11">
        <v>165</v>
      </c>
      <c r="I25" s="305" t="s">
        <v>23</v>
      </c>
      <c r="J25" s="297"/>
      <c r="K25" s="297"/>
      <c r="L25" s="298"/>
    </row>
    <row r="26" spans="1:26" ht="15.75" customHeight="1" x14ac:dyDescent="0.2">
      <c r="C26" s="310" t="s">
        <v>29</v>
      </c>
      <c r="D26" s="297"/>
      <c r="E26" s="297"/>
      <c r="F26" s="297"/>
      <c r="G26" s="306"/>
      <c r="I26" s="12" t="s">
        <v>12</v>
      </c>
      <c r="J26" s="17">
        <v>750</v>
      </c>
      <c r="K26" s="11">
        <v>750</v>
      </c>
      <c r="L26" s="17" t="s">
        <v>308</v>
      </c>
    </row>
    <row r="27" spans="1:26" ht="15.75" customHeight="1" x14ac:dyDescent="0.2">
      <c r="C27" s="9" t="s">
        <v>11</v>
      </c>
      <c r="D27" s="12" t="s">
        <v>12</v>
      </c>
      <c r="E27" s="17">
        <v>750</v>
      </c>
      <c r="F27" s="22"/>
      <c r="G27" s="22">
        <v>747</v>
      </c>
      <c r="I27" s="12" t="s">
        <v>18</v>
      </c>
      <c r="J27" s="17">
        <v>0</v>
      </c>
      <c r="K27" s="11">
        <v>0</v>
      </c>
      <c r="L27" s="17" t="s">
        <v>310</v>
      </c>
    </row>
    <row r="28" spans="1:26" ht="15.75" customHeight="1" x14ac:dyDescent="0.2">
      <c r="C28" s="9" t="s">
        <v>11</v>
      </c>
      <c r="D28" s="12" t="s">
        <v>18</v>
      </c>
      <c r="E28" s="17">
        <v>0</v>
      </c>
      <c r="F28" s="22"/>
      <c r="G28" s="22">
        <v>0</v>
      </c>
    </row>
    <row r="29" spans="1:26" ht="15.75" customHeight="1" x14ac:dyDescent="0.2">
      <c r="C29" s="9" t="s">
        <v>21</v>
      </c>
      <c r="D29" s="12" t="s">
        <v>59</v>
      </c>
      <c r="E29" s="17">
        <v>430</v>
      </c>
      <c r="F29" s="22"/>
      <c r="G29" s="22">
        <v>440</v>
      </c>
    </row>
    <row r="30" spans="1:26" ht="15.75" customHeight="1" x14ac:dyDescent="0.2">
      <c r="C30" s="9" t="s">
        <v>21</v>
      </c>
      <c r="D30" s="12" t="s">
        <v>63</v>
      </c>
      <c r="E30" s="17">
        <v>150</v>
      </c>
      <c r="F30" s="22"/>
      <c r="G30" s="22">
        <v>157</v>
      </c>
    </row>
    <row r="31" spans="1:26" ht="15.75" customHeight="1" x14ac:dyDescent="0.2">
      <c r="D31" s="2"/>
      <c r="E31" s="1"/>
    </row>
    <row r="32" spans="1:26" ht="15.75" customHeight="1" x14ac:dyDescent="0.25">
      <c r="A32" s="29"/>
      <c r="B32" s="29"/>
      <c r="C32" s="29"/>
      <c r="D32" s="32"/>
      <c r="E32" s="32"/>
      <c r="F32" s="29"/>
      <c r="G32" s="29"/>
      <c r="H32" s="29"/>
      <c r="I32" s="29"/>
      <c r="J32" s="29"/>
      <c r="K32" s="29"/>
      <c r="L32" s="29"/>
      <c r="M32" s="29"/>
      <c r="N32" s="29"/>
      <c r="O32" s="29"/>
      <c r="P32" s="29"/>
      <c r="Q32" s="29"/>
      <c r="R32" s="29"/>
      <c r="S32" s="29"/>
      <c r="T32" s="29"/>
      <c r="U32" s="29"/>
      <c r="V32" s="29"/>
      <c r="W32" s="29"/>
      <c r="X32" s="29"/>
      <c r="Y32" s="29"/>
      <c r="Z32" s="29"/>
    </row>
    <row r="33" spans="3:12" ht="15.75" customHeight="1" x14ac:dyDescent="0.2"/>
    <row r="34" spans="3:12" ht="15.75" customHeight="1" x14ac:dyDescent="0.25">
      <c r="C34" s="21" t="s">
        <v>303</v>
      </c>
      <c r="D34" s="2"/>
      <c r="E34" s="2"/>
    </row>
    <row r="35" spans="3:12" ht="15.75" customHeight="1" x14ac:dyDescent="0.2"/>
    <row r="36" spans="3:12" ht="36.75" customHeight="1" x14ac:dyDescent="0.2">
      <c r="C36" s="4" t="s">
        <v>0</v>
      </c>
      <c r="D36" s="5" t="s">
        <v>1</v>
      </c>
      <c r="E36" s="5" t="s">
        <v>42</v>
      </c>
      <c r="F36" s="5" t="s">
        <v>43</v>
      </c>
      <c r="G36" s="5" t="s">
        <v>44</v>
      </c>
      <c r="I36" s="296" t="s">
        <v>45</v>
      </c>
      <c r="J36" s="297"/>
      <c r="K36" s="297"/>
      <c r="L36" s="298"/>
    </row>
    <row r="37" spans="3:12" ht="36.75" customHeight="1" x14ac:dyDescent="0.2">
      <c r="C37" s="310" t="s">
        <v>8</v>
      </c>
      <c r="D37" s="297"/>
      <c r="E37" s="297"/>
      <c r="F37" s="297"/>
      <c r="G37" s="306"/>
      <c r="I37" s="305" t="s">
        <v>10</v>
      </c>
      <c r="J37" s="297"/>
      <c r="K37" s="297"/>
      <c r="L37" s="298"/>
    </row>
    <row r="38" spans="3:12" ht="15.75" customHeight="1" x14ac:dyDescent="0.2">
      <c r="C38" s="9" t="s">
        <v>11</v>
      </c>
      <c r="D38" s="12" t="s">
        <v>12</v>
      </c>
      <c r="E38" s="17">
        <v>800</v>
      </c>
      <c r="F38" s="22">
        <v>785</v>
      </c>
      <c r="G38" s="11">
        <v>790</v>
      </c>
      <c r="I38" s="12"/>
      <c r="J38" s="12" t="s">
        <v>52</v>
      </c>
      <c r="K38" s="12" t="s">
        <v>53</v>
      </c>
      <c r="L38" s="12"/>
    </row>
    <row r="39" spans="3:12" ht="15.75" customHeight="1" x14ac:dyDescent="0.2">
      <c r="C39" s="9" t="s">
        <v>11</v>
      </c>
      <c r="D39" s="12" t="s">
        <v>18</v>
      </c>
      <c r="E39" s="17">
        <v>0</v>
      </c>
      <c r="F39" s="22">
        <v>0</v>
      </c>
      <c r="G39" s="11">
        <v>0</v>
      </c>
      <c r="I39" s="12" t="s">
        <v>12</v>
      </c>
      <c r="J39" s="17">
        <v>800</v>
      </c>
      <c r="K39" s="11">
        <v>790</v>
      </c>
      <c r="L39" s="17" t="s">
        <v>316</v>
      </c>
    </row>
    <row r="40" spans="3:12" ht="15.75" customHeight="1" x14ac:dyDescent="0.2">
      <c r="C40" s="9" t="s">
        <v>21</v>
      </c>
      <c r="D40" s="12" t="s">
        <v>59</v>
      </c>
      <c r="E40" s="17">
        <v>440</v>
      </c>
      <c r="F40" s="22">
        <v>480</v>
      </c>
      <c r="G40" s="11">
        <v>448</v>
      </c>
      <c r="I40" s="12" t="s">
        <v>18</v>
      </c>
      <c r="J40" s="17">
        <v>0</v>
      </c>
      <c r="K40" s="11">
        <v>0</v>
      </c>
      <c r="L40" s="17" t="s">
        <v>317</v>
      </c>
    </row>
    <row r="41" spans="3:12" ht="15.75" customHeight="1" x14ac:dyDescent="0.2">
      <c r="C41" s="9" t="s">
        <v>21</v>
      </c>
      <c r="D41" s="12" t="s">
        <v>63</v>
      </c>
      <c r="E41" s="17">
        <v>160</v>
      </c>
      <c r="F41" s="22">
        <v>140</v>
      </c>
      <c r="G41" s="11">
        <v>153</v>
      </c>
      <c r="I41" s="305" t="s">
        <v>23</v>
      </c>
      <c r="J41" s="297"/>
      <c r="K41" s="297"/>
      <c r="L41" s="298"/>
    </row>
    <row r="42" spans="3:12" ht="15.75" customHeight="1" x14ac:dyDescent="0.2">
      <c r="C42" s="310" t="s">
        <v>29</v>
      </c>
      <c r="D42" s="297"/>
      <c r="E42" s="297"/>
      <c r="F42" s="297"/>
      <c r="G42" s="306"/>
      <c r="I42" s="12" t="s">
        <v>12</v>
      </c>
      <c r="J42" s="17">
        <v>750</v>
      </c>
      <c r="K42" s="11">
        <v>740</v>
      </c>
      <c r="L42" s="17" t="s">
        <v>319</v>
      </c>
    </row>
    <row r="43" spans="3:12" ht="15.75" customHeight="1" x14ac:dyDescent="0.2">
      <c r="C43" s="9" t="s">
        <v>11</v>
      </c>
      <c r="D43" s="12" t="s">
        <v>12</v>
      </c>
      <c r="E43" s="17">
        <v>750</v>
      </c>
      <c r="F43" s="22">
        <v>760</v>
      </c>
      <c r="G43" s="22">
        <v>740</v>
      </c>
      <c r="I43" s="12" t="s">
        <v>18</v>
      </c>
      <c r="J43" s="17">
        <v>0</v>
      </c>
      <c r="K43" s="11">
        <v>0</v>
      </c>
      <c r="L43" s="17" t="s">
        <v>320</v>
      </c>
    </row>
    <row r="44" spans="3:12" ht="15.75" customHeight="1" x14ac:dyDescent="0.2">
      <c r="C44" s="9" t="s">
        <v>11</v>
      </c>
      <c r="D44" s="12" t="s">
        <v>18</v>
      </c>
      <c r="E44" s="17">
        <v>0</v>
      </c>
      <c r="F44" s="22">
        <v>0</v>
      </c>
      <c r="G44" s="22">
        <v>0</v>
      </c>
    </row>
    <row r="45" spans="3:12" ht="15.75" customHeight="1" x14ac:dyDescent="0.2">
      <c r="C45" s="9" t="s">
        <v>21</v>
      </c>
      <c r="D45" s="12" t="s">
        <v>59</v>
      </c>
      <c r="E45" s="17">
        <v>430</v>
      </c>
      <c r="F45" s="22">
        <v>448</v>
      </c>
      <c r="G45" s="22">
        <v>435</v>
      </c>
    </row>
    <row r="46" spans="3:12" ht="15.75" customHeight="1" x14ac:dyDescent="0.2">
      <c r="C46" s="9" t="s">
        <v>21</v>
      </c>
      <c r="D46" s="12" t="s">
        <v>63</v>
      </c>
      <c r="E46" s="17">
        <v>150</v>
      </c>
      <c r="F46" s="22">
        <v>160</v>
      </c>
      <c r="G46" s="22">
        <v>140</v>
      </c>
    </row>
    <row r="47" spans="3:12" ht="15.75" customHeight="1" x14ac:dyDescent="0.2"/>
    <row r="48" spans="3:12" ht="15.75" customHeight="1" x14ac:dyDescent="0.2"/>
    <row r="49" spans="1:26" ht="15.75" customHeight="1" x14ac:dyDescent="0.25">
      <c r="A49" s="29"/>
      <c r="B49" s="29"/>
      <c r="C49" s="29"/>
      <c r="D49" s="32"/>
      <c r="E49" s="32"/>
      <c r="F49" s="29"/>
      <c r="G49" s="29"/>
      <c r="H49" s="29"/>
      <c r="I49" s="29"/>
      <c r="J49" s="29"/>
      <c r="K49" s="29"/>
      <c r="L49" s="29"/>
      <c r="M49" s="29"/>
      <c r="N49" s="29"/>
      <c r="O49" s="29"/>
      <c r="P49" s="29"/>
      <c r="Q49" s="29"/>
      <c r="R49" s="29"/>
      <c r="S49" s="29"/>
      <c r="T49" s="29"/>
      <c r="U49" s="29"/>
      <c r="V49" s="29"/>
      <c r="W49" s="29"/>
      <c r="X49" s="29"/>
      <c r="Y49" s="29"/>
      <c r="Z49" s="29"/>
    </row>
    <row r="50" spans="1:26" ht="15.75" customHeight="1" x14ac:dyDescent="0.25">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5.75" customHeight="1" x14ac:dyDescent="0.25">
      <c r="A51" s="28"/>
      <c r="B51" s="28"/>
      <c r="C51" s="28" t="s">
        <v>303</v>
      </c>
      <c r="D51" s="2"/>
      <c r="E51" s="2"/>
      <c r="F51" s="28"/>
      <c r="G51" s="28"/>
      <c r="H51" s="28"/>
      <c r="I51" s="28"/>
      <c r="J51" s="28"/>
      <c r="K51" s="28"/>
      <c r="L51" s="28"/>
      <c r="M51" s="28"/>
      <c r="N51" s="28"/>
      <c r="O51" s="28"/>
      <c r="P51" s="28"/>
      <c r="Q51" s="28"/>
      <c r="R51" s="28"/>
      <c r="S51" s="28"/>
      <c r="T51" s="28"/>
      <c r="U51" s="28"/>
      <c r="V51" s="28"/>
      <c r="W51" s="28"/>
      <c r="X51" s="28"/>
      <c r="Y51" s="28"/>
      <c r="Z51" s="28"/>
    </row>
    <row r="52" spans="1:26" ht="15.75" customHeight="1" x14ac:dyDescent="0.25">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36.75" customHeight="1" x14ac:dyDescent="0.25">
      <c r="A53" s="28"/>
      <c r="B53" s="28"/>
      <c r="C53" s="4" t="s">
        <v>0</v>
      </c>
      <c r="D53" s="5" t="s">
        <v>1</v>
      </c>
      <c r="E53" s="5" t="s">
        <v>42</v>
      </c>
      <c r="F53" s="5" t="s">
        <v>43</v>
      </c>
      <c r="G53" s="5" t="s">
        <v>44</v>
      </c>
      <c r="H53" s="28"/>
      <c r="I53" s="296" t="s">
        <v>45</v>
      </c>
      <c r="J53" s="297"/>
      <c r="K53" s="297"/>
      <c r="L53" s="298"/>
      <c r="M53" s="28"/>
      <c r="N53" s="28"/>
      <c r="O53" s="28"/>
      <c r="P53" s="28"/>
      <c r="Q53" s="28"/>
      <c r="R53" s="28"/>
      <c r="S53" s="28"/>
      <c r="T53" s="28"/>
      <c r="U53" s="28"/>
      <c r="V53" s="28"/>
      <c r="W53" s="28"/>
      <c r="X53" s="28"/>
      <c r="Y53" s="28"/>
      <c r="Z53" s="28"/>
    </row>
    <row r="54" spans="1:26" ht="36.75" customHeight="1" x14ac:dyDescent="0.25">
      <c r="A54" s="28"/>
      <c r="B54" s="28"/>
      <c r="C54" s="310" t="s">
        <v>8</v>
      </c>
      <c r="D54" s="297"/>
      <c r="E54" s="297"/>
      <c r="F54" s="297"/>
      <c r="G54" s="306"/>
      <c r="H54" s="28"/>
      <c r="I54" s="305" t="s">
        <v>10</v>
      </c>
      <c r="J54" s="297"/>
      <c r="K54" s="297"/>
      <c r="L54" s="298"/>
      <c r="M54" s="28"/>
      <c r="N54" s="28"/>
      <c r="O54" s="28"/>
      <c r="P54" s="28"/>
      <c r="Q54" s="28"/>
      <c r="R54" s="28"/>
      <c r="S54" s="28"/>
      <c r="T54" s="28"/>
      <c r="U54" s="28"/>
      <c r="V54" s="28"/>
      <c r="W54" s="28"/>
      <c r="X54" s="28"/>
      <c r="Y54" s="28"/>
      <c r="Z54" s="28"/>
    </row>
    <row r="55" spans="1:26" ht="15.75" customHeight="1" x14ac:dyDescent="0.25">
      <c r="A55" s="28"/>
      <c r="B55" s="28"/>
      <c r="C55" s="9" t="s">
        <v>11</v>
      </c>
      <c r="D55" s="12" t="s">
        <v>12</v>
      </c>
      <c r="E55" s="17">
        <v>790</v>
      </c>
      <c r="F55" s="22">
        <v>785</v>
      </c>
      <c r="G55" s="11">
        <v>750</v>
      </c>
      <c r="H55" s="28"/>
      <c r="I55" s="12"/>
      <c r="J55" s="12" t="s">
        <v>52</v>
      </c>
      <c r="K55" s="12" t="s">
        <v>53</v>
      </c>
      <c r="L55" s="12"/>
      <c r="M55" s="28"/>
      <c r="N55" s="28"/>
      <c r="O55" s="28"/>
      <c r="P55" s="28"/>
      <c r="Q55" s="28"/>
      <c r="R55" s="28"/>
      <c r="S55" s="28"/>
      <c r="T55" s="28"/>
      <c r="U55" s="28"/>
      <c r="V55" s="28"/>
      <c r="W55" s="28"/>
      <c r="X55" s="28"/>
      <c r="Y55" s="28"/>
      <c r="Z55" s="28"/>
    </row>
    <row r="56" spans="1:26" ht="15.75" customHeight="1" x14ac:dyDescent="0.25">
      <c r="A56" s="28"/>
      <c r="B56" s="28"/>
      <c r="C56" s="9" t="s">
        <v>11</v>
      </c>
      <c r="D56" s="12" t="s">
        <v>18</v>
      </c>
      <c r="E56" s="17">
        <v>0</v>
      </c>
      <c r="F56" s="22">
        <v>0</v>
      </c>
      <c r="G56" s="11">
        <v>0</v>
      </c>
      <c r="H56" s="28"/>
      <c r="I56" s="12" t="s">
        <v>12</v>
      </c>
      <c r="J56" s="17">
        <v>790</v>
      </c>
      <c r="K56" s="11">
        <v>750</v>
      </c>
      <c r="L56" s="17" t="s">
        <v>323</v>
      </c>
      <c r="M56" s="28"/>
      <c r="N56" s="28"/>
      <c r="O56" s="28"/>
      <c r="P56" s="28"/>
      <c r="Q56" s="28"/>
      <c r="R56" s="28"/>
      <c r="S56" s="28"/>
      <c r="T56" s="28"/>
      <c r="U56" s="28"/>
      <c r="V56" s="28"/>
      <c r="W56" s="28"/>
      <c r="X56" s="28"/>
      <c r="Y56" s="28"/>
      <c r="Z56" s="28"/>
    </row>
    <row r="57" spans="1:26" ht="15.75" customHeight="1" x14ac:dyDescent="0.25">
      <c r="A57" s="28"/>
      <c r="B57" s="28"/>
      <c r="C57" s="9" t="s">
        <v>21</v>
      </c>
      <c r="D57" s="12" t="s">
        <v>59</v>
      </c>
      <c r="E57" s="17">
        <v>440</v>
      </c>
      <c r="F57" s="22">
        <v>480</v>
      </c>
      <c r="G57" s="11">
        <v>449</v>
      </c>
      <c r="H57" s="28"/>
      <c r="I57" s="12" t="s">
        <v>18</v>
      </c>
      <c r="J57" s="17">
        <v>0</v>
      </c>
      <c r="K57" s="11">
        <v>0</v>
      </c>
      <c r="L57" s="17" t="s">
        <v>326</v>
      </c>
      <c r="M57" s="28"/>
      <c r="N57" s="28"/>
      <c r="O57" s="28" t="s">
        <v>328</v>
      </c>
      <c r="P57" s="28" t="s">
        <v>329</v>
      </c>
      <c r="Q57" s="28">
        <v>1</v>
      </c>
      <c r="R57" s="28">
        <v>2</v>
      </c>
      <c r="S57" s="28"/>
      <c r="T57" s="28"/>
      <c r="U57" s="28"/>
      <c r="V57" s="28"/>
      <c r="W57" s="28"/>
      <c r="X57" s="28"/>
      <c r="Y57" s="28"/>
      <c r="Z57" s="28"/>
    </row>
    <row r="58" spans="1:26" ht="15.75" customHeight="1" x14ac:dyDescent="0.25">
      <c r="A58" s="28"/>
      <c r="B58" s="28"/>
      <c r="C58" s="9" t="s">
        <v>21</v>
      </c>
      <c r="D58" s="12" t="s">
        <v>63</v>
      </c>
      <c r="E58" s="17">
        <v>160</v>
      </c>
      <c r="F58" s="22">
        <v>140</v>
      </c>
      <c r="G58" s="11">
        <v>151</v>
      </c>
      <c r="H58" s="28"/>
      <c r="I58" s="305" t="s">
        <v>23</v>
      </c>
      <c r="J58" s="297"/>
      <c r="K58" s="297"/>
      <c r="L58" s="298"/>
      <c r="M58" s="28"/>
      <c r="N58" s="28"/>
      <c r="O58" s="123">
        <f>P58/(R58/(Q58+R58))</f>
        <v>10</v>
      </c>
      <c r="P58" s="28">
        <v>5</v>
      </c>
      <c r="Q58" s="155">
        <v>1000000</v>
      </c>
      <c r="R58" s="155">
        <v>1000000</v>
      </c>
      <c r="S58" s="28"/>
      <c r="T58" s="28"/>
      <c r="U58" s="28"/>
      <c r="V58" s="28"/>
      <c r="W58" s="28"/>
      <c r="X58" s="28"/>
      <c r="Y58" s="28"/>
      <c r="Z58" s="28"/>
    </row>
    <row r="59" spans="1:26" ht="15.75" customHeight="1" x14ac:dyDescent="0.25">
      <c r="A59" s="28"/>
      <c r="B59" s="28"/>
      <c r="C59" s="9" t="s">
        <v>21</v>
      </c>
      <c r="D59" s="12" t="s">
        <v>218</v>
      </c>
      <c r="E59" s="17">
        <v>0</v>
      </c>
      <c r="F59" s="22">
        <v>0</v>
      </c>
      <c r="G59" s="11">
        <v>0</v>
      </c>
      <c r="H59" s="28"/>
      <c r="I59" s="12" t="s">
        <v>12</v>
      </c>
      <c r="J59" s="17">
        <v>750</v>
      </c>
      <c r="K59" s="11">
        <v>740</v>
      </c>
      <c r="L59" s="17" t="s">
        <v>335</v>
      </c>
      <c r="M59" s="28"/>
      <c r="N59" s="28"/>
      <c r="O59" s="28"/>
      <c r="P59" s="28"/>
      <c r="Q59" s="28"/>
      <c r="R59" s="28"/>
      <c r="S59" s="28"/>
      <c r="T59" s="28"/>
      <c r="U59" s="28"/>
      <c r="V59" s="28"/>
      <c r="W59" s="28"/>
      <c r="X59" s="28"/>
      <c r="Y59" s="28"/>
      <c r="Z59" s="28"/>
    </row>
    <row r="60" spans="1:26" ht="15.75" customHeight="1" x14ac:dyDescent="0.25">
      <c r="A60" s="28"/>
      <c r="B60" s="28"/>
      <c r="C60" s="310" t="s">
        <v>29</v>
      </c>
      <c r="D60" s="297"/>
      <c r="E60" s="297"/>
      <c r="F60" s="297"/>
      <c r="G60" s="306"/>
      <c r="H60" s="28"/>
      <c r="I60" s="12" t="s">
        <v>18</v>
      </c>
      <c r="J60" s="17">
        <v>0</v>
      </c>
      <c r="K60" s="11">
        <v>0</v>
      </c>
      <c r="L60" s="17" t="s">
        <v>336</v>
      </c>
      <c r="M60" s="28"/>
      <c r="N60" s="28"/>
      <c r="O60" s="28"/>
      <c r="P60" s="28"/>
      <c r="Q60" s="28"/>
      <c r="R60" s="28"/>
      <c r="S60" s="28"/>
      <c r="T60" s="28"/>
      <c r="U60" s="28"/>
      <c r="V60" s="28"/>
      <c r="W60" s="28"/>
      <c r="X60" s="28"/>
      <c r="Y60" s="28"/>
      <c r="Z60" s="28"/>
    </row>
    <row r="61" spans="1:26" ht="15.75" customHeight="1" x14ac:dyDescent="0.25">
      <c r="A61" s="28"/>
      <c r="B61" s="28"/>
      <c r="C61" s="9" t="s">
        <v>11</v>
      </c>
      <c r="D61" s="12" t="s">
        <v>12</v>
      </c>
      <c r="E61" s="17">
        <v>750</v>
      </c>
      <c r="F61" s="22">
        <v>760</v>
      </c>
      <c r="G61" s="22">
        <v>710</v>
      </c>
      <c r="H61" s="28"/>
      <c r="I61" s="28"/>
      <c r="J61" s="28"/>
      <c r="K61" s="28"/>
      <c r="L61" s="28"/>
      <c r="M61" s="28"/>
      <c r="N61" s="28"/>
      <c r="O61" s="28"/>
      <c r="P61" s="28"/>
      <c r="Q61" s="28"/>
      <c r="R61" s="28"/>
      <c r="S61" s="28"/>
      <c r="T61" s="28"/>
      <c r="U61" s="28"/>
      <c r="V61" s="28"/>
      <c r="W61" s="28"/>
      <c r="X61" s="28"/>
      <c r="Y61" s="28"/>
      <c r="Z61" s="28"/>
    </row>
    <row r="62" spans="1:26" ht="15.75" customHeight="1" x14ac:dyDescent="0.25">
      <c r="A62" s="28"/>
      <c r="B62" s="28"/>
      <c r="C62" s="9" t="s">
        <v>11</v>
      </c>
      <c r="D62" s="12" t="s">
        <v>18</v>
      </c>
      <c r="E62" s="17">
        <v>0</v>
      </c>
      <c r="F62" s="22">
        <v>0</v>
      </c>
      <c r="G62" s="22">
        <v>0</v>
      </c>
      <c r="H62" s="28"/>
      <c r="I62" s="28"/>
      <c r="J62" s="28"/>
      <c r="K62" s="28"/>
      <c r="L62" s="28"/>
      <c r="M62" s="28"/>
      <c r="N62" s="28"/>
      <c r="O62" s="28"/>
      <c r="P62" s="28"/>
      <c r="Q62" s="28"/>
      <c r="R62" s="28"/>
      <c r="S62" s="28"/>
      <c r="T62" s="28"/>
      <c r="U62" s="28"/>
      <c r="V62" s="28"/>
      <c r="W62" s="28"/>
      <c r="X62" s="28"/>
      <c r="Y62" s="28"/>
      <c r="Z62" s="28"/>
    </row>
    <row r="63" spans="1:26" ht="15.75" customHeight="1" x14ac:dyDescent="0.25">
      <c r="A63" s="28"/>
      <c r="B63" s="28"/>
      <c r="C63" s="9" t="s">
        <v>21</v>
      </c>
      <c r="D63" s="12" t="s">
        <v>59</v>
      </c>
      <c r="E63" s="17">
        <v>430</v>
      </c>
      <c r="F63" s="22">
        <v>448</v>
      </c>
      <c r="G63" s="22">
        <v>428</v>
      </c>
      <c r="H63" s="28"/>
      <c r="I63" s="28"/>
      <c r="J63" s="28"/>
      <c r="K63" s="28"/>
      <c r="L63" s="28"/>
      <c r="M63" s="28"/>
      <c r="N63" s="28"/>
      <c r="O63" s="28"/>
      <c r="P63" s="28"/>
      <c r="Q63" s="28"/>
      <c r="R63" s="28"/>
      <c r="S63" s="28"/>
      <c r="T63" s="28"/>
      <c r="U63" s="28"/>
      <c r="V63" s="28"/>
      <c r="W63" s="28"/>
      <c r="X63" s="28"/>
      <c r="Y63" s="28"/>
      <c r="Z63" s="28"/>
    </row>
    <row r="64" spans="1:26" ht="15.75" customHeight="1" x14ac:dyDescent="0.25">
      <c r="A64" s="28"/>
      <c r="B64" s="28"/>
      <c r="C64" s="9" t="s">
        <v>21</v>
      </c>
      <c r="D64" s="12" t="s">
        <v>63</v>
      </c>
      <c r="E64" s="17">
        <v>150</v>
      </c>
      <c r="F64" s="22">
        <v>160</v>
      </c>
      <c r="G64" s="22">
        <v>144</v>
      </c>
      <c r="H64" s="28"/>
      <c r="I64" s="28"/>
      <c r="J64" s="28"/>
      <c r="K64" s="28"/>
      <c r="L64" s="28"/>
      <c r="M64" s="28"/>
      <c r="N64" s="28"/>
      <c r="O64" s="28"/>
      <c r="P64" s="28"/>
      <c r="Q64" s="28"/>
      <c r="R64" s="28"/>
      <c r="S64" s="28"/>
      <c r="T64" s="28"/>
      <c r="U64" s="28"/>
      <c r="V64" s="28"/>
      <c r="W64" s="28"/>
      <c r="X64" s="28"/>
      <c r="Y64" s="28"/>
      <c r="Z64" s="28"/>
    </row>
    <row r="65" spans="3:7" ht="15.75" customHeight="1" x14ac:dyDescent="0.2">
      <c r="C65" s="9" t="s">
        <v>21</v>
      </c>
      <c r="D65" s="12" t="s">
        <v>218</v>
      </c>
      <c r="E65" s="17">
        <v>0</v>
      </c>
      <c r="F65" s="22">
        <v>0</v>
      </c>
      <c r="G65" s="11">
        <v>0</v>
      </c>
    </row>
    <row r="66" spans="3:7" ht="15.75" customHeight="1" x14ac:dyDescent="0.2"/>
    <row r="67" spans="3:7" ht="15.75" customHeight="1" x14ac:dyDescent="0.2"/>
    <row r="68" spans="3:7" ht="15.75" customHeight="1" x14ac:dyDescent="0.2"/>
    <row r="69" spans="3:7" ht="15.75" customHeight="1" x14ac:dyDescent="0.2"/>
    <row r="70" spans="3:7" ht="15.75" customHeight="1" x14ac:dyDescent="0.2"/>
    <row r="71" spans="3:7" ht="15.75" customHeight="1" x14ac:dyDescent="0.2"/>
    <row r="72" spans="3:7" ht="15.75" customHeight="1" x14ac:dyDescent="0.2"/>
    <row r="73" spans="3:7" ht="15.75" customHeight="1" x14ac:dyDescent="0.2"/>
    <row r="74" spans="3:7" ht="15.75" customHeight="1" x14ac:dyDescent="0.2"/>
    <row r="75" spans="3:7" ht="15.75" customHeight="1" x14ac:dyDescent="0.2"/>
    <row r="76" spans="3:7" ht="15.75" customHeight="1" x14ac:dyDescent="0.2"/>
    <row r="77" spans="3:7" ht="15.75" customHeight="1" x14ac:dyDescent="0.2"/>
    <row r="78" spans="3:7" ht="15.75" customHeight="1" x14ac:dyDescent="0.2"/>
    <row r="79" spans="3:7" ht="15.75" customHeight="1" x14ac:dyDescent="0.2"/>
    <row r="80" spans="3:7"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0">
    <mergeCell ref="I58:L58"/>
    <mergeCell ref="C60:G60"/>
    <mergeCell ref="I21:L21"/>
    <mergeCell ref="I25:L25"/>
    <mergeCell ref="C26:G26"/>
    <mergeCell ref="I36:L36"/>
    <mergeCell ref="C37:G37"/>
    <mergeCell ref="I37:L37"/>
    <mergeCell ref="C42:G42"/>
    <mergeCell ref="I20:L20"/>
    <mergeCell ref="C21:G21"/>
    <mergeCell ref="I41:L41"/>
    <mergeCell ref="I53:L53"/>
    <mergeCell ref="C54:G54"/>
    <mergeCell ref="I54:L54"/>
    <mergeCell ref="I2:L2"/>
    <mergeCell ref="C3:G3"/>
    <mergeCell ref="I3:L3"/>
    <mergeCell ref="I7:L7"/>
    <mergeCell ref="C8:G8"/>
  </mergeCell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Z1000"/>
  <sheetViews>
    <sheetView workbookViewId="0"/>
  </sheetViews>
  <sheetFormatPr baseColWidth="10" defaultColWidth="12.625" defaultRowHeight="15" customHeight="1" x14ac:dyDescent="0.2"/>
  <cols>
    <col min="1" max="6" width="10" customWidth="1"/>
    <col min="7" max="7" width="14.25" customWidth="1"/>
    <col min="8" max="26" width="10" customWidth="1"/>
  </cols>
  <sheetData>
    <row r="2" spans="1:26" ht="36.75" customHeight="1" x14ac:dyDescent="0.2">
      <c r="C2" s="4" t="s">
        <v>0</v>
      </c>
      <c r="D2" s="5" t="s">
        <v>1</v>
      </c>
      <c r="E2" s="5" t="s">
        <v>42</v>
      </c>
      <c r="F2" s="5" t="s">
        <v>43</v>
      </c>
      <c r="G2" s="5" t="s">
        <v>44</v>
      </c>
      <c r="I2" s="296" t="s">
        <v>45</v>
      </c>
      <c r="J2" s="297"/>
      <c r="K2" s="297"/>
      <c r="L2" s="298"/>
    </row>
    <row r="3" spans="1:26" ht="15.75" customHeight="1" x14ac:dyDescent="0.2">
      <c r="C3" s="310" t="s">
        <v>8</v>
      </c>
      <c r="D3" s="297"/>
      <c r="E3" s="297"/>
      <c r="F3" s="297"/>
      <c r="G3" s="306"/>
      <c r="I3" s="305" t="s">
        <v>10</v>
      </c>
      <c r="J3" s="297"/>
      <c r="K3" s="297"/>
      <c r="L3" s="298"/>
    </row>
    <row r="4" spans="1:26" ht="14.25" x14ac:dyDescent="0.2">
      <c r="C4" s="9" t="s">
        <v>11</v>
      </c>
      <c r="D4" s="12" t="s">
        <v>12</v>
      </c>
      <c r="E4" s="17">
        <v>830</v>
      </c>
      <c r="F4" s="22">
        <v>900</v>
      </c>
      <c r="G4" s="11">
        <v>896</v>
      </c>
      <c r="I4" s="12"/>
      <c r="J4" s="12" t="s">
        <v>52</v>
      </c>
      <c r="K4" s="12" t="s">
        <v>53</v>
      </c>
      <c r="L4" s="12"/>
    </row>
    <row r="5" spans="1:26" ht="14.25" x14ac:dyDescent="0.2">
      <c r="C5" s="9" t="s">
        <v>11</v>
      </c>
      <c r="D5" s="12" t="s">
        <v>18</v>
      </c>
      <c r="E5" s="17">
        <v>0</v>
      </c>
      <c r="F5" s="22">
        <v>0</v>
      </c>
      <c r="G5" s="11">
        <v>0</v>
      </c>
      <c r="I5" s="12" t="s">
        <v>12</v>
      </c>
      <c r="J5" s="17">
        <v>830</v>
      </c>
      <c r="K5" s="11">
        <v>900</v>
      </c>
      <c r="L5" s="17" t="s">
        <v>337</v>
      </c>
    </row>
    <row r="6" spans="1:26" ht="25.5" x14ac:dyDescent="0.2">
      <c r="C6" s="9" t="s">
        <v>21</v>
      </c>
      <c r="D6" s="12" t="s">
        <v>59</v>
      </c>
      <c r="E6" s="17">
        <v>440</v>
      </c>
      <c r="F6" s="22">
        <v>408</v>
      </c>
      <c r="G6" s="11">
        <v>443</v>
      </c>
      <c r="I6" s="12" t="s">
        <v>18</v>
      </c>
      <c r="J6" s="17">
        <v>0</v>
      </c>
      <c r="K6" s="11">
        <v>0</v>
      </c>
      <c r="L6" s="17" t="s">
        <v>338</v>
      </c>
    </row>
    <row r="7" spans="1:26" ht="25.5" x14ac:dyDescent="0.2">
      <c r="C7" s="9" t="s">
        <v>21</v>
      </c>
      <c r="D7" s="12" t="s">
        <v>63</v>
      </c>
      <c r="E7" s="17">
        <v>160</v>
      </c>
      <c r="F7" s="22">
        <v>146</v>
      </c>
      <c r="G7" s="11">
        <v>167</v>
      </c>
    </row>
    <row r="8" spans="1:26" x14ac:dyDescent="0.2">
      <c r="D8" s="2"/>
      <c r="E8" s="1"/>
    </row>
    <row r="9" spans="1:26" x14ac:dyDescent="0.25">
      <c r="A9" s="29"/>
      <c r="B9" s="29"/>
      <c r="C9" s="29"/>
      <c r="D9" s="32"/>
      <c r="E9" s="32"/>
      <c r="F9" s="29"/>
      <c r="G9" s="29"/>
      <c r="H9" s="29"/>
      <c r="I9" s="29"/>
      <c r="J9" s="29"/>
      <c r="K9" s="29"/>
      <c r="L9" s="29"/>
      <c r="M9" s="29"/>
      <c r="N9" s="29"/>
      <c r="O9" s="29"/>
      <c r="P9" s="29"/>
      <c r="Q9" s="29"/>
      <c r="R9" s="29"/>
      <c r="S9" s="29"/>
      <c r="T9" s="29"/>
      <c r="U9" s="29"/>
      <c r="V9" s="29"/>
      <c r="W9" s="29"/>
      <c r="X9" s="29"/>
      <c r="Y9" s="29"/>
      <c r="Z9" s="29"/>
    </row>
    <row r="10" spans="1:26" x14ac:dyDescent="0.2">
      <c r="D10" s="2"/>
      <c r="E10" s="2"/>
    </row>
    <row r="11" spans="1:26" x14ac:dyDescent="0.25">
      <c r="A11" s="21" t="s">
        <v>339</v>
      </c>
      <c r="D11" s="2"/>
      <c r="E11" s="2"/>
    </row>
    <row r="13" spans="1:26" x14ac:dyDescent="0.25">
      <c r="D13" s="124">
        <v>43082</v>
      </c>
    </row>
    <row r="14" spans="1:26" ht="24" x14ac:dyDescent="0.2">
      <c r="C14" s="4" t="s">
        <v>0</v>
      </c>
      <c r="D14" s="5" t="s">
        <v>1</v>
      </c>
      <c r="E14" s="5" t="s">
        <v>42</v>
      </c>
      <c r="F14" s="5" t="s">
        <v>43</v>
      </c>
      <c r="G14" s="5" t="s">
        <v>44</v>
      </c>
      <c r="I14" s="296" t="s">
        <v>45</v>
      </c>
      <c r="J14" s="297"/>
      <c r="K14" s="297"/>
      <c r="L14" s="298"/>
      <c r="O14" s="324" t="s">
        <v>340</v>
      </c>
      <c r="P14" s="315"/>
      <c r="Q14" s="315"/>
      <c r="R14" s="315"/>
      <c r="S14" s="315"/>
    </row>
    <row r="15" spans="1:26" ht="15.75" customHeight="1" x14ac:dyDescent="0.2">
      <c r="C15" s="310" t="s">
        <v>8</v>
      </c>
      <c r="D15" s="297"/>
      <c r="E15" s="297"/>
      <c r="F15" s="297"/>
      <c r="G15" s="306"/>
      <c r="I15" s="305" t="s">
        <v>10</v>
      </c>
      <c r="J15" s="297"/>
      <c r="K15" s="297"/>
      <c r="L15" s="298"/>
      <c r="O15" s="315"/>
      <c r="P15" s="315"/>
      <c r="Q15" s="315"/>
      <c r="R15" s="315"/>
      <c r="S15" s="315"/>
    </row>
    <row r="16" spans="1:26" ht="14.25" x14ac:dyDescent="0.2">
      <c r="C16" s="9" t="s">
        <v>11</v>
      </c>
      <c r="D16" s="12" t="s">
        <v>12</v>
      </c>
      <c r="E16" s="17">
        <v>830</v>
      </c>
      <c r="F16" s="22">
        <v>900</v>
      </c>
      <c r="G16" s="11">
        <v>914</v>
      </c>
      <c r="I16" s="12"/>
      <c r="J16" s="12" t="s">
        <v>52</v>
      </c>
      <c r="K16" s="12" t="s">
        <v>53</v>
      </c>
      <c r="L16" s="12"/>
      <c r="O16" s="315"/>
      <c r="P16" s="315"/>
      <c r="Q16" s="315"/>
      <c r="R16" s="315"/>
      <c r="S16" s="315"/>
    </row>
    <row r="17" spans="3:19" ht="14.25" x14ac:dyDescent="0.2">
      <c r="C17" s="9" t="s">
        <v>11</v>
      </c>
      <c r="D17" s="12" t="s">
        <v>18</v>
      </c>
      <c r="E17" s="17">
        <v>0</v>
      </c>
      <c r="F17" s="22">
        <v>0</v>
      </c>
      <c r="G17" s="11">
        <v>0</v>
      </c>
      <c r="I17" s="12" t="s">
        <v>12</v>
      </c>
      <c r="J17" s="11">
        <v>900</v>
      </c>
      <c r="K17" s="11">
        <v>914</v>
      </c>
      <c r="L17" s="17" t="s">
        <v>341</v>
      </c>
      <c r="O17" s="315"/>
      <c r="P17" s="315"/>
      <c r="Q17" s="315"/>
      <c r="R17" s="315"/>
      <c r="S17" s="315"/>
    </row>
    <row r="18" spans="3:19" ht="25.5" x14ac:dyDescent="0.2">
      <c r="C18" s="9" t="s">
        <v>21</v>
      </c>
      <c r="D18" s="12" t="s">
        <v>59</v>
      </c>
      <c r="E18" s="17">
        <v>440</v>
      </c>
      <c r="F18" s="22">
        <v>120</v>
      </c>
      <c r="G18" s="11">
        <v>448</v>
      </c>
      <c r="I18" s="12" t="s">
        <v>18</v>
      </c>
      <c r="J18" s="11">
        <v>0</v>
      </c>
      <c r="K18" s="11">
        <v>0</v>
      </c>
      <c r="L18" s="17" t="s">
        <v>342</v>
      </c>
      <c r="O18" s="315"/>
      <c r="P18" s="315"/>
      <c r="Q18" s="315"/>
      <c r="R18" s="315"/>
      <c r="S18" s="315"/>
    </row>
    <row r="19" spans="3:19" ht="25.5" x14ac:dyDescent="0.2">
      <c r="C19" s="9" t="s">
        <v>21</v>
      </c>
      <c r="D19" s="12" t="s">
        <v>63</v>
      </c>
      <c r="E19" s="17">
        <v>160</v>
      </c>
      <c r="F19" s="22">
        <v>155</v>
      </c>
      <c r="G19" s="11">
        <v>161</v>
      </c>
      <c r="O19" s="315"/>
      <c r="P19" s="315"/>
      <c r="Q19" s="315"/>
      <c r="R19" s="315"/>
      <c r="S19" s="315"/>
    </row>
    <row r="20" spans="3:19" ht="14.25" x14ac:dyDescent="0.2">
      <c r="C20" s="9" t="s">
        <v>21</v>
      </c>
      <c r="D20" s="12" t="s">
        <v>343</v>
      </c>
      <c r="E20" s="17">
        <v>0</v>
      </c>
      <c r="F20" s="22">
        <v>0</v>
      </c>
      <c r="G20" s="11">
        <v>0</v>
      </c>
    </row>
    <row r="21" spans="3:19" ht="15.75" customHeight="1" x14ac:dyDescent="0.2">
      <c r="D21" s="2"/>
      <c r="E21" s="2"/>
    </row>
    <row r="22" spans="3:19" ht="15.75" customHeight="1" x14ac:dyDescent="0.2"/>
    <row r="23" spans="3:19" ht="15.75" customHeight="1" x14ac:dyDescent="0.2"/>
    <row r="24" spans="3:19" ht="15.75" customHeight="1" x14ac:dyDescent="0.2"/>
    <row r="25" spans="3:19" ht="15.75" customHeight="1" x14ac:dyDescent="0.2"/>
    <row r="26" spans="3:19" ht="15.75" customHeight="1" x14ac:dyDescent="0.2"/>
    <row r="27" spans="3:19" ht="15.75" customHeight="1" x14ac:dyDescent="0.2"/>
    <row r="28" spans="3:19" ht="15.75" customHeight="1" x14ac:dyDescent="0.2"/>
    <row r="29" spans="3:19" ht="15.75" customHeight="1" x14ac:dyDescent="0.2"/>
    <row r="30" spans="3:19" ht="15.75" customHeight="1" x14ac:dyDescent="0.2"/>
    <row r="31" spans="3:19" ht="15.75" customHeight="1" x14ac:dyDescent="0.2"/>
    <row r="32" spans="3:19"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
    <mergeCell ref="I2:L2"/>
    <mergeCell ref="C3:G3"/>
    <mergeCell ref="I3:L3"/>
    <mergeCell ref="I14:L14"/>
    <mergeCell ref="O14:S19"/>
    <mergeCell ref="C15:G15"/>
    <mergeCell ref="I15:L15"/>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Y1000"/>
  <sheetViews>
    <sheetView workbookViewId="0"/>
  </sheetViews>
  <sheetFormatPr baseColWidth="10" defaultColWidth="12.625" defaultRowHeight="15" customHeight="1" x14ac:dyDescent="0.2"/>
  <cols>
    <col min="1" max="1" width="10" customWidth="1"/>
    <col min="2" max="2" width="12.875" customWidth="1"/>
    <col min="3" max="4" width="10" customWidth="1"/>
    <col min="5" max="5" width="12.375" customWidth="1"/>
    <col min="6" max="6" width="12.125" customWidth="1"/>
    <col min="7" max="18" width="10" customWidth="1"/>
    <col min="19" max="19" width="11" customWidth="1"/>
    <col min="20" max="26" width="10" customWidth="1"/>
  </cols>
  <sheetData>
    <row r="2" spans="1:25" ht="24" x14ac:dyDescent="0.2">
      <c r="C2" s="156" t="s">
        <v>0</v>
      </c>
      <c r="D2" s="157" t="s">
        <v>1</v>
      </c>
      <c r="E2" s="157" t="s">
        <v>42</v>
      </c>
      <c r="F2" s="157" t="s">
        <v>44</v>
      </c>
      <c r="G2" s="158" t="s">
        <v>206</v>
      </c>
      <c r="I2" s="296" t="s">
        <v>45</v>
      </c>
      <c r="J2" s="297"/>
      <c r="K2" s="298"/>
    </row>
    <row r="3" spans="1:25" ht="14.25" x14ac:dyDescent="0.2">
      <c r="C3" s="310" t="s">
        <v>8</v>
      </c>
      <c r="D3" s="297"/>
      <c r="E3" s="297"/>
      <c r="F3" s="297"/>
      <c r="G3" s="298"/>
      <c r="I3" s="305" t="s">
        <v>10</v>
      </c>
      <c r="J3" s="297"/>
      <c r="K3" s="298"/>
    </row>
    <row r="4" spans="1:25" ht="14.25" x14ac:dyDescent="0.2">
      <c r="C4" s="9" t="s">
        <v>11</v>
      </c>
      <c r="D4" s="9" t="s">
        <v>12</v>
      </c>
      <c r="E4" s="17">
        <v>550</v>
      </c>
      <c r="F4" s="11">
        <v>550</v>
      </c>
      <c r="G4" s="110">
        <f>(E4-F4)/F4</f>
        <v>0</v>
      </c>
      <c r="I4" s="12"/>
      <c r="J4" s="12" t="s">
        <v>53</v>
      </c>
      <c r="K4" s="12"/>
    </row>
    <row r="5" spans="1:25" ht="14.25" x14ac:dyDescent="0.2">
      <c r="C5" s="9" t="s">
        <v>11</v>
      </c>
      <c r="D5" s="12" t="s">
        <v>18</v>
      </c>
      <c r="E5" s="17">
        <v>0</v>
      </c>
      <c r="F5" s="11">
        <v>0</v>
      </c>
      <c r="G5" s="110">
        <v>0</v>
      </c>
      <c r="I5" s="12" t="s">
        <v>12</v>
      </c>
      <c r="J5" s="11">
        <v>550</v>
      </c>
      <c r="K5" s="17" t="s">
        <v>345</v>
      </c>
    </row>
    <row r="6" spans="1:25" ht="25.5" x14ac:dyDescent="0.2">
      <c r="C6" s="9" t="s">
        <v>21</v>
      </c>
      <c r="D6" s="12" t="s">
        <v>59</v>
      </c>
      <c r="E6" s="17">
        <v>440</v>
      </c>
      <c r="F6" s="11">
        <v>432</v>
      </c>
      <c r="G6" s="110">
        <f t="shared" ref="G6:G7" si="0">(E6-F6)/F6</f>
        <v>1.8518518518518517E-2</v>
      </c>
      <c r="I6" s="12" t="s">
        <v>18</v>
      </c>
      <c r="J6" s="11">
        <v>0</v>
      </c>
      <c r="K6" s="17" t="s">
        <v>349</v>
      </c>
    </row>
    <row r="7" spans="1:25" ht="25.5" x14ac:dyDescent="0.2">
      <c r="C7" s="9" t="s">
        <v>21</v>
      </c>
      <c r="D7" s="12" t="s">
        <v>63</v>
      </c>
      <c r="E7" s="17">
        <v>160</v>
      </c>
      <c r="F7" s="11">
        <v>162</v>
      </c>
      <c r="G7" s="110">
        <f t="shared" si="0"/>
        <v>-1.2345679012345678E-2</v>
      </c>
    </row>
    <row r="8" spans="1:25" x14ac:dyDescent="0.2">
      <c r="D8" s="2"/>
      <c r="E8" s="1"/>
    </row>
    <row r="9" spans="1:25" x14ac:dyDescent="0.25">
      <c r="A9" s="345"/>
      <c r="B9" s="297"/>
      <c r="C9" s="297"/>
      <c r="D9" s="297"/>
      <c r="E9" s="297"/>
      <c r="F9" s="297"/>
      <c r="G9" s="297"/>
      <c r="H9" s="297"/>
      <c r="I9" s="297"/>
      <c r="J9" s="297"/>
      <c r="K9" s="297"/>
      <c r="L9" s="297"/>
      <c r="M9" s="297"/>
      <c r="N9" s="297"/>
      <c r="O9" s="297"/>
      <c r="P9" s="297"/>
      <c r="Q9" s="297"/>
      <c r="R9" s="297"/>
      <c r="S9" s="297"/>
      <c r="T9" s="297"/>
      <c r="U9" s="297"/>
      <c r="V9" s="297"/>
      <c r="W9" s="297"/>
      <c r="X9" s="297"/>
      <c r="Y9" s="298"/>
    </row>
    <row r="10" spans="1:25" ht="18.75" x14ac:dyDescent="0.3">
      <c r="A10" s="161" t="s">
        <v>353</v>
      </c>
      <c r="B10" s="163" t="s">
        <v>355</v>
      </c>
      <c r="Y10" s="346"/>
    </row>
    <row r="11" spans="1:25" ht="18.75" x14ac:dyDescent="0.3">
      <c r="A11" s="164" t="s">
        <v>360</v>
      </c>
      <c r="B11" s="165">
        <v>43173</v>
      </c>
      <c r="Y11" s="300"/>
    </row>
    <row r="12" spans="1:25" ht="18.75" x14ac:dyDescent="0.3">
      <c r="L12" s="320" t="s">
        <v>153</v>
      </c>
      <c r="M12" s="297"/>
      <c r="N12" s="297"/>
      <c r="O12" s="297"/>
      <c r="P12" s="297"/>
      <c r="Q12" s="298"/>
      <c r="S12" s="321" t="s">
        <v>154</v>
      </c>
      <c r="T12" s="322"/>
      <c r="U12" s="322"/>
      <c r="V12" s="322"/>
      <c r="W12" s="323"/>
      <c r="Y12" s="300"/>
    </row>
    <row r="13" spans="1:25" ht="24" x14ac:dyDescent="0.2">
      <c r="A13" s="156" t="s">
        <v>0</v>
      </c>
      <c r="B13" s="157" t="s">
        <v>1</v>
      </c>
      <c r="C13" s="157" t="s">
        <v>42</v>
      </c>
      <c r="D13" s="157" t="s">
        <v>43</v>
      </c>
      <c r="E13" s="157" t="s">
        <v>44</v>
      </c>
      <c r="G13" s="296" t="s">
        <v>45</v>
      </c>
      <c r="H13" s="297"/>
      <c r="I13" s="297"/>
      <c r="J13" s="298"/>
      <c r="L13" s="311" t="s">
        <v>157</v>
      </c>
      <c r="M13" s="312"/>
      <c r="N13" s="312"/>
      <c r="O13" s="312"/>
      <c r="P13" s="312"/>
      <c r="Q13" s="313"/>
      <c r="S13" s="325" t="s">
        <v>157</v>
      </c>
      <c r="T13" s="297"/>
      <c r="U13" s="297"/>
      <c r="V13" s="297"/>
      <c r="W13" s="298"/>
      <c r="Y13" s="300"/>
    </row>
    <row r="14" spans="1:25" ht="45" x14ac:dyDescent="0.2">
      <c r="A14" s="310" t="s">
        <v>8</v>
      </c>
      <c r="B14" s="297"/>
      <c r="C14" s="297"/>
      <c r="D14" s="297"/>
      <c r="E14" s="298"/>
      <c r="G14" s="305" t="s">
        <v>10</v>
      </c>
      <c r="H14" s="297"/>
      <c r="I14" s="297"/>
      <c r="J14" s="298"/>
      <c r="L14" s="317"/>
      <c r="M14" s="318"/>
      <c r="N14" s="318"/>
      <c r="O14" s="318"/>
      <c r="P14" s="318"/>
      <c r="Q14" s="319"/>
      <c r="S14" s="58" t="s">
        <v>160</v>
      </c>
      <c r="T14" s="59" t="s">
        <v>161</v>
      </c>
      <c r="U14" s="59" t="s">
        <v>162</v>
      </c>
      <c r="V14" s="61" t="s">
        <v>163</v>
      </c>
      <c r="W14" s="62" t="s">
        <v>165</v>
      </c>
      <c r="Y14" s="300"/>
    </row>
    <row r="15" spans="1:25" x14ac:dyDescent="0.25">
      <c r="A15" s="9" t="s">
        <v>11</v>
      </c>
      <c r="B15" s="9" t="s">
        <v>12</v>
      </c>
      <c r="C15" s="11">
        <v>537</v>
      </c>
      <c r="D15" s="22">
        <v>519</v>
      </c>
      <c r="E15" s="11">
        <v>537</v>
      </c>
      <c r="G15" s="12"/>
      <c r="H15" s="12" t="s">
        <v>52</v>
      </c>
      <c r="I15" s="12" t="s">
        <v>53</v>
      </c>
      <c r="J15" s="12"/>
      <c r="L15" s="63" t="s">
        <v>168</v>
      </c>
      <c r="M15" s="64" t="s">
        <v>169</v>
      </c>
      <c r="N15" s="64" t="s">
        <v>171</v>
      </c>
      <c r="O15" s="64" t="s">
        <v>172</v>
      </c>
      <c r="P15" s="65" t="s">
        <v>173</v>
      </c>
      <c r="Q15" s="66" t="s">
        <v>175</v>
      </c>
      <c r="S15" s="63" t="s">
        <v>176</v>
      </c>
      <c r="T15" s="67">
        <v>0.223</v>
      </c>
      <c r="U15" s="68">
        <v>2.536</v>
      </c>
      <c r="V15" s="70">
        <f t="shared" ref="V15:V19" si="1">+U15/T15</f>
        <v>11.372197309417039</v>
      </c>
      <c r="W15" s="72"/>
      <c r="Y15" s="300"/>
    </row>
    <row r="16" spans="1:25" ht="15.75" x14ac:dyDescent="0.25">
      <c r="A16" s="9" t="s">
        <v>11</v>
      </c>
      <c r="B16" s="12" t="s">
        <v>18</v>
      </c>
      <c r="C16" s="11">
        <v>0</v>
      </c>
      <c r="D16" s="22">
        <v>0</v>
      </c>
      <c r="E16" s="11">
        <v>0</v>
      </c>
      <c r="G16" s="12" t="s">
        <v>12</v>
      </c>
      <c r="H16" s="17">
        <v>520</v>
      </c>
      <c r="I16" s="11">
        <v>537</v>
      </c>
      <c r="J16" s="17" t="s">
        <v>366</v>
      </c>
      <c r="L16" s="73">
        <v>440</v>
      </c>
      <c r="M16" s="74">
        <v>66.599999999999994</v>
      </c>
      <c r="N16" s="74">
        <f>+U15</f>
        <v>2.536</v>
      </c>
      <c r="O16" s="76">
        <f>+U18</f>
        <v>0</v>
      </c>
      <c r="P16" s="77">
        <f>+U16</f>
        <v>2.0110000000000001</v>
      </c>
      <c r="Q16" s="78">
        <f>(L16-M16)*(N16-O16)/(P16-O16)+M16</f>
        <v>537.48135256091484</v>
      </c>
      <c r="S16" s="80" t="s">
        <v>188</v>
      </c>
      <c r="T16" s="74">
        <v>0.19800000000000001</v>
      </c>
      <c r="U16" s="82">
        <v>2.0110000000000001</v>
      </c>
      <c r="V16" s="84">
        <f t="shared" si="1"/>
        <v>10.156565656565657</v>
      </c>
      <c r="W16" s="86">
        <f>(U16-U18)/(U15-U18)</f>
        <v>0.79298107255520511</v>
      </c>
      <c r="Y16" s="300"/>
    </row>
    <row r="17" spans="1:25" x14ac:dyDescent="0.25">
      <c r="A17" s="9" t="s">
        <v>21</v>
      </c>
      <c r="B17" s="12" t="s">
        <v>59</v>
      </c>
      <c r="C17" s="11">
        <v>440</v>
      </c>
      <c r="D17" s="22">
        <v>773</v>
      </c>
      <c r="E17" s="11">
        <v>440</v>
      </c>
      <c r="G17" s="12" t="s">
        <v>18</v>
      </c>
      <c r="H17" s="17">
        <v>0</v>
      </c>
      <c r="I17" s="11">
        <v>0</v>
      </c>
      <c r="J17" s="17" t="s">
        <v>369</v>
      </c>
      <c r="L17" s="73" t="s">
        <v>168</v>
      </c>
      <c r="M17" s="74" t="s">
        <v>171</v>
      </c>
      <c r="N17" s="74" t="s">
        <v>190</v>
      </c>
      <c r="O17" s="74" t="s">
        <v>191</v>
      </c>
      <c r="P17" s="77" t="s">
        <v>173</v>
      </c>
      <c r="Q17" s="87" t="s">
        <v>192</v>
      </c>
      <c r="S17" s="80" t="s">
        <v>193</v>
      </c>
      <c r="T17" s="74">
        <v>0.125</v>
      </c>
      <c r="U17" s="82">
        <v>0.503</v>
      </c>
      <c r="V17" s="84">
        <f t="shared" si="1"/>
        <v>4.024</v>
      </c>
      <c r="W17" s="86">
        <f>(U17-U18)/(U15-U18)</f>
        <v>0.19834384858044163</v>
      </c>
      <c r="Y17" s="300"/>
    </row>
    <row r="18" spans="1:25" x14ac:dyDescent="0.25">
      <c r="A18" s="49" t="s">
        <v>21</v>
      </c>
      <c r="B18" s="10" t="s">
        <v>63</v>
      </c>
      <c r="C18" s="51">
        <v>160</v>
      </c>
      <c r="D18" s="169">
        <v>232</v>
      </c>
      <c r="E18" s="51">
        <v>164</v>
      </c>
      <c r="G18" s="305" t="s">
        <v>23</v>
      </c>
      <c r="H18" s="297"/>
      <c r="I18" s="297"/>
      <c r="J18" s="298"/>
      <c r="L18" s="73">
        <v>160</v>
      </c>
      <c r="M18" s="74">
        <f>+U15</f>
        <v>2.536</v>
      </c>
      <c r="N18" s="76">
        <f>+U18</f>
        <v>0</v>
      </c>
      <c r="O18" s="89">
        <f>+Q16</f>
        <v>537.48135256091484</v>
      </c>
      <c r="P18" s="77">
        <f>+U17</f>
        <v>0.503</v>
      </c>
      <c r="Q18" s="90">
        <f>(L18*(M18-N18)-O18*(P18-N18))/(M18-P18)</f>
        <v>66.604466139626084</v>
      </c>
      <c r="S18" s="80" t="s">
        <v>194</v>
      </c>
      <c r="T18" s="74">
        <v>9.8000000000000004E-2</v>
      </c>
      <c r="U18" s="91">
        <v>0</v>
      </c>
      <c r="V18" s="84">
        <f t="shared" si="1"/>
        <v>0</v>
      </c>
      <c r="W18" s="86"/>
      <c r="Y18" s="300"/>
    </row>
    <row r="19" spans="1:25" x14ac:dyDescent="0.25">
      <c r="A19" s="310" t="s">
        <v>29</v>
      </c>
      <c r="B19" s="297"/>
      <c r="C19" s="297"/>
      <c r="D19" s="297"/>
      <c r="E19" s="298"/>
      <c r="G19" s="12" t="s">
        <v>12</v>
      </c>
      <c r="H19" s="17"/>
      <c r="I19" s="11"/>
      <c r="J19" s="17" t="s">
        <v>374</v>
      </c>
      <c r="L19" s="80" t="s">
        <v>196</v>
      </c>
      <c r="M19" s="93"/>
      <c r="N19" s="93"/>
      <c r="O19" s="93"/>
      <c r="P19" s="94"/>
      <c r="Q19" s="95"/>
      <c r="S19" s="96" t="s">
        <v>197</v>
      </c>
      <c r="T19" s="97">
        <v>0.104</v>
      </c>
      <c r="U19" s="99">
        <v>0.122</v>
      </c>
      <c r="V19" s="100">
        <f t="shared" si="1"/>
        <v>1.1730769230769231</v>
      </c>
      <c r="W19" s="101">
        <f>+(U19-U18)/(U15-U18)</f>
        <v>4.8107255520504731E-2</v>
      </c>
      <c r="Y19" s="300"/>
    </row>
    <row r="20" spans="1:25" x14ac:dyDescent="0.2">
      <c r="A20" s="9" t="s">
        <v>11</v>
      </c>
      <c r="B20" s="9" t="s">
        <v>12</v>
      </c>
      <c r="C20" s="11"/>
      <c r="D20" s="22"/>
      <c r="E20" s="22"/>
      <c r="G20" s="12" t="s">
        <v>18</v>
      </c>
      <c r="H20" s="17"/>
      <c r="I20" s="11"/>
      <c r="J20" s="17" t="s">
        <v>382</v>
      </c>
      <c r="L20" s="80" t="s">
        <v>199</v>
      </c>
      <c r="M20" s="93" t="s">
        <v>169</v>
      </c>
      <c r="N20" s="93" t="s">
        <v>200</v>
      </c>
      <c r="O20" s="93" t="s">
        <v>201</v>
      </c>
      <c r="P20" s="94" t="s">
        <v>191</v>
      </c>
      <c r="Q20" s="87" t="s">
        <v>202</v>
      </c>
      <c r="S20" s="311" t="s">
        <v>203</v>
      </c>
      <c r="T20" s="312"/>
      <c r="U20" s="312"/>
      <c r="V20" s="312"/>
      <c r="W20" s="313"/>
      <c r="Y20" s="300"/>
    </row>
    <row r="21" spans="1:25" ht="15.75" customHeight="1" x14ac:dyDescent="0.2">
      <c r="A21" s="9" t="s">
        <v>11</v>
      </c>
      <c r="B21" s="12" t="s">
        <v>18</v>
      </c>
      <c r="C21" s="11"/>
      <c r="D21" s="22"/>
      <c r="E21" s="22"/>
      <c r="L21" s="102">
        <f>+U19</f>
        <v>0.122</v>
      </c>
      <c r="M21" s="103">
        <f>+Q18</f>
        <v>66.604466139626084</v>
      </c>
      <c r="N21" s="97">
        <f>+U15</f>
        <v>2.536</v>
      </c>
      <c r="O21" s="104">
        <f>+U18</f>
        <v>0</v>
      </c>
      <c r="P21" s="105">
        <f>+Q16</f>
        <v>537.48135256091484</v>
      </c>
      <c r="Q21" s="106">
        <f>M21+(P21-M21)*(L21-O21)/(N21-O21)</f>
        <v>89.257060833394704</v>
      </c>
      <c r="S21" s="314"/>
      <c r="T21" s="315"/>
      <c r="U21" s="315"/>
      <c r="V21" s="315"/>
      <c r="W21" s="316"/>
      <c r="Y21" s="300"/>
    </row>
    <row r="22" spans="1:25" ht="15.75" customHeight="1" x14ac:dyDescent="0.2">
      <c r="A22" s="9" t="s">
        <v>21</v>
      </c>
      <c r="B22" s="12" t="s">
        <v>59</v>
      </c>
      <c r="C22" s="11"/>
      <c r="D22" s="22"/>
      <c r="E22" s="22"/>
      <c r="L22" s="311" t="s">
        <v>204</v>
      </c>
      <c r="M22" s="312"/>
      <c r="N22" s="312"/>
      <c r="O22" s="312"/>
      <c r="P22" s="312"/>
      <c r="Q22" s="313"/>
      <c r="S22" s="317"/>
      <c r="T22" s="318"/>
      <c r="U22" s="318"/>
      <c r="V22" s="318"/>
      <c r="W22" s="319"/>
      <c r="Y22" s="300"/>
    </row>
    <row r="23" spans="1:25" ht="15.75" customHeight="1" x14ac:dyDescent="0.2">
      <c r="A23" s="9" t="s">
        <v>21</v>
      </c>
      <c r="B23" s="12" t="s">
        <v>63</v>
      </c>
      <c r="C23" s="11"/>
      <c r="D23" s="22"/>
      <c r="E23" s="22"/>
      <c r="L23" s="317"/>
      <c r="M23" s="318"/>
      <c r="N23" s="318"/>
      <c r="O23" s="318"/>
      <c r="P23" s="318"/>
      <c r="Q23" s="319"/>
      <c r="S23" s="58" t="s">
        <v>160</v>
      </c>
      <c r="T23" s="59" t="s">
        <v>161</v>
      </c>
      <c r="U23" s="59" t="s">
        <v>162</v>
      </c>
      <c r="V23" s="61" t="s">
        <v>163</v>
      </c>
      <c r="W23" s="62" t="s">
        <v>165</v>
      </c>
      <c r="Y23" s="300"/>
    </row>
    <row r="24" spans="1:25" ht="15.75" customHeight="1" x14ac:dyDescent="0.25">
      <c r="L24" s="63" t="s">
        <v>168</v>
      </c>
      <c r="M24" s="64" t="s">
        <v>169</v>
      </c>
      <c r="N24" s="64" t="s">
        <v>171</v>
      </c>
      <c r="O24" s="64" t="s">
        <v>172</v>
      </c>
      <c r="P24" s="65" t="s">
        <v>173</v>
      </c>
      <c r="Q24" s="66" t="s">
        <v>175</v>
      </c>
      <c r="S24" s="63" t="s">
        <v>176</v>
      </c>
      <c r="T24" s="67">
        <v>0.6</v>
      </c>
      <c r="U24" s="68">
        <v>1.613</v>
      </c>
      <c r="V24" s="70">
        <f t="shared" ref="V24:V28" si="2">+U24/T24</f>
        <v>2.6883333333333335</v>
      </c>
      <c r="W24" s="107"/>
      <c r="Y24" s="300"/>
    </row>
    <row r="25" spans="1:25" ht="15.75" customHeight="1" x14ac:dyDescent="0.25">
      <c r="L25" s="73">
        <v>420</v>
      </c>
      <c r="M25" s="74">
        <v>20</v>
      </c>
      <c r="N25" s="74">
        <f>+U24</f>
        <v>1.613</v>
      </c>
      <c r="O25" s="76">
        <f>+U27</f>
        <v>8.1000000000000003E-2</v>
      </c>
      <c r="P25" s="77">
        <f>+U25</f>
        <v>1.2729999999999999</v>
      </c>
      <c r="Q25" s="108">
        <f>(L25-M25)*(N25-O25)/(P25-O25)+M25</f>
        <v>534.09395973154358</v>
      </c>
      <c r="S25" s="80" t="s">
        <v>188</v>
      </c>
      <c r="T25" s="74">
        <v>0.54900000000000004</v>
      </c>
      <c r="U25" s="82">
        <v>1.2729999999999999</v>
      </c>
      <c r="V25" s="84">
        <f t="shared" si="2"/>
        <v>2.3187613843351547</v>
      </c>
      <c r="W25" s="86">
        <f>(U25-U27)/(U24-U27)</f>
        <v>0.77806788511749347</v>
      </c>
      <c r="Y25" s="300"/>
    </row>
    <row r="26" spans="1:25" ht="15.75" customHeight="1" x14ac:dyDescent="0.25">
      <c r="L26" s="73" t="s">
        <v>168</v>
      </c>
      <c r="M26" s="74" t="s">
        <v>171</v>
      </c>
      <c r="N26" s="74" t="s">
        <v>190</v>
      </c>
      <c r="O26" s="74" t="s">
        <v>191</v>
      </c>
      <c r="P26" s="77" t="s">
        <v>173</v>
      </c>
      <c r="Q26" s="87" t="s">
        <v>192</v>
      </c>
      <c r="S26" s="80" t="s">
        <v>193</v>
      </c>
      <c r="T26" s="74">
        <v>0.443</v>
      </c>
      <c r="U26" s="91">
        <v>0.54500000000000004</v>
      </c>
      <c r="V26" s="84">
        <f t="shared" si="2"/>
        <v>1.2302483069977428</v>
      </c>
      <c r="W26" s="86">
        <f>(U26-U27)/(U24-U27)</f>
        <v>0.30287206266318539</v>
      </c>
      <c r="Y26" s="300"/>
    </row>
    <row r="27" spans="1:25" ht="15.75" customHeight="1" x14ac:dyDescent="0.25">
      <c r="L27" s="73">
        <v>140</v>
      </c>
      <c r="M27" s="74">
        <f>+U24</f>
        <v>1.613</v>
      </c>
      <c r="N27" s="76">
        <f>+U27</f>
        <v>8.1000000000000003E-2</v>
      </c>
      <c r="O27" s="74">
        <f>+Q25</f>
        <v>534.09395973154358</v>
      </c>
      <c r="P27" s="109">
        <f>+U26</f>
        <v>0.54500000000000004</v>
      </c>
      <c r="Q27" s="78">
        <f>(L27*(M27-N27)-O27*(P27-N27))/(M27-P27)</f>
        <v>-31.216851418947758</v>
      </c>
      <c r="S27" s="80" t="s">
        <v>194</v>
      </c>
      <c r="T27" s="74">
        <v>0.38</v>
      </c>
      <c r="U27" s="91">
        <v>8.1000000000000003E-2</v>
      </c>
      <c r="V27" s="84">
        <f t="shared" si="2"/>
        <v>0.2131578947368421</v>
      </c>
      <c r="W27" s="86"/>
      <c r="Y27" s="300"/>
    </row>
    <row r="28" spans="1:25" ht="15.75" customHeight="1" x14ac:dyDescent="0.25">
      <c r="L28" s="80" t="s">
        <v>196</v>
      </c>
      <c r="M28" s="93"/>
      <c r="N28" s="93"/>
      <c r="O28" s="93"/>
      <c r="P28" s="94"/>
      <c r="Q28" s="95"/>
      <c r="S28" s="111" t="s">
        <v>197</v>
      </c>
      <c r="T28" s="112">
        <v>0.40600000000000003</v>
      </c>
      <c r="U28" s="113">
        <v>0.23699999999999999</v>
      </c>
      <c r="V28" s="114">
        <f t="shared" si="2"/>
        <v>0.58374384236453192</v>
      </c>
      <c r="W28" s="115">
        <f>+(U28-U27)/(U24-U27)</f>
        <v>0.10182767624020886</v>
      </c>
      <c r="Y28" s="300"/>
    </row>
    <row r="29" spans="1:25" ht="15.75" customHeight="1" x14ac:dyDescent="0.2">
      <c r="L29" s="80" t="s">
        <v>199</v>
      </c>
      <c r="M29" s="93" t="s">
        <v>169</v>
      </c>
      <c r="N29" s="93" t="s">
        <v>200</v>
      </c>
      <c r="O29" s="93" t="s">
        <v>201</v>
      </c>
      <c r="P29" s="94" t="s">
        <v>191</v>
      </c>
      <c r="Q29" s="87" t="s">
        <v>202</v>
      </c>
      <c r="Y29" s="300"/>
    </row>
    <row r="30" spans="1:25" ht="15.75" customHeight="1" x14ac:dyDescent="0.2">
      <c r="L30" s="116">
        <f>+U28</f>
        <v>0.23699999999999999</v>
      </c>
      <c r="M30" s="117">
        <f>+Q27</f>
        <v>-31.216851418947758</v>
      </c>
      <c r="N30" s="112">
        <f>+U24</f>
        <v>1.613</v>
      </c>
      <c r="O30" s="118">
        <f>+U27</f>
        <v>8.1000000000000003E-2</v>
      </c>
      <c r="P30" s="119">
        <f>+Q25</f>
        <v>534.09395973154358</v>
      </c>
      <c r="Q30" s="78">
        <f>M30+(P30-M30)*(L30-O30)/(N30-O30)</f>
        <v>26.347434833974322</v>
      </c>
      <c r="T30" s="121"/>
      <c r="Y30" s="300"/>
    </row>
    <row r="31" spans="1:25" ht="15.75" customHeight="1" x14ac:dyDescent="0.2">
      <c r="Y31" s="301"/>
    </row>
    <row r="32" spans="1:25" ht="15.75" customHeight="1" x14ac:dyDescent="0.25">
      <c r="A32" s="345"/>
      <c r="B32" s="297"/>
      <c r="C32" s="297"/>
      <c r="D32" s="297"/>
      <c r="E32" s="297"/>
      <c r="F32" s="297"/>
      <c r="G32" s="297"/>
      <c r="H32" s="297"/>
      <c r="I32" s="297"/>
      <c r="J32" s="297"/>
      <c r="K32" s="297"/>
      <c r="L32" s="297"/>
      <c r="M32" s="297"/>
      <c r="N32" s="297"/>
      <c r="O32" s="297"/>
      <c r="P32" s="297"/>
      <c r="Q32" s="297"/>
      <c r="R32" s="297"/>
      <c r="S32" s="297"/>
      <c r="T32" s="297"/>
      <c r="U32" s="297"/>
      <c r="V32" s="297"/>
      <c r="W32" s="297"/>
      <c r="X32" s="297"/>
      <c r="Y32" s="298"/>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7">
    <mergeCell ref="A32:Y32"/>
    <mergeCell ref="G18:J18"/>
    <mergeCell ref="A19:E19"/>
    <mergeCell ref="S20:W22"/>
    <mergeCell ref="L22:Q23"/>
    <mergeCell ref="I2:K2"/>
    <mergeCell ref="C3:G3"/>
    <mergeCell ref="I3:K3"/>
    <mergeCell ref="A9:Y9"/>
    <mergeCell ref="Y10:Y31"/>
    <mergeCell ref="S12:W12"/>
    <mergeCell ref="S13:W13"/>
    <mergeCell ref="L12:Q12"/>
    <mergeCell ref="L13:Q14"/>
    <mergeCell ref="G13:J13"/>
    <mergeCell ref="A14:E14"/>
    <mergeCell ref="G14:J14"/>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baseColWidth="10" defaultColWidth="12.625" defaultRowHeight="15" customHeight="1" x14ac:dyDescent="0.2"/>
  <cols>
    <col min="1" max="2" width="10" customWidth="1"/>
    <col min="3" max="3" width="12.875" customWidth="1"/>
    <col min="4" max="26" width="10" customWidth="1"/>
  </cols>
  <sheetData>
    <row r="1" spans="2:13" ht="14.25" x14ac:dyDescent="0.2">
      <c r="B1" s="43" t="s">
        <v>344</v>
      </c>
    </row>
    <row r="2" spans="2:13" x14ac:dyDescent="0.25">
      <c r="B2" s="304" t="s">
        <v>265</v>
      </c>
      <c r="C2" s="297"/>
      <c r="D2" s="297"/>
      <c r="E2" s="297"/>
      <c r="F2" s="154"/>
      <c r="I2" s="3"/>
    </row>
    <row r="3" spans="2:13" ht="24" x14ac:dyDescent="0.2">
      <c r="B3" s="4" t="s">
        <v>0</v>
      </c>
      <c r="C3" s="5" t="s">
        <v>1</v>
      </c>
      <c r="D3" s="5" t="s">
        <v>2</v>
      </c>
      <c r="E3" s="5" t="s">
        <v>43</v>
      </c>
      <c r="F3" s="45" t="s">
        <v>125</v>
      </c>
      <c r="H3" s="296" t="s">
        <v>6</v>
      </c>
      <c r="I3" s="297"/>
      <c r="J3" s="297"/>
      <c r="K3" s="297"/>
      <c r="L3" s="297"/>
      <c r="M3" s="298"/>
    </row>
    <row r="4" spans="2:13" ht="14.25" x14ac:dyDescent="0.2">
      <c r="B4" s="9" t="s">
        <v>7</v>
      </c>
      <c r="C4" s="302" t="s">
        <v>9</v>
      </c>
      <c r="D4" s="11">
        <v>28.1</v>
      </c>
      <c r="E4" s="11">
        <v>26</v>
      </c>
      <c r="F4" s="11">
        <v>27</v>
      </c>
      <c r="H4" s="296" t="s">
        <v>106</v>
      </c>
      <c r="I4" s="297"/>
      <c r="J4" s="298"/>
      <c r="K4" s="296" t="s">
        <v>107</v>
      </c>
      <c r="L4" s="297"/>
      <c r="M4" s="298"/>
    </row>
    <row r="5" spans="2:13" ht="14.25" x14ac:dyDescent="0.2">
      <c r="B5" s="9" t="s">
        <v>17</v>
      </c>
      <c r="C5" s="300"/>
      <c r="D5" s="11">
        <v>63.911000000000001</v>
      </c>
      <c r="E5" s="11">
        <v>82</v>
      </c>
      <c r="F5" s="11">
        <v>82</v>
      </c>
      <c r="H5" s="13" t="s">
        <v>13</v>
      </c>
      <c r="I5" s="14">
        <v>685</v>
      </c>
      <c r="J5" s="17" t="s">
        <v>350</v>
      </c>
      <c r="K5" s="13" t="s">
        <v>13</v>
      </c>
      <c r="L5" s="14">
        <f>L7+L7*0.05</f>
        <v>672</v>
      </c>
      <c r="M5" s="17" t="s">
        <v>351</v>
      </c>
    </row>
    <row r="6" spans="2:13" ht="14.25" x14ac:dyDescent="0.2">
      <c r="B6" s="9" t="s">
        <v>26</v>
      </c>
      <c r="C6" s="300"/>
      <c r="D6" s="11">
        <v>69.921999999999997</v>
      </c>
      <c r="E6" s="11">
        <v>81</v>
      </c>
      <c r="F6" s="11">
        <v>82</v>
      </c>
      <c r="H6" s="13" t="s">
        <v>19</v>
      </c>
      <c r="I6" s="18">
        <v>619</v>
      </c>
      <c r="J6" s="17" t="s">
        <v>352</v>
      </c>
      <c r="K6" s="13" t="s">
        <v>19</v>
      </c>
      <c r="L6" s="18">
        <f>L7-L7*0.05</f>
        <v>608</v>
      </c>
      <c r="M6" s="17" t="s">
        <v>354</v>
      </c>
    </row>
    <row r="7" spans="2:13" ht="14.25" x14ac:dyDescent="0.2">
      <c r="B7" s="9" t="s">
        <v>32</v>
      </c>
      <c r="C7" s="300"/>
      <c r="D7" s="11">
        <v>96.744</v>
      </c>
      <c r="E7" s="11">
        <v>98</v>
      </c>
      <c r="F7" s="11">
        <v>98</v>
      </c>
      <c r="H7" s="13" t="s">
        <v>27</v>
      </c>
      <c r="I7" s="20">
        <v>650</v>
      </c>
      <c r="J7" s="17" t="s">
        <v>356</v>
      </c>
      <c r="K7" s="13" t="s">
        <v>27</v>
      </c>
      <c r="L7" s="20">
        <v>640</v>
      </c>
      <c r="M7" s="17" t="s">
        <v>357</v>
      </c>
    </row>
    <row r="8" spans="2:13" ht="14.25" x14ac:dyDescent="0.2">
      <c r="B8" s="9" t="s">
        <v>33</v>
      </c>
      <c r="C8" s="301"/>
      <c r="D8" s="11">
        <v>128.11000000000001</v>
      </c>
      <c r="E8" s="11">
        <v>129</v>
      </c>
      <c r="F8" s="11"/>
      <c r="H8" s="13" t="s">
        <v>121</v>
      </c>
      <c r="I8" s="20">
        <v>638</v>
      </c>
      <c r="J8" s="17" t="s">
        <v>359</v>
      </c>
      <c r="K8" s="13" t="s">
        <v>121</v>
      </c>
      <c r="L8" s="20">
        <v>640</v>
      </c>
      <c r="M8" s="17" t="s">
        <v>361</v>
      </c>
    </row>
    <row r="9" spans="2:13" x14ac:dyDescent="0.25">
      <c r="B9" s="296"/>
      <c r="C9" s="297"/>
      <c r="D9" s="297"/>
      <c r="E9" s="297"/>
      <c r="F9" s="11"/>
      <c r="I9" s="3"/>
    </row>
    <row r="10" spans="2:13" x14ac:dyDescent="0.25">
      <c r="B10" s="9" t="s">
        <v>35</v>
      </c>
      <c r="C10" s="302" t="s">
        <v>36</v>
      </c>
      <c r="D10" s="11">
        <v>207.78</v>
      </c>
      <c r="E10" s="11">
        <v>187</v>
      </c>
      <c r="F10" s="11">
        <v>192</v>
      </c>
      <c r="I10" s="3"/>
    </row>
    <row r="11" spans="2:13" x14ac:dyDescent="0.25">
      <c r="B11" s="9" t="s">
        <v>37</v>
      </c>
      <c r="C11" s="300"/>
      <c r="D11" s="11">
        <v>444.11</v>
      </c>
      <c r="E11" s="11">
        <v>221</v>
      </c>
      <c r="F11" s="11">
        <v>221</v>
      </c>
      <c r="I11" s="3"/>
    </row>
    <row r="12" spans="2:13" x14ac:dyDescent="0.25">
      <c r="B12" s="9" t="s">
        <v>38</v>
      </c>
      <c r="C12" s="300"/>
      <c r="D12" s="11">
        <v>579.55999999999995</v>
      </c>
      <c r="E12" s="11">
        <v>480</v>
      </c>
      <c r="F12" s="11">
        <v>480</v>
      </c>
      <c r="I12" s="3"/>
    </row>
    <row r="13" spans="2:13" x14ac:dyDescent="0.25">
      <c r="B13" s="9" t="s">
        <v>39</v>
      </c>
      <c r="C13" s="300"/>
      <c r="D13" s="11">
        <v>746.22</v>
      </c>
      <c r="E13" s="11">
        <v>640</v>
      </c>
      <c r="F13" s="11">
        <v>645</v>
      </c>
      <c r="I13" s="3"/>
    </row>
    <row r="14" spans="2:13" x14ac:dyDescent="0.25">
      <c r="B14" s="49" t="s">
        <v>41</v>
      </c>
      <c r="C14" s="300"/>
      <c r="D14" s="51">
        <v>869.5</v>
      </c>
      <c r="E14" s="51">
        <v>684</v>
      </c>
      <c r="F14" s="11">
        <v>682</v>
      </c>
      <c r="I14" s="3"/>
    </row>
    <row r="15" spans="2:13" x14ac:dyDescent="0.25">
      <c r="B15" s="308"/>
      <c r="C15" s="297"/>
      <c r="D15" s="297"/>
      <c r="E15" s="297"/>
      <c r="F15" s="306"/>
      <c r="I15" s="3"/>
    </row>
    <row r="16" spans="2:13" x14ac:dyDescent="0.25">
      <c r="B16" s="9" t="s">
        <v>46</v>
      </c>
      <c r="C16" s="299" t="s">
        <v>47</v>
      </c>
      <c r="D16" s="11">
        <v>88.4</v>
      </c>
      <c r="E16" s="11">
        <v>82</v>
      </c>
      <c r="F16" s="11">
        <v>81</v>
      </c>
      <c r="I16" s="3"/>
    </row>
    <row r="17" spans="2:9" x14ac:dyDescent="0.25">
      <c r="B17" s="9" t="s">
        <v>48</v>
      </c>
      <c r="C17" s="300"/>
      <c r="D17" s="11">
        <v>94.6</v>
      </c>
      <c r="E17" s="11">
        <v>86</v>
      </c>
      <c r="F17" s="11">
        <v>84</v>
      </c>
      <c r="I17" s="3"/>
    </row>
    <row r="18" spans="2:9" x14ac:dyDescent="0.25">
      <c r="B18" s="296"/>
      <c r="C18" s="297"/>
      <c r="D18" s="297"/>
      <c r="E18" s="297"/>
      <c r="F18" s="11"/>
      <c r="I18" s="3"/>
    </row>
    <row r="19" spans="2:9" x14ac:dyDescent="0.25">
      <c r="B19" s="9" t="s">
        <v>50</v>
      </c>
      <c r="C19" s="302" t="s">
        <v>51</v>
      </c>
      <c r="D19" s="11">
        <v>271.44400000000002</v>
      </c>
      <c r="E19" s="11">
        <v>169</v>
      </c>
      <c r="F19" s="11">
        <v>160</v>
      </c>
      <c r="I19" s="3"/>
    </row>
    <row r="20" spans="2:9" x14ac:dyDescent="0.25">
      <c r="B20" s="9" t="s">
        <v>54</v>
      </c>
      <c r="C20" s="300"/>
      <c r="D20" s="11">
        <v>550.22199999999998</v>
      </c>
      <c r="E20" s="11">
        <v>190</v>
      </c>
      <c r="F20" s="11">
        <v>216</v>
      </c>
      <c r="I20" s="3"/>
    </row>
    <row r="21" spans="2:9" ht="15.75" customHeight="1" x14ac:dyDescent="0.25">
      <c r="B21" s="9" t="s">
        <v>55</v>
      </c>
      <c r="C21" s="300"/>
      <c r="D21" s="11">
        <v>609</v>
      </c>
      <c r="E21" s="11">
        <v>646</v>
      </c>
      <c r="F21" s="11">
        <v>640</v>
      </c>
      <c r="I21" s="3"/>
    </row>
    <row r="22" spans="2:9" ht="15.75" customHeight="1" x14ac:dyDescent="0.25">
      <c r="B22" s="9" t="s">
        <v>56</v>
      </c>
      <c r="C22" s="300"/>
      <c r="D22" s="11">
        <v>739.11099999999999</v>
      </c>
      <c r="E22" s="11">
        <v>711</v>
      </c>
      <c r="F22" s="11">
        <v>722</v>
      </c>
      <c r="I22" s="3"/>
    </row>
    <row r="23" spans="2:9" ht="15.75" customHeight="1" x14ac:dyDescent="0.25">
      <c r="B23" s="49" t="s">
        <v>57</v>
      </c>
      <c r="C23" s="300"/>
      <c r="D23" s="51">
        <v>746.88900000000001</v>
      </c>
      <c r="E23" s="51">
        <v>592</v>
      </c>
      <c r="F23" s="11">
        <v>597</v>
      </c>
      <c r="I23" s="3"/>
    </row>
    <row r="24" spans="2:9" ht="15.75" customHeight="1" x14ac:dyDescent="0.25">
      <c r="B24" s="308"/>
      <c r="C24" s="297"/>
      <c r="D24" s="297"/>
      <c r="E24" s="297"/>
      <c r="F24" s="306"/>
      <c r="I24" s="3"/>
    </row>
    <row r="25" spans="2:9" ht="15.75" customHeight="1" x14ac:dyDescent="0.25">
      <c r="B25" s="9" t="s">
        <v>60</v>
      </c>
      <c r="C25" s="299" t="s">
        <v>62</v>
      </c>
      <c r="D25" s="11">
        <v>19.36</v>
      </c>
      <c r="E25" s="11">
        <v>18</v>
      </c>
      <c r="F25" s="11">
        <v>18</v>
      </c>
      <c r="I25" s="3"/>
    </row>
    <row r="26" spans="2:9" ht="15.75" customHeight="1" x14ac:dyDescent="0.25">
      <c r="B26" s="9" t="s">
        <v>64</v>
      </c>
      <c r="C26" s="300"/>
      <c r="D26" s="11">
        <v>33.31</v>
      </c>
      <c r="E26" s="11">
        <v>33</v>
      </c>
      <c r="F26" s="11">
        <v>33</v>
      </c>
      <c r="I26" s="3"/>
    </row>
    <row r="27" spans="2:9" ht="15.75" customHeight="1" x14ac:dyDescent="0.25">
      <c r="B27" s="9" t="s">
        <v>65</v>
      </c>
      <c r="C27" s="301"/>
      <c r="D27" s="11">
        <v>41.74</v>
      </c>
      <c r="E27" s="11">
        <v>20</v>
      </c>
      <c r="F27" s="11">
        <v>20</v>
      </c>
      <c r="I27" s="3"/>
    </row>
    <row r="28" spans="2:9" ht="15.75" customHeight="1" x14ac:dyDescent="0.25">
      <c r="B28" s="296"/>
      <c r="C28" s="297"/>
      <c r="D28" s="297"/>
      <c r="E28" s="297"/>
      <c r="F28" s="11"/>
      <c r="I28" s="3"/>
    </row>
    <row r="29" spans="2:9" ht="15.75" customHeight="1" x14ac:dyDescent="0.25">
      <c r="B29" s="9" t="s">
        <v>66</v>
      </c>
      <c r="C29" s="302" t="s">
        <v>68</v>
      </c>
      <c r="D29" s="11">
        <v>204.5</v>
      </c>
      <c r="E29" s="11">
        <v>208</v>
      </c>
      <c r="F29" s="11">
        <v>211</v>
      </c>
      <c r="I29" s="3"/>
    </row>
    <row r="30" spans="2:9" ht="15.75" customHeight="1" x14ac:dyDescent="0.25">
      <c r="B30" s="49" t="s">
        <v>69</v>
      </c>
      <c r="C30" s="300"/>
      <c r="D30" s="51">
        <v>277.7</v>
      </c>
      <c r="E30" s="51">
        <v>275</v>
      </c>
      <c r="F30" s="11">
        <v>279</v>
      </c>
      <c r="I30" s="3"/>
    </row>
    <row r="31" spans="2:9" ht="15.75" customHeight="1" x14ac:dyDescent="0.25">
      <c r="B31" s="305"/>
      <c r="C31" s="297"/>
      <c r="D31" s="297"/>
      <c r="E31" s="297"/>
      <c r="F31" s="306"/>
      <c r="I31" s="3"/>
    </row>
    <row r="32" spans="2:9" ht="15.75" customHeight="1" x14ac:dyDescent="0.25">
      <c r="B32" s="9" t="s">
        <v>69</v>
      </c>
      <c r="C32" s="299" t="s">
        <v>71</v>
      </c>
      <c r="D32" s="11">
        <v>10.283300000000001</v>
      </c>
      <c r="E32" s="11">
        <v>7</v>
      </c>
      <c r="F32" s="11">
        <v>7</v>
      </c>
      <c r="I32" s="3"/>
    </row>
    <row r="33" spans="2:9" ht="15.75" customHeight="1" x14ac:dyDescent="0.25">
      <c r="B33" s="9" t="s">
        <v>72</v>
      </c>
      <c r="C33" s="300"/>
      <c r="D33" s="11">
        <v>11.8833</v>
      </c>
      <c r="E33" s="11">
        <v>8</v>
      </c>
      <c r="F33" s="11">
        <v>9</v>
      </c>
      <c r="I33" s="3"/>
    </row>
    <row r="34" spans="2:9" ht="15.75" customHeight="1" x14ac:dyDescent="0.25">
      <c r="B34" s="9" t="s">
        <v>73</v>
      </c>
      <c r="C34" s="301"/>
      <c r="D34" s="11">
        <v>17.433299999999999</v>
      </c>
      <c r="E34" s="11">
        <v>17</v>
      </c>
      <c r="F34" s="11">
        <v>17</v>
      </c>
      <c r="I34" s="3"/>
    </row>
    <row r="35" spans="2:9" ht="15.75" customHeight="1" x14ac:dyDescent="0.25">
      <c r="B35" s="296"/>
      <c r="C35" s="297"/>
      <c r="D35" s="297"/>
      <c r="E35" s="297"/>
      <c r="F35" s="11"/>
      <c r="I35" s="3"/>
    </row>
    <row r="36" spans="2:9" ht="15.75" customHeight="1" x14ac:dyDescent="0.25">
      <c r="B36" s="9" t="s">
        <v>76</v>
      </c>
      <c r="C36" s="302" t="s">
        <v>77</v>
      </c>
      <c r="D36" s="11">
        <v>117.467</v>
      </c>
      <c r="E36" s="11">
        <v>186</v>
      </c>
      <c r="F36" s="11">
        <v>187</v>
      </c>
      <c r="I36" s="3"/>
    </row>
    <row r="37" spans="2:9" ht="15.75" customHeight="1" x14ac:dyDescent="0.25">
      <c r="B37" s="9" t="s">
        <v>78</v>
      </c>
      <c r="C37" s="300"/>
      <c r="D37" s="11">
        <v>187.833</v>
      </c>
      <c r="E37" s="11">
        <v>131</v>
      </c>
      <c r="F37" s="11">
        <v>137</v>
      </c>
      <c r="I37" s="3"/>
    </row>
    <row r="38" spans="2:9" ht="15.75" customHeight="1" x14ac:dyDescent="0.25">
      <c r="B38" s="9" t="s">
        <v>79</v>
      </c>
      <c r="C38" s="300"/>
      <c r="D38" s="11">
        <v>218.333</v>
      </c>
      <c r="E38" s="11">
        <v>244</v>
      </c>
      <c r="F38" s="11">
        <v>249</v>
      </c>
      <c r="I38" s="3"/>
    </row>
    <row r="39" spans="2:9" ht="15.75" customHeight="1" x14ac:dyDescent="0.25">
      <c r="B39" s="49" t="s">
        <v>80</v>
      </c>
      <c r="C39" s="300"/>
      <c r="D39" s="51">
        <v>238.5</v>
      </c>
      <c r="E39" s="51">
        <v>98</v>
      </c>
      <c r="F39" s="11">
        <v>102</v>
      </c>
      <c r="I39" s="3"/>
    </row>
    <row r="40" spans="2:9" ht="15.75" customHeight="1" x14ac:dyDescent="0.25">
      <c r="B40" s="305"/>
      <c r="C40" s="297"/>
      <c r="D40" s="297"/>
      <c r="E40" s="297"/>
      <c r="F40" s="306"/>
      <c r="I40" s="3"/>
    </row>
    <row r="41" spans="2:9" ht="15.75" customHeight="1" x14ac:dyDescent="0.25">
      <c r="B41" s="9" t="s">
        <v>81</v>
      </c>
      <c r="C41" s="299" t="s">
        <v>82</v>
      </c>
      <c r="D41" s="11">
        <v>2</v>
      </c>
      <c r="E41" s="11">
        <v>6</v>
      </c>
      <c r="F41" s="11">
        <v>7</v>
      </c>
      <c r="I41" s="3"/>
    </row>
    <row r="42" spans="2:9" ht="15.75" customHeight="1" x14ac:dyDescent="0.25">
      <c r="B42" s="9" t="s">
        <v>83</v>
      </c>
      <c r="C42" s="300"/>
      <c r="D42" s="11">
        <v>7.133</v>
      </c>
      <c r="E42" s="11">
        <v>10</v>
      </c>
      <c r="F42" s="11">
        <v>12</v>
      </c>
      <c r="I42" s="3"/>
    </row>
    <row r="43" spans="2:9" ht="15.75" customHeight="1" x14ac:dyDescent="0.25">
      <c r="B43" s="9" t="s">
        <v>84</v>
      </c>
      <c r="C43" s="301"/>
      <c r="D43" s="11">
        <v>10.72</v>
      </c>
      <c r="E43" s="11">
        <v>9</v>
      </c>
      <c r="F43" s="11">
        <v>10</v>
      </c>
      <c r="I43" s="3"/>
    </row>
    <row r="44" spans="2:9" ht="15.75" customHeight="1" x14ac:dyDescent="0.25">
      <c r="B44" s="296"/>
      <c r="C44" s="297"/>
      <c r="D44" s="297"/>
      <c r="E44" s="297"/>
      <c r="F44" s="11"/>
      <c r="I44" s="3"/>
    </row>
    <row r="45" spans="2:9" ht="15.75" customHeight="1" x14ac:dyDescent="0.25">
      <c r="B45" s="9" t="s">
        <v>86</v>
      </c>
      <c r="C45" s="302" t="s">
        <v>87</v>
      </c>
      <c r="D45" s="11">
        <v>20.466999999999999</v>
      </c>
      <c r="E45" s="11">
        <v>21</v>
      </c>
      <c r="F45" s="11">
        <v>22</v>
      </c>
      <c r="I45" s="3"/>
    </row>
    <row r="46" spans="2:9" ht="15.75" customHeight="1" x14ac:dyDescent="0.25">
      <c r="B46" s="49" t="s">
        <v>88</v>
      </c>
      <c r="C46" s="300"/>
      <c r="D46" s="51">
        <v>20.367000000000001</v>
      </c>
      <c r="E46" s="51">
        <v>21</v>
      </c>
      <c r="F46" s="11">
        <v>22</v>
      </c>
      <c r="I46" s="3"/>
    </row>
    <row r="47" spans="2:9" ht="15.75" customHeight="1" x14ac:dyDescent="0.25">
      <c r="B47" s="305"/>
      <c r="C47" s="297"/>
      <c r="D47" s="297"/>
      <c r="E47" s="297"/>
      <c r="F47" s="306"/>
      <c r="I47" s="3"/>
    </row>
    <row r="48" spans="2:9" ht="15.75" customHeight="1" x14ac:dyDescent="0.25">
      <c r="B48" s="9" t="s">
        <v>89</v>
      </c>
      <c r="C48" s="299" t="s">
        <v>90</v>
      </c>
      <c r="D48" s="11">
        <v>5.15</v>
      </c>
      <c r="E48" s="11">
        <v>18</v>
      </c>
      <c r="F48" s="11">
        <v>18</v>
      </c>
      <c r="I48" s="3"/>
    </row>
    <row r="49" spans="2:12" ht="15.75" customHeight="1" x14ac:dyDescent="0.25">
      <c r="B49" s="9" t="s">
        <v>91</v>
      </c>
      <c r="C49" s="300"/>
      <c r="D49" s="11">
        <v>16.2</v>
      </c>
      <c r="E49" s="11">
        <v>18</v>
      </c>
      <c r="F49" s="11">
        <v>18</v>
      </c>
      <c r="I49" s="3"/>
    </row>
    <row r="50" spans="2:12" ht="15.75" customHeight="1" x14ac:dyDescent="0.25">
      <c r="B50" s="49" t="s">
        <v>92</v>
      </c>
      <c r="C50" s="300"/>
      <c r="D50" s="51">
        <v>17.260000000000002</v>
      </c>
      <c r="E50" s="51"/>
      <c r="F50" s="11"/>
      <c r="I50" s="3"/>
    </row>
    <row r="51" spans="2:12" ht="15.75" customHeight="1" x14ac:dyDescent="0.25">
      <c r="B51" s="296"/>
      <c r="C51" s="297"/>
      <c r="D51" s="297"/>
      <c r="E51" s="297"/>
      <c r="F51" s="297"/>
      <c r="I51" s="3"/>
    </row>
    <row r="52" spans="2:12" ht="15.75" customHeight="1" x14ac:dyDescent="0.25">
      <c r="B52" s="9" t="s">
        <v>94</v>
      </c>
      <c r="C52" s="299" t="s">
        <v>95</v>
      </c>
      <c r="D52" s="11">
        <v>50.082999999999998</v>
      </c>
      <c r="E52" s="11">
        <v>52</v>
      </c>
      <c r="F52" s="11">
        <v>52</v>
      </c>
      <c r="I52" s="3"/>
    </row>
    <row r="53" spans="2:12" ht="15.75" customHeight="1" x14ac:dyDescent="0.25">
      <c r="B53" s="9" t="s">
        <v>96</v>
      </c>
      <c r="C53" s="300"/>
      <c r="D53" s="11">
        <v>93.992999999999995</v>
      </c>
      <c r="E53" s="11">
        <v>113</v>
      </c>
      <c r="F53" s="11">
        <v>113</v>
      </c>
      <c r="I53" s="3"/>
    </row>
    <row r="54" spans="2:12" ht="15.75" customHeight="1" x14ac:dyDescent="0.25">
      <c r="B54" s="9" t="s">
        <v>97</v>
      </c>
      <c r="C54" s="300"/>
      <c r="D54" s="11">
        <v>95.516999999999996</v>
      </c>
      <c r="E54" s="11">
        <v>54</v>
      </c>
      <c r="F54" s="11">
        <v>54</v>
      </c>
      <c r="I54" s="3"/>
    </row>
    <row r="55" spans="2:12" ht="15.75" customHeight="1" x14ac:dyDescent="0.25">
      <c r="B55" s="9" t="s">
        <v>98</v>
      </c>
      <c r="C55" s="300"/>
      <c r="D55" s="11">
        <v>100.92</v>
      </c>
      <c r="E55" s="11">
        <v>114</v>
      </c>
      <c r="F55" s="11">
        <v>115</v>
      </c>
      <c r="I55" s="3"/>
    </row>
    <row r="56" spans="2:12" ht="15.75" customHeight="1" x14ac:dyDescent="0.25">
      <c r="B56" s="9" t="s">
        <v>99</v>
      </c>
      <c r="C56" s="301"/>
      <c r="D56" s="11">
        <v>115.37</v>
      </c>
      <c r="E56" s="11">
        <v>113</v>
      </c>
      <c r="F56" s="11">
        <v>114</v>
      </c>
      <c r="I56" s="3"/>
    </row>
    <row r="57" spans="2:12" ht="15.75" customHeight="1" x14ac:dyDescent="0.25">
      <c r="B57" s="1"/>
      <c r="C57" s="1"/>
      <c r="D57" s="2"/>
      <c r="E57" s="2"/>
      <c r="F57" s="146"/>
      <c r="I57" s="3"/>
    </row>
    <row r="58" spans="2:12" ht="15.75" customHeight="1" x14ac:dyDescent="0.25">
      <c r="B58" s="1"/>
      <c r="C58" s="1"/>
      <c r="D58" s="2"/>
      <c r="E58" s="2"/>
      <c r="F58" s="146"/>
      <c r="I58" s="3"/>
    </row>
    <row r="59" spans="2:12" ht="15.75" customHeight="1" x14ac:dyDescent="0.25">
      <c r="F59" s="123"/>
      <c r="I59" s="3"/>
    </row>
    <row r="60" spans="2:12" ht="15.75" customHeight="1" x14ac:dyDescent="0.2"/>
    <row r="61" spans="2:12" ht="15.75" customHeight="1" x14ac:dyDescent="0.25">
      <c r="B61" s="28"/>
      <c r="C61" s="28"/>
      <c r="D61" s="28"/>
      <c r="E61" s="28"/>
      <c r="F61" s="28"/>
      <c r="G61" s="28"/>
      <c r="H61" s="28"/>
      <c r="I61" s="28"/>
      <c r="J61" s="28"/>
      <c r="K61" s="28"/>
      <c r="L61" s="28"/>
    </row>
    <row r="62" spans="2:12" ht="15.75" customHeight="1" x14ac:dyDescent="0.25">
      <c r="B62" s="28"/>
      <c r="C62" s="23"/>
      <c r="D62" s="23"/>
      <c r="E62" s="23"/>
      <c r="F62" s="23"/>
      <c r="G62" s="23"/>
      <c r="H62" s="28"/>
      <c r="I62" s="28"/>
      <c r="J62" s="28"/>
      <c r="K62" s="28"/>
      <c r="L62" s="28"/>
    </row>
    <row r="63" spans="2:12" ht="15.75" customHeight="1" x14ac:dyDescent="0.25">
      <c r="B63" s="332" t="s">
        <v>265</v>
      </c>
      <c r="C63" s="297"/>
      <c r="D63" s="297"/>
      <c r="E63" s="297"/>
      <c r="F63" s="297"/>
      <c r="G63" s="298"/>
    </row>
    <row r="64" spans="2:12" ht="36.75" customHeight="1" x14ac:dyDescent="0.2">
      <c r="B64" s="4" t="s">
        <v>0</v>
      </c>
      <c r="C64" s="5" t="s">
        <v>1</v>
      </c>
      <c r="D64" s="5" t="s">
        <v>42</v>
      </c>
      <c r="E64" s="5" t="s">
        <v>43</v>
      </c>
      <c r="F64" s="5" t="s">
        <v>44</v>
      </c>
      <c r="G64" s="7" t="s">
        <v>206</v>
      </c>
      <c r="I64" s="296" t="s">
        <v>45</v>
      </c>
      <c r="J64" s="297"/>
      <c r="K64" s="297"/>
      <c r="L64" s="298"/>
    </row>
    <row r="65" spans="1:17" ht="15.75" customHeight="1" x14ac:dyDescent="0.2">
      <c r="B65" s="310" t="s">
        <v>8</v>
      </c>
      <c r="C65" s="297"/>
      <c r="D65" s="297"/>
      <c r="E65" s="297"/>
      <c r="F65" s="297"/>
      <c r="G65" s="306"/>
      <c r="I65" s="305" t="s">
        <v>10</v>
      </c>
      <c r="J65" s="297"/>
      <c r="K65" s="297"/>
      <c r="L65" s="298"/>
    </row>
    <row r="66" spans="1:17" ht="15.75" customHeight="1" x14ac:dyDescent="0.2">
      <c r="B66" s="9" t="s">
        <v>11</v>
      </c>
      <c r="C66" s="12" t="s">
        <v>12</v>
      </c>
      <c r="D66" s="17">
        <v>750</v>
      </c>
      <c r="E66" s="22">
        <v>749</v>
      </c>
      <c r="F66" s="11">
        <v>840</v>
      </c>
      <c r="G66" s="110">
        <f>((E66-F66)/E66)</f>
        <v>-0.12149532710280374</v>
      </c>
      <c r="I66" s="12"/>
      <c r="J66" s="12" t="s">
        <v>52</v>
      </c>
      <c r="K66" s="12" t="s">
        <v>53</v>
      </c>
      <c r="L66" s="12"/>
    </row>
    <row r="67" spans="1:17" ht="15.75" customHeight="1" x14ac:dyDescent="0.2">
      <c r="B67" s="9" t="s">
        <v>11</v>
      </c>
      <c r="C67" s="12" t="s">
        <v>18</v>
      </c>
      <c r="D67" s="17">
        <v>0</v>
      </c>
      <c r="E67" s="22">
        <v>0</v>
      </c>
      <c r="F67" s="11">
        <v>0</v>
      </c>
      <c r="G67" s="110">
        <v>0</v>
      </c>
      <c r="I67" s="12" t="s">
        <v>12</v>
      </c>
      <c r="J67" s="17">
        <v>750</v>
      </c>
      <c r="K67" s="11">
        <v>840</v>
      </c>
      <c r="L67" s="17" t="s">
        <v>378</v>
      </c>
    </row>
    <row r="68" spans="1:17" ht="15.75" customHeight="1" x14ac:dyDescent="0.2">
      <c r="B68" s="9" t="s">
        <v>21</v>
      </c>
      <c r="C68" s="12" t="s">
        <v>59</v>
      </c>
      <c r="D68" s="17">
        <v>440</v>
      </c>
      <c r="E68" s="22">
        <v>410</v>
      </c>
      <c r="F68" s="11">
        <v>442</v>
      </c>
      <c r="G68" s="110">
        <f t="shared" ref="G68:G69" si="0">((E68-F68)/E68)</f>
        <v>-7.8048780487804878E-2</v>
      </c>
      <c r="I68" s="12" t="s">
        <v>18</v>
      </c>
      <c r="J68" s="17">
        <v>0</v>
      </c>
      <c r="K68" s="11">
        <v>0</v>
      </c>
      <c r="L68" s="17" t="s">
        <v>384</v>
      </c>
    </row>
    <row r="69" spans="1:17" ht="15.75" customHeight="1" x14ac:dyDescent="0.2">
      <c r="B69" s="9" t="s">
        <v>21</v>
      </c>
      <c r="C69" s="12" t="s">
        <v>63</v>
      </c>
      <c r="D69" s="17">
        <v>160</v>
      </c>
      <c r="E69" s="22">
        <v>130</v>
      </c>
      <c r="F69" s="11">
        <v>159</v>
      </c>
      <c r="G69" s="110">
        <f t="shared" si="0"/>
        <v>-0.22307692307692309</v>
      </c>
      <c r="I69" s="305" t="s">
        <v>23</v>
      </c>
      <c r="J69" s="297"/>
      <c r="K69" s="297"/>
      <c r="L69" s="298"/>
    </row>
    <row r="70" spans="1:17" ht="15.75" customHeight="1" x14ac:dyDescent="0.2">
      <c r="B70" s="310" t="s">
        <v>29</v>
      </c>
      <c r="C70" s="297"/>
      <c r="D70" s="297"/>
      <c r="E70" s="297"/>
      <c r="F70" s="297"/>
      <c r="G70" s="306"/>
      <c r="I70" s="12" t="s">
        <v>12</v>
      </c>
      <c r="J70" s="17">
        <v>680</v>
      </c>
      <c r="K70" s="11">
        <v>780</v>
      </c>
      <c r="L70" s="17" t="s">
        <v>386</v>
      </c>
    </row>
    <row r="71" spans="1:17" ht="15.75" customHeight="1" x14ac:dyDescent="0.2">
      <c r="B71" s="9" t="s">
        <v>11</v>
      </c>
      <c r="C71" s="12" t="s">
        <v>12</v>
      </c>
      <c r="D71" s="17">
        <v>680</v>
      </c>
      <c r="E71" s="22">
        <v>679</v>
      </c>
      <c r="F71" s="22">
        <v>780</v>
      </c>
      <c r="G71" s="110">
        <f>((E71-F71)/E71)</f>
        <v>-0.14874815905743741</v>
      </c>
      <c r="I71" s="12" t="s">
        <v>18</v>
      </c>
      <c r="J71" s="17">
        <v>0</v>
      </c>
      <c r="K71" s="11">
        <v>0</v>
      </c>
      <c r="L71" s="17" t="s">
        <v>388</v>
      </c>
    </row>
    <row r="72" spans="1:17" ht="15.75" customHeight="1" x14ac:dyDescent="0.2">
      <c r="B72" s="9" t="s">
        <v>11</v>
      </c>
      <c r="C72" s="12" t="s">
        <v>18</v>
      </c>
      <c r="D72" s="17">
        <v>0</v>
      </c>
      <c r="E72" s="22">
        <v>0</v>
      </c>
      <c r="F72" s="22">
        <v>0</v>
      </c>
      <c r="G72" s="110">
        <v>0</v>
      </c>
    </row>
    <row r="73" spans="1:17" ht="15.75" customHeight="1" x14ac:dyDescent="0.2">
      <c r="B73" s="9" t="s">
        <v>21</v>
      </c>
      <c r="C73" s="12" t="s">
        <v>59</v>
      </c>
      <c r="D73" s="17">
        <v>430</v>
      </c>
      <c r="E73" s="22">
        <v>405</v>
      </c>
      <c r="F73" s="22">
        <v>425</v>
      </c>
      <c r="G73" s="110">
        <f t="shared" ref="G73:G74" si="1">((E73-F73)/E73)</f>
        <v>-4.9382716049382713E-2</v>
      </c>
    </row>
    <row r="74" spans="1:17" ht="15.75" customHeight="1" x14ac:dyDescent="0.2">
      <c r="B74" s="9" t="s">
        <v>21</v>
      </c>
      <c r="C74" s="12" t="s">
        <v>63</v>
      </c>
      <c r="D74" s="17">
        <v>150</v>
      </c>
      <c r="E74" s="22">
        <v>120</v>
      </c>
      <c r="F74" s="22">
        <v>152</v>
      </c>
      <c r="G74" s="110">
        <f t="shared" si="1"/>
        <v>-0.26666666666666666</v>
      </c>
    </row>
    <row r="75" spans="1:17" ht="15.75" customHeight="1" x14ac:dyDescent="0.2">
      <c r="C75" s="2"/>
      <c r="D75" s="1"/>
    </row>
    <row r="76" spans="1:17" ht="15.75" customHeight="1" x14ac:dyDescent="0.2">
      <c r="C76" s="2"/>
      <c r="D76" s="2"/>
    </row>
    <row r="77" spans="1:17" ht="15.75" customHeight="1" x14ac:dyDescent="0.25">
      <c r="A77" s="29"/>
      <c r="B77" s="29"/>
      <c r="C77" s="32"/>
      <c r="D77" s="32"/>
      <c r="E77" s="29"/>
      <c r="F77" s="29"/>
      <c r="G77" s="29"/>
      <c r="H77" s="29"/>
      <c r="I77" s="29"/>
      <c r="J77" s="29"/>
      <c r="K77" s="29"/>
      <c r="L77" s="29"/>
      <c r="M77" s="29"/>
      <c r="N77" s="29"/>
      <c r="O77" s="29"/>
      <c r="P77" s="29"/>
      <c r="Q77" s="29"/>
    </row>
    <row r="78" spans="1:17" ht="15.75" customHeight="1" x14ac:dyDescent="0.2">
      <c r="C78" s="2"/>
      <c r="D78" s="2"/>
    </row>
    <row r="79" spans="1:17" ht="15.75" customHeight="1" x14ac:dyDescent="0.25">
      <c r="B79" s="28"/>
      <c r="C79" s="23"/>
      <c r="D79" s="23"/>
      <c r="E79" s="23"/>
      <c r="F79" s="23"/>
      <c r="G79" s="23"/>
      <c r="H79" s="28"/>
      <c r="I79" s="28"/>
      <c r="J79" s="28"/>
      <c r="K79" s="28"/>
      <c r="L79" s="28"/>
    </row>
    <row r="80" spans="1:17" ht="15.75" customHeight="1" x14ac:dyDescent="0.25">
      <c r="B80" s="332" t="s">
        <v>396</v>
      </c>
      <c r="C80" s="297"/>
      <c r="D80" s="297"/>
      <c r="E80" s="297"/>
      <c r="F80" s="297"/>
      <c r="G80" s="298"/>
    </row>
    <row r="81" spans="2:13" ht="15.75" customHeight="1" x14ac:dyDescent="0.2">
      <c r="B81" s="4" t="s">
        <v>0</v>
      </c>
      <c r="C81" s="5" t="s">
        <v>1</v>
      </c>
      <c r="D81" s="5" t="s">
        <v>42</v>
      </c>
      <c r="E81" s="5" t="s">
        <v>43</v>
      </c>
      <c r="F81" s="5" t="s">
        <v>44</v>
      </c>
      <c r="G81" s="7" t="s">
        <v>206</v>
      </c>
      <c r="I81" s="296" t="s">
        <v>45</v>
      </c>
      <c r="J81" s="297"/>
      <c r="K81" s="297"/>
      <c r="L81" s="298"/>
    </row>
    <row r="82" spans="2:13" ht="15.75" customHeight="1" x14ac:dyDescent="0.2">
      <c r="B82" s="310" t="s">
        <v>8</v>
      </c>
      <c r="C82" s="297"/>
      <c r="D82" s="297"/>
      <c r="E82" s="297"/>
      <c r="F82" s="297"/>
      <c r="G82" s="306"/>
      <c r="I82" s="305" t="s">
        <v>10</v>
      </c>
      <c r="J82" s="297"/>
      <c r="K82" s="297"/>
      <c r="L82" s="298"/>
    </row>
    <row r="83" spans="2:13" ht="15.75" customHeight="1" x14ac:dyDescent="0.2">
      <c r="B83" s="9" t="s">
        <v>11</v>
      </c>
      <c r="C83" s="12" t="s">
        <v>12</v>
      </c>
      <c r="D83" s="17">
        <v>840</v>
      </c>
      <c r="E83" s="22">
        <v>841</v>
      </c>
      <c r="F83" s="11">
        <v>861</v>
      </c>
      <c r="G83" s="110">
        <f>((E83-F83)/E83)</f>
        <v>-2.3781212841854936E-2</v>
      </c>
      <c r="I83" s="12"/>
      <c r="J83" s="12" t="s">
        <v>52</v>
      </c>
      <c r="K83" s="12" t="s">
        <v>53</v>
      </c>
      <c r="L83" s="12"/>
    </row>
    <row r="84" spans="2:13" ht="15.75" customHeight="1" x14ac:dyDescent="0.2">
      <c r="B84" s="9" t="s">
        <v>11</v>
      </c>
      <c r="C84" s="12" t="s">
        <v>18</v>
      </c>
      <c r="D84" s="17">
        <v>0</v>
      </c>
      <c r="E84" s="22">
        <v>0</v>
      </c>
      <c r="F84" s="11">
        <v>0</v>
      </c>
      <c r="G84" s="110">
        <v>0</v>
      </c>
      <c r="I84" s="12" t="s">
        <v>12</v>
      </c>
      <c r="J84" s="17">
        <f>D83</f>
        <v>840</v>
      </c>
      <c r="K84" s="11">
        <v>860</v>
      </c>
      <c r="L84" s="17" t="s">
        <v>406</v>
      </c>
    </row>
    <row r="85" spans="2:13" ht="15.75" customHeight="1" x14ac:dyDescent="0.2">
      <c r="B85" s="9" t="s">
        <v>21</v>
      </c>
      <c r="C85" s="12" t="s">
        <v>59</v>
      </c>
      <c r="D85" s="17">
        <v>440</v>
      </c>
      <c r="E85" s="22">
        <v>400</v>
      </c>
      <c r="F85" s="11">
        <v>443</v>
      </c>
      <c r="G85" s="110">
        <f t="shared" ref="G85:G86" si="2">((E85-F85)/E85)</f>
        <v>-0.1075</v>
      </c>
      <c r="I85" s="12" t="s">
        <v>18</v>
      </c>
      <c r="J85" s="17">
        <v>0</v>
      </c>
      <c r="K85" s="11">
        <v>0</v>
      </c>
      <c r="L85" s="17" t="s">
        <v>410</v>
      </c>
    </row>
    <row r="86" spans="2:13" ht="15.75" customHeight="1" x14ac:dyDescent="0.2">
      <c r="B86" s="9" t="s">
        <v>21</v>
      </c>
      <c r="C86" s="12" t="s">
        <v>63</v>
      </c>
      <c r="D86" s="17">
        <v>160</v>
      </c>
      <c r="E86" s="22">
        <v>163</v>
      </c>
      <c r="F86" s="11">
        <v>157</v>
      </c>
      <c r="G86" s="110">
        <f t="shared" si="2"/>
        <v>3.6809815950920248E-2</v>
      </c>
      <c r="I86" s="305" t="s">
        <v>23</v>
      </c>
      <c r="J86" s="297"/>
      <c r="K86" s="297"/>
      <c r="L86" s="298"/>
    </row>
    <row r="87" spans="2:13" ht="15.75" customHeight="1" x14ac:dyDescent="0.2">
      <c r="B87" s="310" t="s">
        <v>29</v>
      </c>
      <c r="C87" s="297"/>
      <c r="D87" s="297"/>
      <c r="E87" s="297"/>
      <c r="F87" s="297"/>
      <c r="G87" s="306"/>
      <c r="I87" s="12" t="s">
        <v>12</v>
      </c>
      <c r="J87" s="17">
        <f>D88</f>
        <v>780</v>
      </c>
      <c r="K87" s="11">
        <v>830</v>
      </c>
      <c r="L87" s="17" t="s">
        <v>415</v>
      </c>
    </row>
    <row r="88" spans="2:13" ht="15.75" customHeight="1" x14ac:dyDescent="0.2">
      <c r="B88" s="9" t="s">
        <v>11</v>
      </c>
      <c r="C88" s="12" t="s">
        <v>12</v>
      </c>
      <c r="D88" s="17">
        <v>780</v>
      </c>
      <c r="E88" s="22">
        <v>780</v>
      </c>
      <c r="F88" s="22">
        <v>828</v>
      </c>
      <c r="G88" s="110">
        <f>((E88-F88)/E88)</f>
        <v>-6.1538461538461542E-2</v>
      </c>
      <c r="I88" s="12" t="s">
        <v>18</v>
      </c>
      <c r="J88" s="17">
        <v>0</v>
      </c>
      <c r="K88" s="11">
        <v>0</v>
      </c>
      <c r="L88" s="17" t="s">
        <v>419</v>
      </c>
    </row>
    <row r="89" spans="2:13" ht="15.75" customHeight="1" x14ac:dyDescent="0.2">
      <c r="B89" s="9" t="s">
        <v>11</v>
      </c>
      <c r="C89" s="12" t="s">
        <v>18</v>
      </c>
      <c r="D89" s="17">
        <v>0</v>
      </c>
      <c r="E89" s="22">
        <v>0</v>
      </c>
      <c r="F89" s="22">
        <v>0</v>
      </c>
      <c r="G89" s="110">
        <v>0</v>
      </c>
    </row>
    <row r="90" spans="2:13" ht="15.75" customHeight="1" x14ac:dyDescent="0.2">
      <c r="B90" s="9" t="s">
        <v>21</v>
      </c>
      <c r="C90" s="12" t="s">
        <v>59</v>
      </c>
      <c r="D90" s="17">
        <v>430</v>
      </c>
      <c r="E90" s="22">
        <v>378</v>
      </c>
      <c r="F90" s="22">
        <v>424</v>
      </c>
      <c r="G90" s="110">
        <f t="shared" ref="G90:G91" si="3">((E90-F90)/E90)</f>
        <v>-0.12169312169312169</v>
      </c>
    </row>
    <row r="91" spans="2:13" ht="15.75" customHeight="1" x14ac:dyDescent="0.2">
      <c r="B91" s="9" t="s">
        <v>21</v>
      </c>
      <c r="C91" s="12" t="s">
        <v>63</v>
      </c>
      <c r="D91" s="17">
        <v>150</v>
      </c>
      <c r="E91" s="22">
        <v>156</v>
      </c>
      <c r="F91" s="22">
        <v>150</v>
      </c>
      <c r="G91" s="110">
        <f t="shared" si="3"/>
        <v>3.8461538461538464E-2</v>
      </c>
    </row>
    <row r="92" spans="2:13" ht="15.75" customHeight="1" x14ac:dyDescent="0.2">
      <c r="C92" s="2"/>
      <c r="D92" s="1"/>
    </row>
    <row r="93" spans="2:13" ht="15.75" customHeight="1" x14ac:dyDescent="0.2"/>
    <row r="94" spans="2:13" ht="15.75" customHeight="1" x14ac:dyDescent="0.2">
      <c r="B94" s="43" t="s">
        <v>344</v>
      </c>
    </row>
    <row r="95" spans="2:13" ht="15.75" customHeight="1" x14ac:dyDescent="0.25">
      <c r="B95" s="304" t="s">
        <v>265</v>
      </c>
      <c r="C95" s="297"/>
      <c r="D95" s="297"/>
      <c r="E95" s="297"/>
      <c r="F95" s="154"/>
      <c r="I95" s="3"/>
    </row>
    <row r="96" spans="2:13" ht="24.75" customHeight="1" x14ac:dyDescent="0.2">
      <c r="B96" s="4" t="s">
        <v>0</v>
      </c>
      <c r="C96" s="5" t="s">
        <v>1</v>
      </c>
      <c r="D96" s="5" t="s">
        <v>2</v>
      </c>
      <c r="E96" s="5" t="s">
        <v>43</v>
      </c>
      <c r="F96" s="45" t="s">
        <v>125</v>
      </c>
      <c r="H96" s="296" t="s">
        <v>6</v>
      </c>
      <c r="I96" s="297"/>
      <c r="J96" s="297"/>
      <c r="K96" s="297"/>
      <c r="L96" s="297"/>
      <c r="M96" s="298"/>
    </row>
    <row r="97" spans="2:13" ht="15.75" customHeight="1" x14ac:dyDescent="0.2">
      <c r="B97" s="9" t="s">
        <v>7</v>
      </c>
      <c r="C97" s="302" t="s">
        <v>9</v>
      </c>
      <c r="D97" s="11">
        <v>28.1</v>
      </c>
      <c r="E97" s="11">
        <v>22</v>
      </c>
      <c r="F97" s="11">
        <v>26</v>
      </c>
      <c r="H97" s="296" t="s">
        <v>106</v>
      </c>
      <c r="I97" s="297"/>
      <c r="J97" s="298"/>
      <c r="K97" s="296" t="s">
        <v>107</v>
      </c>
      <c r="L97" s="297"/>
      <c r="M97" s="298"/>
    </row>
    <row r="98" spans="2:13" ht="15.75" customHeight="1" x14ac:dyDescent="0.2">
      <c r="B98" s="9" t="s">
        <v>17</v>
      </c>
      <c r="C98" s="300"/>
      <c r="D98" s="11">
        <v>63.911000000000001</v>
      </c>
      <c r="E98" s="11">
        <v>83</v>
      </c>
      <c r="F98" s="11">
        <v>84</v>
      </c>
      <c r="H98" s="13" t="s">
        <v>13</v>
      </c>
      <c r="I98" s="14">
        <f>I100+I100*0.1</f>
        <v>704</v>
      </c>
      <c r="J98" s="17" t="s">
        <v>425</v>
      </c>
      <c r="K98" s="13" t="s">
        <v>13</v>
      </c>
      <c r="L98" s="14">
        <v>672</v>
      </c>
      <c r="M98" s="17" t="s">
        <v>426</v>
      </c>
    </row>
    <row r="99" spans="2:13" ht="15.75" customHeight="1" x14ac:dyDescent="0.2">
      <c r="B99" s="9" t="s">
        <v>26</v>
      </c>
      <c r="C99" s="300"/>
      <c r="D99" s="11">
        <v>69.921999999999997</v>
      </c>
      <c r="E99" s="11">
        <v>82</v>
      </c>
      <c r="F99" s="11">
        <v>84</v>
      </c>
      <c r="H99" s="13" t="s">
        <v>19</v>
      </c>
      <c r="I99" s="18">
        <f>-I100*0.1+I100</f>
        <v>576</v>
      </c>
      <c r="J99" s="17" t="s">
        <v>429</v>
      </c>
      <c r="K99" s="13" t="s">
        <v>19</v>
      </c>
      <c r="L99" s="18">
        <v>608</v>
      </c>
      <c r="M99" s="17" t="s">
        <v>430</v>
      </c>
    </row>
    <row r="100" spans="2:13" ht="15.75" customHeight="1" x14ac:dyDescent="0.2">
      <c r="B100" s="9" t="s">
        <v>32</v>
      </c>
      <c r="C100" s="300"/>
      <c r="D100" s="11">
        <v>96.744</v>
      </c>
      <c r="E100" s="11">
        <v>94</v>
      </c>
      <c r="F100" s="11">
        <v>101</v>
      </c>
      <c r="H100" s="13" t="s">
        <v>27</v>
      </c>
      <c r="I100" s="20">
        <v>640</v>
      </c>
      <c r="J100" s="17" t="s">
        <v>431</v>
      </c>
      <c r="K100" s="13" t="s">
        <v>27</v>
      </c>
      <c r="L100" s="20">
        <v>645</v>
      </c>
      <c r="M100" s="17" t="s">
        <v>432</v>
      </c>
    </row>
    <row r="101" spans="2:13" ht="15.75" customHeight="1" x14ac:dyDescent="0.2">
      <c r="B101" s="9" t="s">
        <v>33</v>
      </c>
      <c r="C101" s="301"/>
      <c r="D101" s="11">
        <v>128.11000000000001</v>
      </c>
      <c r="E101" s="11">
        <v>131</v>
      </c>
      <c r="F101" s="11">
        <v>134</v>
      </c>
      <c r="H101" s="13" t="s">
        <v>121</v>
      </c>
      <c r="I101" s="20">
        <v>638</v>
      </c>
      <c r="J101" s="17" t="s">
        <v>434</v>
      </c>
      <c r="K101" s="13" t="s">
        <v>121</v>
      </c>
      <c r="L101" s="20">
        <v>642</v>
      </c>
      <c r="M101" s="17" t="s">
        <v>435</v>
      </c>
    </row>
    <row r="102" spans="2:13" ht="15.75" customHeight="1" x14ac:dyDescent="0.25">
      <c r="B102" s="296"/>
      <c r="C102" s="297"/>
      <c r="D102" s="297"/>
      <c r="E102" s="297"/>
      <c r="F102" s="11"/>
      <c r="I102" s="3"/>
    </row>
    <row r="103" spans="2:13" ht="15.75" customHeight="1" x14ac:dyDescent="0.25">
      <c r="B103" s="9" t="s">
        <v>35</v>
      </c>
      <c r="C103" s="302" t="s">
        <v>36</v>
      </c>
      <c r="D103" s="11">
        <v>207.78</v>
      </c>
      <c r="E103" s="11">
        <v>190</v>
      </c>
      <c r="F103" s="11">
        <v>292</v>
      </c>
      <c r="I103" s="3"/>
    </row>
    <row r="104" spans="2:13" ht="15.75" customHeight="1" x14ac:dyDescent="0.25">
      <c r="B104" s="9" t="s">
        <v>37</v>
      </c>
      <c r="C104" s="300"/>
      <c r="D104" s="11">
        <v>444.11</v>
      </c>
      <c r="E104" s="11">
        <v>231</v>
      </c>
      <c r="F104" s="11">
        <v>199</v>
      </c>
      <c r="I104" s="3"/>
    </row>
    <row r="105" spans="2:13" ht="15.75" customHeight="1" x14ac:dyDescent="0.25">
      <c r="B105" s="9" t="s">
        <v>38</v>
      </c>
      <c r="C105" s="300"/>
      <c r="D105" s="11">
        <v>579.55999999999995</v>
      </c>
      <c r="E105" s="11">
        <v>475</v>
      </c>
      <c r="F105" s="11">
        <v>244</v>
      </c>
      <c r="I105" s="3"/>
    </row>
    <row r="106" spans="2:13" ht="15.75" customHeight="1" x14ac:dyDescent="0.25">
      <c r="B106" s="9" t="s">
        <v>39</v>
      </c>
      <c r="C106" s="300"/>
      <c r="D106" s="11">
        <v>746.22</v>
      </c>
      <c r="E106" s="11">
        <v>630</v>
      </c>
      <c r="F106" s="11">
        <v>487</v>
      </c>
      <c r="I106" s="3"/>
    </row>
    <row r="107" spans="2:13" ht="15.75" customHeight="1" x14ac:dyDescent="0.25">
      <c r="B107" s="49" t="s">
        <v>41</v>
      </c>
      <c r="C107" s="300"/>
      <c r="D107" s="51">
        <v>869.5</v>
      </c>
      <c r="E107" s="51">
        <v>672</v>
      </c>
      <c r="F107" s="11">
        <v>686</v>
      </c>
      <c r="I107" s="3"/>
    </row>
    <row r="108" spans="2:13" ht="15.75" customHeight="1" x14ac:dyDescent="0.25">
      <c r="B108" s="308"/>
      <c r="C108" s="297"/>
      <c r="D108" s="297"/>
      <c r="E108" s="297"/>
      <c r="F108" s="306"/>
      <c r="I108" s="3"/>
    </row>
    <row r="109" spans="2:13" ht="15.75" customHeight="1" x14ac:dyDescent="0.25">
      <c r="B109" s="9" t="s">
        <v>46</v>
      </c>
      <c r="C109" s="299" t="s">
        <v>47</v>
      </c>
      <c r="D109" s="11">
        <v>88.4</v>
      </c>
      <c r="E109" s="11">
        <v>83</v>
      </c>
      <c r="F109" s="11">
        <v>87</v>
      </c>
      <c r="I109" s="3"/>
    </row>
    <row r="110" spans="2:13" ht="15.75" customHeight="1" x14ac:dyDescent="0.25">
      <c r="B110" s="9" t="s">
        <v>48</v>
      </c>
      <c r="C110" s="300"/>
      <c r="D110" s="11">
        <v>94.6</v>
      </c>
      <c r="E110" s="11">
        <v>84</v>
      </c>
      <c r="F110" s="11">
        <v>87</v>
      </c>
      <c r="I110" s="3"/>
    </row>
    <row r="111" spans="2:13" ht="15.75" customHeight="1" x14ac:dyDescent="0.25">
      <c r="B111" s="296"/>
      <c r="C111" s="297"/>
      <c r="D111" s="297"/>
      <c r="E111" s="297"/>
      <c r="F111" s="11"/>
      <c r="I111" s="3"/>
    </row>
    <row r="112" spans="2:13" ht="15.75" customHeight="1" x14ac:dyDescent="0.25">
      <c r="B112" s="9" t="s">
        <v>50</v>
      </c>
      <c r="C112" s="302" t="s">
        <v>51</v>
      </c>
      <c r="D112" s="11">
        <v>271.44400000000002</v>
      </c>
      <c r="E112" s="11">
        <v>163</v>
      </c>
      <c r="F112" s="11">
        <v>174</v>
      </c>
      <c r="I112" s="3"/>
    </row>
    <row r="113" spans="2:9" ht="15.75" customHeight="1" x14ac:dyDescent="0.25">
      <c r="B113" s="9" t="s">
        <v>54</v>
      </c>
      <c r="C113" s="300"/>
      <c r="D113" s="11">
        <v>550.22199999999998</v>
      </c>
      <c r="E113" s="11">
        <v>175</v>
      </c>
      <c r="F113" s="11">
        <v>192</v>
      </c>
      <c r="I113" s="3"/>
    </row>
    <row r="114" spans="2:9" ht="15.75" customHeight="1" x14ac:dyDescent="0.25">
      <c r="B114" s="9" t="s">
        <v>55</v>
      </c>
      <c r="C114" s="300"/>
      <c r="D114" s="11">
        <v>609</v>
      </c>
      <c r="E114" s="11">
        <v>637</v>
      </c>
      <c r="F114" s="11">
        <v>648</v>
      </c>
      <c r="I114" s="3"/>
    </row>
    <row r="115" spans="2:9" ht="15.75" customHeight="1" x14ac:dyDescent="0.25">
      <c r="B115" s="9" t="s">
        <v>56</v>
      </c>
      <c r="C115" s="300"/>
      <c r="D115" s="11">
        <v>739.11099999999999</v>
      </c>
      <c r="E115" s="11">
        <v>708</v>
      </c>
      <c r="F115" s="11">
        <v>714</v>
      </c>
      <c r="I115" s="3"/>
    </row>
    <row r="116" spans="2:9" ht="15.75" customHeight="1" x14ac:dyDescent="0.25">
      <c r="B116" s="49" t="s">
        <v>57</v>
      </c>
      <c r="C116" s="300"/>
      <c r="D116" s="51">
        <v>746.88900000000001</v>
      </c>
      <c r="E116" s="51">
        <v>312</v>
      </c>
      <c r="F116" s="11">
        <v>592</v>
      </c>
      <c r="I116" s="3"/>
    </row>
    <row r="117" spans="2:9" ht="15.75" customHeight="1" x14ac:dyDescent="0.25">
      <c r="B117" s="308"/>
      <c r="C117" s="297"/>
      <c r="D117" s="297"/>
      <c r="E117" s="297"/>
      <c r="F117" s="306"/>
      <c r="I117" s="3"/>
    </row>
    <row r="118" spans="2:9" ht="15.75" customHeight="1" x14ac:dyDescent="0.25">
      <c r="B118" s="9" t="s">
        <v>60</v>
      </c>
      <c r="C118" s="299" t="s">
        <v>62</v>
      </c>
      <c r="D118" s="11">
        <v>19.36</v>
      </c>
      <c r="E118" s="11">
        <v>17</v>
      </c>
      <c r="F118" s="11">
        <v>17</v>
      </c>
      <c r="I118" s="3"/>
    </row>
    <row r="119" spans="2:9" ht="15.75" customHeight="1" x14ac:dyDescent="0.25">
      <c r="B119" s="9" t="s">
        <v>64</v>
      </c>
      <c r="C119" s="300"/>
      <c r="D119" s="11">
        <v>33.31</v>
      </c>
      <c r="E119" s="11">
        <v>33</v>
      </c>
      <c r="F119" s="11">
        <v>33</v>
      </c>
      <c r="I119" s="3"/>
    </row>
    <row r="120" spans="2:9" ht="15.75" customHeight="1" x14ac:dyDescent="0.25">
      <c r="B120" s="9" t="s">
        <v>65</v>
      </c>
      <c r="C120" s="301"/>
      <c r="D120" s="11">
        <v>41.74</v>
      </c>
      <c r="E120" s="11">
        <v>20</v>
      </c>
      <c r="F120" s="11">
        <v>20</v>
      </c>
      <c r="I120" s="3"/>
    </row>
    <row r="121" spans="2:9" ht="15.75" customHeight="1" x14ac:dyDescent="0.25">
      <c r="B121" s="296"/>
      <c r="C121" s="297"/>
      <c r="D121" s="297"/>
      <c r="E121" s="297"/>
      <c r="F121" s="11"/>
      <c r="I121" s="3"/>
    </row>
    <row r="122" spans="2:9" ht="15.75" customHeight="1" x14ac:dyDescent="0.25">
      <c r="B122" s="9" t="s">
        <v>66</v>
      </c>
      <c r="C122" s="302" t="s">
        <v>68</v>
      </c>
      <c r="D122" s="11">
        <v>204.5</v>
      </c>
      <c r="E122" s="11">
        <v>203</v>
      </c>
      <c r="F122" s="11">
        <v>203</v>
      </c>
      <c r="I122" s="3"/>
    </row>
    <row r="123" spans="2:9" ht="15.75" customHeight="1" x14ac:dyDescent="0.25">
      <c r="B123" s="49" t="s">
        <v>69</v>
      </c>
      <c r="C123" s="300"/>
      <c r="D123" s="51">
        <v>277.7</v>
      </c>
      <c r="E123" s="51">
        <v>261</v>
      </c>
      <c r="F123" s="51">
        <v>261</v>
      </c>
      <c r="I123" s="3"/>
    </row>
    <row r="124" spans="2:9" ht="15.75" customHeight="1" x14ac:dyDescent="0.25">
      <c r="B124" s="305"/>
      <c r="C124" s="297"/>
      <c r="D124" s="297"/>
      <c r="E124" s="297"/>
      <c r="F124" s="306"/>
      <c r="I124" s="3"/>
    </row>
    <row r="125" spans="2:9" ht="15.75" customHeight="1" x14ac:dyDescent="0.25">
      <c r="B125" s="9" t="s">
        <v>69</v>
      </c>
      <c r="C125" s="299" t="s">
        <v>71</v>
      </c>
      <c r="D125" s="11">
        <v>10.283300000000001</v>
      </c>
      <c r="E125" s="11">
        <v>7</v>
      </c>
      <c r="F125" s="11">
        <v>7</v>
      </c>
      <c r="I125" s="3"/>
    </row>
    <row r="126" spans="2:9" ht="15.75" customHeight="1" x14ac:dyDescent="0.25">
      <c r="B126" s="9" t="s">
        <v>72</v>
      </c>
      <c r="C126" s="300"/>
      <c r="D126" s="11">
        <v>11.8833</v>
      </c>
      <c r="E126" s="11">
        <v>8</v>
      </c>
      <c r="F126" s="11">
        <v>8</v>
      </c>
      <c r="I126" s="3"/>
    </row>
    <row r="127" spans="2:9" ht="15.75" customHeight="1" x14ac:dyDescent="0.25">
      <c r="B127" s="9" t="s">
        <v>73</v>
      </c>
      <c r="C127" s="301"/>
      <c r="D127" s="11">
        <v>17.433299999999999</v>
      </c>
      <c r="E127" s="11">
        <v>16</v>
      </c>
      <c r="F127" s="11">
        <v>16</v>
      </c>
      <c r="I127" s="3"/>
    </row>
    <row r="128" spans="2:9" ht="15.75" customHeight="1" x14ac:dyDescent="0.25">
      <c r="B128" s="296"/>
      <c r="C128" s="297"/>
      <c r="D128" s="297"/>
      <c r="E128" s="297"/>
      <c r="F128" s="11"/>
      <c r="I128" s="3"/>
    </row>
    <row r="129" spans="2:9" ht="15.75" customHeight="1" x14ac:dyDescent="0.25">
      <c r="B129" s="9" t="s">
        <v>76</v>
      </c>
      <c r="C129" s="302" t="s">
        <v>77</v>
      </c>
      <c r="D129" s="11">
        <v>117.467</v>
      </c>
      <c r="E129" s="11">
        <v>188</v>
      </c>
      <c r="F129" s="11">
        <v>188</v>
      </c>
      <c r="I129" s="3"/>
    </row>
    <row r="130" spans="2:9" ht="15.75" customHeight="1" x14ac:dyDescent="0.25">
      <c r="B130" s="9" t="s">
        <v>78</v>
      </c>
      <c r="C130" s="300"/>
      <c r="D130" s="11">
        <v>187.833</v>
      </c>
      <c r="E130" s="11">
        <v>127</v>
      </c>
      <c r="F130" s="11">
        <v>127</v>
      </c>
      <c r="I130" s="3"/>
    </row>
    <row r="131" spans="2:9" ht="15.75" customHeight="1" x14ac:dyDescent="0.25">
      <c r="B131" s="9" t="s">
        <v>79</v>
      </c>
      <c r="C131" s="300"/>
      <c r="D131" s="11">
        <v>218.333</v>
      </c>
      <c r="E131" s="11">
        <v>246</v>
      </c>
      <c r="F131" s="11">
        <v>246</v>
      </c>
      <c r="I131" s="3"/>
    </row>
    <row r="132" spans="2:9" ht="15.75" customHeight="1" x14ac:dyDescent="0.25">
      <c r="B132" s="49" t="s">
        <v>80</v>
      </c>
      <c r="C132" s="300"/>
      <c r="D132" s="51">
        <v>238.5</v>
      </c>
      <c r="E132" s="51">
        <v>99</v>
      </c>
      <c r="F132" s="51">
        <v>99</v>
      </c>
      <c r="I132" s="3"/>
    </row>
    <row r="133" spans="2:9" ht="15.75" customHeight="1" x14ac:dyDescent="0.25">
      <c r="B133" s="305"/>
      <c r="C133" s="297"/>
      <c r="D133" s="297"/>
      <c r="E133" s="297"/>
      <c r="F133" s="306"/>
      <c r="I133" s="3"/>
    </row>
    <row r="134" spans="2:9" ht="15.75" customHeight="1" x14ac:dyDescent="0.25">
      <c r="B134" s="9" t="s">
        <v>81</v>
      </c>
      <c r="C134" s="299" t="s">
        <v>82</v>
      </c>
      <c r="D134" s="11">
        <v>2</v>
      </c>
      <c r="E134" s="11">
        <v>5</v>
      </c>
      <c r="F134" s="11">
        <v>5</v>
      </c>
      <c r="I134" s="3"/>
    </row>
    <row r="135" spans="2:9" ht="15.75" customHeight="1" x14ac:dyDescent="0.25">
      <c r="B135" s="9" t="s">
        <v>83</v>
      </c>
      <c r="C135" s="300"/>
      <c r="D135" s="11">
        <v>7.133</v>
      </c>
      <c r="E135" s="11">
        <v>11</v>
      </c>
      <c r="F135" s="11">
        <v>11</v>
      </c>
      <c r="I135" s="3"/>
    </row>
    <row r="136" spans="2:9" ht="15.75" customHeight="1" x14ac:dyDescent="0.25">
      <c r="B136" s="9" t="s">
        <v>84</v>
      </c>
      <c r="C136" s="301"/>
      <c r="D136" s="11">
        <v>10.72</v>
      </c>
      <c r="E136" s="11">
        <v>8</v>
      </c>
      <c r="F136" s="11">
        <v>8</v>
      </c>
      <c r="I136" s="3"/>
    </row>
    <row r="137" spans="2:9" ht="15.75" customHeight="1" x14ac:dyDescent="0.25">
      <c r="B137" s="296"/>
      <c r="C137" s="297"/>
      <c r="D137" s="297"/>
      <c r="E137" s="297"/>
      <c r="F137" s="11"/>
      <c r="I137" s="3"/>
    </row>
    <row r="138" spans="2:9" ht="15.75" customHeight="1" x14ac:dyDescent="0.25">
      <c r="B138" s="9" t="s">
        <v>86</v>
      </c>
      <c r="C138" s="302" t="s">
        <v>87</v>
      </c>
      <c r="D138" s="11">
        <v>20.466999999999999</v>
      </c>
      <c r="E138" s="11">
        <v>21</v>
      </c>
      <c r="F138" s="11">
        <v>21</v>
      </c>
      <c r="I138" s="3"/>
    </row>
    <row r="139" spans="2:9" ht="15.75" customHeight="1" x14ac:dyDescent="0.25">
      <c r="B139" s="49" t="s">
        <v>88</v>
      </c>
      <c r="C139" s="300"/>
      <c r="D139" s="51">
        <v>20.367000000000001</v>
      </c>
      <c r="E139" s="51">
        <v>21</v>
      </c>
      <c r="F139" s="51">
        <v>21</v>
      </c>
      <c r="I139" s="3"/>
    </row>
    <row r="140" spans="2:9" ht="15.75" customHeight="1" x14ac:dyDescent="0.25">
      <c r="B140" s="305"/>
      <c r="C140" s="297"/>
      <c r="D140" s="297"/>
      <c r="E140" s="297"/>
      <c r="F140" s="306"/>
      <c r="I140" s="3"/>
    </row>
    <row r="141" spans="2:9" ht="15.75" customHeight="1" x14ac:dyDescent="0.25">
      <c r="B141" s="9" t="s">
        <v>89</v>
      </c>
      <c r="C141" s="299" t="s">
        <v>90</v>
      </c>
      <c r="D141" s="11">
        <v>5.15</v>
      </c>
      <c r="E141" s="11">
        <v>17</v>
      </c>
      <c r="F141" s="11">
        <v>17</v>
      </c>
      <c r="I141" s="3"/>
    </row>
    <row r="142" spans="2:9" ht="15.75" customHeight="1" x14ac:dyDescent="0.25">
      <c r="B142" s="9" t="s">
        <v>91</v>
      </c>
      <c r="C142" s="300"/>
      <c r="D142" s="11">
        <v>16.2</v>
      </c>
      <c r="E142" s="11">
        <v>17</v>
      </c>
      <c r="F142" s="11">
        <v>18</v>
      </c>
      <c r="I142" s="3"/>
    </row>
    <row r="143" spans="2:9" ht="15.75" customHeight="1" x14ac:dyDescent="0.25">
      <c r="B143" s="49" t="s">
        <v>92</v>
      </c>
      <c r="C143" s="300"/>
      <c r="D143" s="51">
        <v>17.260000000000002</v>
      </c>
      <c r="E143" s="51">
        <v>17.260000000000002</v>
      </c>
      <c r="F143" s="51">
        <v>17.260000000000002</v>
      </c>
      <c r="I143" s="3"/>
    </row>
    <row r="144" spans="2:9" ht="15.75" customHeight="1" x14ac:dyDescent="0.25">
      <c r="B144" s="296"/>
      <c r="C144" s="297"/>
      <c r="D144" s="297"/>
      <c r="E144" s="297"/>
      <c r="F144" s="297"/>
      <c r="I144" s="3"/>
    </row>
    <row r="145" spans="1:26" ht="15.75" customHeight="1" x14ac:dyDescent="0.25">
      <c r="B145" s="9" t="s">
        <v>94</v>
      </c>
      <c r="C145" s="299" t="s">
        <v>95</v>
      </c>
      <c r="D145" s="11">
        <v>50.082999999999998</v>
      </c>
      <c r="E145" s="11">
        <v>51</v>
      </c>
      <c r="F145" s="11">
        <v>52</v>
      </c>
      <c r="I145" s="3"/>
    </row>
    <row r="146" spans="1:26" ht="15.75" customHeight="1" x14ac:dyDescent="0.25">
      <c r="B146" s="9" t="s">
        <v>96</v>
      </c>
      <c r="C146" s="300"/>
      <c r="D146" s="11">
        <v>93.992999999999995</v>
      </c>
      <c r="E146" s="11">
        <v>112</v>
      </c>
      <c r="F146" s="11">
        <v>113</v>
      </c>
      <c r="I146" s="3"/>
    </row>
    <row r="147" spans="1:26" ht="15.75" customHeight="1" x14ac:dyDescent="0.25">
      <c r="B147" s="9" t="s">
        <v>97</v>
      </c>
      <c r="C147" s="300"/>
      <c r="D147" s="11">
        <v>95.516999999999996</v>
      </c>
      <c r="E147" s="11">
        <v>52</v>
      </c>
      <c r="F147" s="11">
        <v>54</v>
      </c>
      <c r="I147" s="3"/>
    </row>
    <row r="148" spans="1:26" ht="15.75" customHeight="1" x14ac:dyDescent="0.25">
      <c r="B148" s="9" t="s">
        <v>98</v>
      </c>
      <c r="C148" s="300"/>
      <c r="D148" s="11">
        <v>100.92</v>
      </c>
      <c r="E148" s="11">
        <v>112</v>
      </c>
      <c r="F148" s="11">
        <v>114</v>
      </c>
      <c r="I148" s="3"/>
    </row>
    <row r="149" spans="1:26" ht="15.75" customHeight="1" x14ac:dyDescent="0.25">
      <c r="B149" s="9" t="s">
        <v>99</v>
      </c>
      <c r="C149" s="301"/>
      <c r="D149" s="11">
        <v>115.37</v>
      </c>
      <c r="E149" s="11">
        <v>111</v>
      </c>
      <c r="F149" s="11">
        <v>113</v>
      </c>
      <c r="H149" s="21">
        <v>630</v>
      </c>
      <c r="I149" s="3"/>
    </row>
    <row r="150" spans="1:26" ht="15.75" customHeight="1" x14ac:dyDescent="0.2"/>
    <row r="151" spans="1:26" ht="15.75" customHeight="1" x14ac:dyDescent="0.2"/>
    <row r="152" spans="1:26" ht="15.75" customHeight="1" x14ac:dyDescent="0.2"/>
    <row r="153" spans="1:26" ht="15.75" customHeight="1" x14ac:dyDescent="0.25">
      <c r="A153" s="345"/>
      <c r="B153" s="297"/>
      <c r="C153" s="297"/>
      <c r="D153" s="297"/>
      <c r="E153" s="297"/>
      <c r="F153" s="297"/>
      <c r="G153" s="297"/>
      <c r="H153" s="297"/>
      <c r="I153" s="297"/>
      <c r="J153" s="297"/>
      <c r="K153" s="297"/>
      <c r="L153" s="297"/>
      <c r="M153" s="297"/>
      <c r="N153" s="297"/>
      <c r="O153" s="297"/>
      <c r="P153" s="297"/>
      <c r="Q153" s="297"/>
      <c r="R153" s="297"/>
      <c r="S153" s="297"/>
      <c r="T153" s="297"/>
      <c r="U153" s="297"/>
      <c r="V153" s="297"/>
      <c r="W153" s="297"/>
      <c r="X153" s="297"/>
      <c r="Y153" s="297"/>
      <c r="Z153" s="298"/>
    </row>
    <row r="154" spans="1:26" ht="15.75" customHeight="1" x14ac:dyDescent="0.2">
      <c r="Z154" s="346"/>
    </row>
    <row r="155" spans="1:26" ht="15.75" customHeight="1" x14ac:dyDescent="0.2">
      <c r="Z155" s="300"/>
    </row>
    <row r="156" spans="1:26" ht="15.75" customHeight="1" x14ac:dyDescent="0.3">
      <c r="B156" s="161" t="s">
        <v>353</v>
      </c>
      <c r="C156" s="163" t="s">
        <v>454</v>
      </c>
      <c r="Z156" s="300"/>
    </row>
    <row r="157" spans="1:26" ht="15.75" customHeight="1" x14ac:dyDescent="0.3">
      <c r="B157" s="164" t="s">
        <v>360</v>
      </c>
      <c r="C157" s="165">
        <v>43129</v>
      </c>
      <c r="Z157" s="300"/>
    </row>
    <row r="158" spans="1:26" ht="15.75" customHeight="1" x14ac:dyDescent="0.3">
      <c r="M158" s="320" t="s">
        <v>153</v>
      </c>
      <c r="N158" s="297"/>
      <c r="O158" s="297"/>
      <c r="P158" s="297"/>
      <c r="Q158" s="297"/>
      <c r="R158" s="298"/>
      <c r="T158" s="321" t="s">
        <v>154</v>
      </c>
      <c r="U158" s="322"/>
      <c r="V158" s="322"/>
      <c r="W158" s="322"/>
      <c r="X158" s="323"/>
      <c r="Z158" s="300"/>
    </row>
    <row r="159" spans="1:26" ht="15.75" customHeight="1" x14ac:dyDescent="0.2">
      <c r="B159" s="156" t="s">
        <v>0</v>
      </c>
      <c r="C159" s="157" t="s">
        <v>1</v>
      </c>
      <c r="D159" s="157" t="s">
        <v>42</v>
      </c>
      <c r="E159" s="157" t="s">
        <v>43</v>
      </c>
      <c r="F159" s="157" t="s">
        <v>44</v>
      </c>
      <c r="H159" s="296" t="s">
        <v>45</v>
      </c>
      <c r="I159" s="297"/>
      <c r="J159" s="297"/>
      <c r="K159" s="298"/>
      <c r="M159" s="311" t="s">
        <v>157</v>
      </c>
      <c r="N159" s="312"/>
      <c r="O159" s="312"/>
      <c r="P159" s="312"/>
      <c r="Q159" s="312"/>
      <c r="R159" s="313"/>
      <c r="T159" s="325" t="s">
        <v>157</v>
      </c>
      <c r="U159" s="297"/>
      <c r="V159" s="297"/>
      <c r="W159" s="297"/>
      <c r="X159" s="298"/>
      <c r="Z159" s="300"/>
    </row>
    <row r="160" spans="1:26" ht="15.75" customHeight="1" x14ac:dyDescent="0.2">
      <c r="B160" s="310" t="s">
        <v>8</v>
      </c>
      <c r="C160" s="297"/>
      <c r="D160" s="297"/>
      <c r="E160" s="297"/>
      <c r="F160" s="298"/>
      <c r="H160" s="305" t="s">
        <v>10</v>
      </c>
      <c r="I160" s="297"/>
      <c r="J160" s="297"/>
      <c r="K160" s="298"/>
      <c r="M160" s="317"/>
      <c r="N160" s="318"/>
      <c r="O160" s="318"/>
      <c r="P160" s="318"/>
      <c r="Q160" s="318"/>
      <c r="R160" s="319"/>
      <c r="T160" s="58" t="s">
        <v>160</v>
      </c>
      <c r="U160" s="59" t="s">
        <v>161</v>
      </c>
      <c r="V160" s="59" t="s">
        <v>162</v>
      </c>
      <c r="W160" s="61" t="s">
        <v>163</v>
      </c>
      <c r="X160" s="62" t="s">
        <v>165</v>
      </c>
      <c r="Z160" s="300"/>
    </row>
    <row r="161" spans="2:26" ht="15.75" customHeight="1" x14ac:dyDescent="0.25">
      <c r="B161" s="9" t="s">
        <v>11</v>
      </c>
      <c r="C161" s="9" t="s">
        <v>12</v>
      </c>
      <c r="D161" s="22">
        <v>860</v>
      </c>
      <c r="E161" s="22">
        <v>860</v>
      </c>
      <c r="F161" s="11"/>
      <c r="H161" s="12"/>
      <c r="I161" s="12" t="s">
        <v>52</v>
      </c>
      <c r="J161" s="12" t="s">
        <v>53</v>
      </c>
      <c r="K161" s="12"/>
      <c r="M161" s="63" t="s">
        <v>168</v>
      </c>
      <c r="N161" s="64" t="s">
        <v>169</v>
      </c>
      <c r="O161" s="64" t="s">
        <v>171</v>
      </c>
      <c r="P161" s="64" t="s">
        <v>172</v>
      </c>
      <c r="Q161" s="65" t="s">
        <v>173</v>
      </c>
      <c r="R161" s="66" t="s">
        <v>175</v>
      </c>
      <c r="T161" s="63" t="s">
        <v>176</v>
      </c>
      <c r="U161" s="67">
        <v>0.44600000000000001</v>
      </c>
      <c r="V161" s="68">
        <v>2.714</v>
      </c>
      <c r="W161" s="70">
        <f t="shared" ref="W161:W165" si="4">+V161/U161</f>
        <v>6.0852017937219731</v>
      </c>
      <c r="X161" s="72"/>
      <c r="Z161" s="300"/>
    </row>
    <row r="162" spans="2:26" ht="15.75" customHeight="1" x14ac:dyDescent="0.25">
      <c r="B162" s="9" t="s">
        <v>11</v>
      </c>
      <c r="C162" s="12" t="s">
        <v>18</v>
      </c>
      <c r="D162" s="22">
        <v>0</v>
      </c>
      <c r="E162" s="22">
        <v>0</v>
      </c>
      <c r="F162" s="11"/>
      <c r="H162" s="12" t="s">
        <v>12</v>
      </c>
      <c r="I162" s="177">
        <v>860</v>
      </c>
      <c r="J162" s="178"/>
      <c r="K162" s="17" t="s">
        <v>470</v>
      </c>
      <c r="M162" s="73">
        <v>440</v>
      </c>
      <c r="N162" s="74">
        <v>20</v>
      </c>
      <c r="O162" s="74">
        <f>+V161</f>
        <v>2.714</v>
      </c>
      <c r="P162" s="76">
        <f>+V164</f>
        <v>0</v>
      </c>
      <c r="Q162" s="77">
        <f>+V162</f>
        <v>2.1749999999999998</v>
      </c>
      <c r="R162" s="78">
        <f>(M162-N162)*(O162-P162)/(Q162-P162)+N162</f>
        <v>544.08275862068967</v>
      </c>
      <c r="T162" s="80" t="s">
        <v>188</v>
      </c>
      <c r="U162" s="74">
        <v>0.66700000000000004</v>
      </c>
      <c r="V162" s="82">
        <v>2.1749999999999998</v>
      </c>
      <c r="W162" s="84">
        <f t="shared" si="4"/>
        <v>3.2608695652173907</v>
      </c>
      <c r="X162" s="86">
        <f>(V162-V164)/(V161-V164)</f>
        <v>0.80140014738393506</v>
      </c>
      <c r="Z162" s="300"/>
    </row>
    <row r="163" spans="2:26" ht="26.25" customHeight="1" x14ac:dyDescent="0.25">
      <c r="B163" s="9" t="s">
        <v>21</v>
      </c>
      <c r="C163" s="12" t="s">
        <v>59</v>
      </c>
      <c r="D163" s="22">
        <v>440</v>
      </c>
      <c r="E163" s="22">
        <v>428</v>
      </c>
      <c r="F163" s="11"/>
      <c r="H163" s="12" t="s">
        <v>18</v>
      </c>
      <c r="I163" s="177">
        <v>0</v>
      </c>
      <c r="J163" s="178"/>
      <c r="K163" s="17" t="s">
        <v>473</v>
      </c>
      <c r="M163" s="73" t="s">
        <v>168</v>
      </c>
      <c r="N163" s="74" t="s">
        <v>171</v>
      </c>
      <c r="O163" s="74" t="s">
        <v>190</v>
      </c>
      <c r="P163" s="74" t="s">
        <v>191</v>
      </c>
      <c r="Q163" s="77" t="s">
        <v>173</v>
      </c>
      <c r="R163" s="87" t="s">
        <v>192</v>
      </c>
      <c r="T163" s="80" t="s">
        <v>193</v>
      </c>
      <c r="U163" s="74">
        <v>0.46500000000000002</v>
      </c>
      <c r="V163" s="82">
        <v>0.67500000000000004</v>
      </c>
      <c r="W163" s="84">
        <f t="shared" si="4"/>
        <v>1.4516129032258065</v>
      </c>
      <c r="X163" s="86">
        <f>(V163-V164)/(V161-V164)</f>
        <v>0.24871039056742816</v>
      </c>
      <c r="Z163" s="300"/>
    </row>
    <row r="164" spans="2:26" ht="26.25" customHeight="1" x14ac:dyDescent="0.25">
      <c r="B164" s="49" t="s">
        <v>21</v>
      </c>
      <c r="C164" s="10" t="s">
        <v>63</v>
      </c>
      <c r="D164" s="169">
        <v>160</v>
      </c>
      <c r="E164" s="169">
        <v>156</v>
      </c>
      <c r="F164" s="51"/>
      <c r="H164" s="305" t="s">
        <v>23</v>
      </c>
      <c r="I164" s="297"/>
      <c r="J164" s="297"/>
      <c r="K164" s="298"/>
      <c r="M164" s="73">
        <v>160</v>
      </c>
      <c r="N164" s="74">
        <f>+V161</f>
        <v>2.714</v>
      </c>
      <c r="O164" s="76">
        <f>+V164</f>
        <v>0</v>
      </c>
      <c r="P164" s="89">
        <f>+R162</f>
        <v>544.08275862068967</v>
      </c>
      <c r="Q164" s="77">
        <f>+V163</f>
        <v>0.67500000000000004</v>
      </c>
      <c r="R164" s="90">
        <f>(M164*(N164-O164)-P164*(Q164-O164))/(N164-Q164)</f>
        <v>32.851465390404357</v>
      </c>
      <c r="T164" s="80" t="s">
        <v>194</v>
      </c>
      <c r="U164" s="74">
        <v>0.222</v>
      </c>
      <c r="V164" s="91">
        <v>0</v>
      </c>
      <c r="W164" s="84">
        <f t="shared" si="4"/>
        <v>0</v>
      </c>
      <c r="X164" s="86"/>
      <c r="Z164" s="300"/>
    </row>
    <row r="165" spans="2:26" ht="15.75" customHeight="1" x14ac:dyDescent="0.25">
      <c r="B165" s="310" t="s">
        <v>29</v>
      </c>
      <c r="C165" s="297"/>
      <c r="D165" s="297"/>
      <c r="E165" s="297"/>
      <c r="F165" s="298"/>
      <c r="H165" s="12" t="s">
        <v>12</v>
      </c>
      <c r="I165" s="177">
        <v>830</v>
      </c>
      <c r="J165" s="22"/>
      <c r="K165" s="17" t="s">
        <v>474</v>
      </c>
      <c r="M165" s="80" t="s">
        <v>196</v>
      </c>
      <c r="N165" s="93"/>
      <c r="O165" s="93"/>
      <c r="P165" s="93"/>
      <c r="Q165" s="94"/>
      <c r="R165" s="95"/>
      <c r="T165" s="96" t="s">
        <v>197</v>
      </c>
      <c r="U165" s="97">
        <v>0.40699999999999997</v>
      </c>
      <c r="V165" s="99">
        <v>0.26200000000000001</v>
      </c>
      <c r="W165" s="100">
        <f t="shared" si="4"/>
        <v>0.64373464373464384</v>
      </c>
      <c r="X165" s="101">
        <f>+(V165-V164)/(V161-V164)</f>
        <v>9.6536477523949893E-2</v>
      </c>
      <c r="Z165" s="300"/>
    </row>
    <row r="166" spans="2:26" ht="15.75" customHeight="1" x14ac:dyDescent="0.2">
      <c r="B166" s="9" t="s">
        <v>11</v>
      </c>
      <c r="C166" s="9" t="s">
        <v>12</v>
      </c>
      <c r="D166" s="22">
        <v>830</v>
      </c>
      <c r="E166" s="22">
        <v>830</v>
      </c>
      <c r="F166" s="22"/>
      <c r="H166" s="12" t="s">
        <v>18</v>
      </c>
      <c r="I166" s="177">
        <v>0</v>
      </c>
      <c r="J166" s="22"/>
      <c r="K166" s="17" t="s">
        <v>476</v>
      </c>
      <c r="M166" s="80" t="s">
        <v>199</v>
      </c>
      <c r="N166" s="93" t="s">
        <v>169</v>
      </c>
      <c r="O166" s="93" t="s">
        <v>200</v>
      </c>
      <c r="P166" s="93" t="s">
        <v>201</v>
      </c>
      <c r="Q166" s="94" t="s">
        <v>191</v>
      </c>
      <c r="R166" s="87" t="s">
        <v>202</v>
      </c>
      <c r="T166" s="311" t="s">
        <v>203</v>
      </c>
      <c r="U166" s="312"/>
      <c r="V166" s="312"/>
      <c r="W166" s="312"/>
      <c r="X166" s="313"/>
      <c r="Z166" s="300"/>
    </row>
    <row r="167" spans="2:26" ht="15.75" customHeight="1" x14ac:dyDescent="0.2">
      <c r="B167" s="9" t="s">
        <v>11</v>
      </c>
      <c r="C167" s="12" t="s">
        <v>18</v>
      </c>
      <c r="D167" s="22">
        <v>0</v>
      </c>
      <c r="E167" s="22">
        <v>0</v>
      </c>
      <c r="F167" s="22"/>
      <c r="M167" s="102">
        <f>+V165</f>
        <v>0.26200000000000001</v>
      </c>
      <c r="N167" s="103">
        <f>+R164</f>
        <v>32.851465390404357</v>
      </c>
      <c r="O167" s="97">
        <f>+V161</f>
        <v>2.714</v>
      </c>
      <c r="P167" s="104">
        <f>+V164</f>
        <v>0</v>
      </c>
      <c r="Q167" s="105">
        <f>+R162</f>
        <v>544.08275862068967</v>
      </c>
      <c r="R167" s="106">
        <f>N167+(Q167-N167)*(M167-P167)/(O167-P167)</f>
        <v>82.203933638869628</v>
      </c>
      <c r="T167" s="314"/>
      <c r="U167" s="315"/>
      <c r="V167" s="315"/>
      <c r="W167" s="315"/>
      <c r="X167" s="316"/>
      <c r="Z167" s="300"/>
    </row>
    <row r="168" spans="2:26" ht="26.25" customHeight="1" x14ac:dyDescent="0.2">
      <c r="B168" s="9" t="s">
        <v>21</v>
      </c>
      <c r="C168" s="12" t="s">
        <v>59</v>
      </c>
      <c r="D168" s="22">
        <v>420</v>
      </c>
      <c r="E168" s="22">
        <v>415</v>
      </c>
      <c r="F168" s="22"/>
      <c r="M168" s="311" t="s">
        <v>204</v>
      </c>
      <c r="N168" s="312"/>
      <c r="O168" s="312"/>
      <c r="P168" s="312"/>
      <c r="Q168" s="312"/>
      <c r="R168" s="313"/>
      <c r="T168" s="317"/>
      <c r="U168" s="318"/>
      <c r="V168" s="318"/>
      <c r="W168" s="318"/>
      <c r="X168" s="319"/>
      <c r="Z168" s="300"/>
    </row>
    <row r="169" spans="2:26" ht="15.75" customHeight="1" x14ac:dyDescent="0.2">
      <c r="B169" s="9" t="s">
        <v>21</v>
      </c>
      <c r="C169" s="12" t="s">
        <v>63</v>
      </c>
      <c r="D169" s="22">
        <v>150</v>
      </c>
      <c r="E169" s="22">
        <v>149</v>
      </c>
      <c r="F169" s="22"/>
      <c r="M169" s="317"/>
      <c r="N169" s="318"/>
      <c r="O169" s="318"/>
      <c r="P169" s="318"/>
      <c r="Q169" s="318"/>
      <c r="R169" s="319"/>
      <c r="T169" s="58" t="s">
        <v>160</v>
      </c>
      <c r="U169" s="59" t="s">
        <v>161</v>
      </c>
      <c r="V169" s="59" t="s">
        <v>162</v>
      </c>
      <c r="W169" s="61" t="s">
        <v>163</v>
      </c>
      <c r="X169" s="62" t="s">
        <v>165</v>
      </c>
      <c r="Z169" s="300"/>
    </row>
    <row r="170" spans="2:26" ht="15.75" customHeight="1" x14ac:dyDescent="0.25">
      <c r="M170" s="63" t="s">
        <v>168</v>
      </c>
      <c r="N170" s="64" t="s">
        <v>169</v>
      </c>
      <c r="O170" s="64" t="s">
        <v>171</v>
      </c>
      <c r="P170" s="64" t="s">
        <v>172</v>
      </c>
      <c r="Q170" s="65" t="s">
        <v>173</v>
      </c>
      <c r="R170" s="66" t="s">
        <v>175</v>
      </c>
      <c r="T170" s="63" t="s">
        <v>176</v>
      </c>
      <c r="U170" s="67">
        <v>0.28599999999999998</v>
      </c>
      <c r="V170" s="68">
        <v>0.70299999999999996</v>
      </c>
      <c r="W170" s="70">
        <f t="shared" ref="W170:W174" si="5">+V170/U170</f>
        <v>2.4580419580419579</v>
      </c>
      <c r="X170" s="107"/>
      <c r="Z170" s="300"/>
    </row>
    <row r="171" spans="2:26" ht="15.75" customHeight="1" x14ac:dyDescent="0.25">
      <c r="M171" s="73">
        <v>420</v>
      </c>
      <c r="N171" s="74">
        <v>20</v>
      </c>
      <c r="O171" s="74">
        <f>+V170</f>
        <v>0.70299999999999996</v>
      </c>
      <c r="P171" s="76">
        <f>+V173</f>
        <v>8.1000000000000003E-2</v>
      </c>
      <c r="Q171" s="77">
        <f>+V171</f>
        <v>1.2729999999999999</v>
      </c>
      <c r="R171" s="108">
        <f>(M171-N171)*(O171-P171)/(Q171-P171)+N171</f>
        <v>228.72483221476512</v>
      </c>
      <c r="T171" s="80" t="s">
        <v>188</v>
      </c>
      <c r="U171" s="74">
        <v>0.54900000000000004</v>
      </c>
      <c r="V171" s="82">
        <v>1.2729999999999999</v>
      </c>
      <c r="W171" s="84">
        <f t="shared" si="5"/>
        <v>2.3187613843351547</v>
      </c>
      <c r="X171" s="86">
        <f>(V171-V173)/(V170-V173)</f>
        <v>1.9163987138263665</v>
      </c>
      <c r="Z171" s="300"/>
    </row>
    <row r="172" spans="2:26" ht="15.75" customHeight="1" x14ac:dyDescent="0.25">
      <c r="M172" s="73" t="s">
        <v>168</v>
      </c>
      <c r="N172" s="74" t="s">
        <v>171</v>
      </c>
      <c r="O172" s="74" t="s">
        <v>190</v>
      </c>
      <c r="P172" s="74" t="s">
        <v>191</v>
      </c>
      <c r="Q172" s="77" t="s">
        <v>173</v>
      </c>
      <c r="R172" s="87" t="s">
        <v>192</v>
      </c>
      <c r="T172" s="80" t="s">
        <v>193</v>
      </c>
      <c r="U172" s="74">
        <v>0.443</v>
      </c>
      <c r="V172" s="91">
        <v>0.54500000000000004</v>
      </c>
      <c r="W172" s="84">
        <f t="shared" si="5"/>
        <v>1.2302483069977428</v>
      </c>
      <c r="X172" s="86">
        <f>(V172-V173)/(V170-V173)</f>
        <v>0.74598070739549849</v>
      </c>
      <c r="Z172" s="300"/>
    </row>
    <row r="173" spans="2:26" ht="15.75" customHeight="1" x14ac:dyDescent="0.25">
      <c r="M173" s="73">
        <v>140</v>
      </c>
      <c r="N173" s="74">
        <f>+V170</f>
        <v>0.70299999999999996</v>
      </c>
      <c r="O173" s="76">
        <f>+V173</f>
        <v>8.1000000000000003E-2</v>
      </c>
      <c r="P173" s="74">
        <f>+R171</f>
        <v>228.72483221476512</v>
      </c>
      <c r="Q173" s="109">
        <f>+V172</f>
        <v>0.54500000000000004</v>
      </c>
      <c r="R173" s="78">
        <f>(M173*(N173-O173)-P173*(Q173-O173))/(N173-Q173)</f>
        <v>-120.55900093450019</v>
      </c>
      <c r="T173" s="80" t="s">
        <v>194</v>
      </c>
      <c r="U173" s="74">
        <v>0.28599999999999998</v>
      </c>
      <c r="V173" s="91">
        <v>8.1000000000000003E-2</v>
      </c>
      <c r="W173" s="84">
        <f t="shared" si="5"/>
        <v>0.28321678321678323</v>
      </c>
      <c r="X173" s="86"/>
      <c r="Z173" s="300"/>
    </row>
    <row r="174" spans="2:26" ht="15.75" customHeight="1" x14ac:dyDescent="0.25">
      <c r="M174" s="80" t="s">
        <v>196</v>
      </c>
      <c r="N174" s="93"/>
      <c r="O174" s="93"/>
      <c r="P174" s="93"/>
      <c r="Q174" s="94"/>
      <c r="R174" s="95"/>
      <c r="T174" s="111" t="s">
        <v>197</v>
      </c>
      <c r="U174" s="112">
        <v>0.40600000000000003</v>
      </c>
      <c r="V174" s="113">
        <v>0.23699999999999999</v>
      </c>
      <c r="W174" s="114">
        <f t="shared" si="5"/>
        <v>0.58374384236453192</v>
      </c>
      <c r="X174" s="115">
        <f>+(V174-V173)/(V170-V173)</f>
        <v>0.25080385852090026</v>
      </c>
      <c r="Z174" s="300"/>
    </row>
    <row r="175" spans="2:26" ht="15.75" customHeight="1" x14ac:dyDescent="0.2">
      <c r="M175" s="80" t="s">
        <v>199</v>
      </c>
      <c r="N175" s="93" t="s">
        <v>169</v>
      </c>
      <c r="O175" s="93" t="s">
        <v>200</v>
      </c>
      <c r="P175" s="93" t="s">
        <v>201</v>
      </c>
      <c r="Q175" s="94" t="s">
        <v>191</v>
      </c>
      <c r="R175" s="87" t="s">
        <v>202</v>
      </c>
      <c r="Z175" s="300"/>
    </row>
    <row r="176" spans="2:26" ht="15.75" customHeight="1" x14ac:dyDescent="0.2">
      <c r="M176" s="116">
        <f>+V174</f>
        <v>0.23699999999999999</v>
      </c>
      <c r="N176" s="117">
        <f>+R173</f>
        <v>-120.55900093450019</v>
      </c>
      <c r="O176" s="112">
        <f>+V170</f>
        <v>0.70299999999999996</v>
      </c>
      <c r="P176" s="118">
        <f>+V173</f>
        <v>8.1000000000000003E-2</v>
      </c>
      <c r="Q176" s="119">
        <f>+R171</f>
        <v>228.72483221476512</v>
      </c>
      <c r="R176" s="78">
        <f>N176+(Q176-N176)*(M176-P176)/(O176-P176)</f>
        <v>-32.95726786169412</v>
      </c>
      <c r="U176" s="121"/>
      <c r="Z176" s="300"/>
    </row>
    <row r="177" spans="1:26" ht="15.75" customHeight="1" x14ac:dyDescent="0.2">
      <c r="Z177" s="301"/>
    </row>
    <row r="178" spans="1:26" ht="15.75" customHeight="1" x14ac:dyDescent="0.25">
      <c r="A178" s="345"/>
      <c r="B178" s="297"/>
      <c r="C178" s="297"/>
      <c r="D178" s="297"/>
      <c r="E178" s="297"/>
      <c r="F178" s="297"/>
      <c r="G178" s="297"/>
      <c r="H178" s="297"/>
      <c r="I178" s="297"/>
      <c r="J178" s="297"/>
      <c r="K178" s="297"/>
      <c r="L178" s="297"/>
      <c r="M178" s="297"/>
      <c r="N178" s="297"/>
      <c r="O178" s="297"/>
      <c r="P178" s="297"/>
      <c r="Q178" s="297"/>
      <c r="R178" s="297"/>
      <c r="S178" s="297"/>
      <c r="T178" s="297"/>
      <c r="U178" s="297"/>
      <c r="V178" s="297"/>
      <c r="W178" s="297"/>
      <c r="X178" s="297"/>
      <c r="Y178" s="297"/>
      <c r="Z178" s="298"/>
    </row>
    <row r="179" spans="1:26" ht="15.75" customHeight="1" x14ac:dyDescent="0.2"/>
    <row r="180" spans="1:26" ht="15.75" customHeight="1" x14ac:dyDescent="0.2"/>
    <row r="181" spans="1:26" ht="15.75" customHeight="1" x14ac:dyDescent="0.2">
      <c r="B181" s="43" t="s">
        <v>344</v>
      </c>
    </row>
    <row r="182" spans="1:26" ht="15.75" customHeight="1" x14ac:dyDescent="0.25">
      <c r="B182" s="304" t="s">
        <v>495</v>
      </c>
      <c r="C182" s="297"/>
      <c r="D182" s="297"/>
      <c r="E182" s="297"/>
      <c r="F182" s="154"/>
      <c r="H182" s="28"/>
      <c r="I182" s="3"/>
      <c r="J182" s="296" t="s">
        <v>6</v>
      </c>
      <c r="K182" s="297"/>
      <c r="L182" s="297"/>
      <c r="M182" s="297"/>
      <c r="N182" s="297"/>
      <c r="O182" s="298"/>
    </row>
    <row r="183" spans="1:26" ht="24.75" customHeight="1" x14ac:dyDescent="0.2">
      <c r="B183" s="4" t="s">
        <v>0</v>
      </c>
      <c r="C183" s="5" t="s">
        <v>1</v>
      </c>
      <c r="D183" s="5" t="s">
        <v>2</v>
      </c>
      <c r="E183" s="5" t="s">
        <v>43</v>
      </c>
      <c r="F183" s="45" t="s">
        <v>125</v>
      </c>
      <c r="J183" s="8" t="s">
        <v>106</v>
      </c>
      <c r="K183" s="181"/>
      <c r="L183" s="24"/>
      <c r="M183" s="8" t="s">
        <v>107</v>
      </c>
      <c r="N183" s="181"/>
      <c r="O183" s="24"/>
    </row>
    <row r="184" spans="1:26" ht="15.75" customHeight="1" x14ac:dyDescent="0.2">
      <c r="B184" s="9" t="s">
        <v>7</v>
      </c>
      <c r="C184" s="302" t="s">
        <v>9</v>
      </c>
      <c r="D184" s="47">
        <v>28.1</v>
      </c>
      <c r="E184" s="11">
        <v>26</v>
      </c>
      <c r="F184" s="11">
        <v>27</v>
      </c>
      <c r="J184" s="13" t="s">
        <v>13</v>
      </c>
      <c r="K184" s="14">
        <v>672</v>
      </c>
      <c r="L184" s="17" t="s">
        <v>496</v>
      </c>
      <c r="M184" s="13" t="s">
        <v>13</v>
      </c>
      <c r="N184" s="39">
        <f>N186*0.1+N186</f>
        <v>720.5</v>
      </c>
      <c r="O184" s="17" t="s">
        <v>498</v>
      </c>
    </row>
    <row r="185" spans="1:26" ht="15.75" customHeight="1" x14ac:dyDescent="0.2">
      <c r="B185" s="9" t="s">
        <v>17</v>
      </c>
      <c r="C185" s="300"/>
      <c r="D185" s="47">
        <v>63.911000000000001</v>
      </c>
      <c r="E185" s="11">
        <v>84</v>
      </c>
      <c r="F185" s="11">
        <v>83</v>
      </c>
      <c r="J185" s="13" t="s">
        <v>19</v>
      </c>
      <c r="K185" s="18">
        <v>608</v>
      </c>
      <c r="L185" s="17" t="s">
        <v>500</v>
      </c>
      <c r="M185" s="13" t="s">
        <v>19</v>
      </c>
      <c r="N185" s="40">
        <f>-N186*0.1+N186</f>
        <v>589.5</v>
      </c>
      <c r="O185" s="17" t="s">
        <v>501</v>
      </c>
    </row>
    <row r="186" spans="1:26" ht="15.75" customHeight="1" x14ac:dyDescent="0.2">
      <c r="B186" s="9" t="s">
        <v>26</v>
      </c>
      <c r="C186" s="300"/>
      <c r="D186" s="47">
        <v>69.921999999999997</v>
      </c>
      <c r="E186" s="11">
        <v>84</v>
      </c>
      <c r="F186" s="11">
        <v>84</v>
      </c>
      <c r="J186" s="13" t="s">
        <v>27</v>
      </c>
      <c r="K186" s="20">
        <v>645</v>
      </c>
      <c r="L186" s="17" t="s">
        <v>502</v>
      </c>
      <c r="M186" s="13" t="s">
        <v>27</v>
      </c>
      <c r="N186" s="182">
        <v>655</v>
      </c>
      <c r="O186" s="17" t="s">
        <v>504</v>
      </c>
    </row>
    <row r="187" spans="1:26" ht="15.75" customHeight="1" x14ac:dyDescent="0.2">
      <c r="B187" s="9" t="s">
        <v>32</v>
      </c>
      <c r="C187" s="300"/>
      <c r="D187" s="47">
        <v>96.744</v>
      </c>
      <c r="E187" s="11">
        <v>101</v>
      </c>
      <c r="F187" s="11">
        <v>98</v>
      </c>
      <c r="J187" s="13" t="s">
        <v>121</v>
      </c>
      <c r="K187" s="20">
        <v>642</v>
      </c>
      <c r="L187" s="17" t="s">
        <v>505</v>
      </c>
      <c r="M187" s="13" t="s">
        <v>121</v>
      </c>
      <c r="N187" s="182">
        <v>655</v>
      </c>
      <c r="O187" s="17" t="s">
        <v>506</v>
      </c>
    </row>
    <row r="188" spans="1:26" ht="15.75" customHeight="1" x14ac:dyDescent="0.25">
      <c r="B188" s="9" t="s">
        <v>33</v>
      </c>
      <c r="C188" s="301"/>
      <c r="D188" s="47">
        <v>128.11000000000001</v>
      </c>
      <c r="E188" s="11">
        <v>134</v>
      </c>
      <c r="F188" s="11">
        <v>130</v>
      </c>
      <c r="K188" s="3"/>
    </row>
    <row r="189" spans="1:26" ht="15.75" customHeight="1" x14ac:dyDescent="0.2">
      <c r="B189" s="41"/>
      <c r="C189" s="42"/>
      <c r="D189" s="69"/>
      <c r="E189" s="11"/>
      <c r="F189" s="11"/>
    </row>
    <row r="190" spans="1:26" ht="15.75" customHeight="1" x14ac:dyDescent="0.25">
      <c r="B190" s="9" t="s">
        <v>35</v>
      </c>
      <c r="C190" s="302" t="s">
        <v>36</v>
      </c>
      <c r="D190" s="47">
        <v>207.78</v>
      </c>
      <c r="E190" s="11">
        <v>292</v>
      </c>
      <c r="F190" s="11">
        <v>189</v>
      </c>
      <c r="I190" s="3"/>
    </row>
    <row r="191" spans="1:26" ht="15.75" customHeight="1" x14ac:dyDescent="0.25">
      <c r="B191" s="9" t="s">
        <v>37</v>
      </c>
      <c r="C191" s="300"/>
      <c r="D191" s="47">
        <v>444.11</v>
      </c>
      <c r="E191" s="11">
        <v>199</v>
      </c>
      <c r="F191" s="11">
        <v>229</v>
      </c>
      <c r="I191" s="3"/>
    </row>
    <row r="192" spans="1:26" ht="15.75" customHeight="1" x14ac:dyDescent="0.25">
      <c r="B192" s="9" t="s">
        <v>38</v>
      </c>
      <c r="C192" s="300"/>
      <c r="D192" s="47">
        <v>579.55999999999995</v>
      </c>
      <c r="E192" s="11">
        <v>244</v>
      </c>
      <c r="F192" s="11">
        <v>464</v>
      </c>
      <c r="I192" s="3"/>
    </row>
    <row r="193" spans="2:9" ht="15.75" customHeight="1" x14ac:dyDescent="0.25">
      <c r="B193" s="9" t="s">
        <v>39</v>
      </c>
      <c r="C193" s="300"/>
      <c r="D193" s="47">
        <v>746.22</v>
      </c>
      <c r="E193" s="11">
        <v>487</v>
      </c>
      <c r="F193" s="11">
        <v>619</v>
      </c>
      <c r="I193" s="3"/>
    </row>
    <row r="194" spans="2:9" ht="15.75" customHeight="1" x14ac:dyDescent="0.25">
      <c r="B194" s="49" t="s">
        <v>41</v>
      </c>
      <c r="C194" s="300"/>
      <c r="D194" s="50">
        <v>869.5</v>
      </c>
      <c r="E194" s="11">
        <v>686</v>
      </c>
      <c r="F194" s="11">
        <v>675</v>
      </c>
      <c r="I194" s="3"/>
    </row>
    <row r="195" spans="2:9" ht="15.75" customHeight="1" x14ac:dyDescent="0.25">
      <c r="B195" s="130"/>
      <c r="C195" s="131"/>
      <c r="D195" s="183"/>
      <c r="E195" s="131"/>
      <c r="F195" s="131"/>
      <c r="I195" s="3"/>
    </row>
    <row r="196" spans="2:9" ht="15.75" customHeight="1" x14ac:dyDescent="0.25">
      <c r="B196" s="9" t="s">
        <v>46</v>
      </c>
      <c r="C196" s="299" t="s">
        <v>47</v>
      </c>
      <c r="D196" s="47">
        <v>88.4</v>
      </c>
      <c r="E196" s="11">
        <v>87</v>
      </c>
      <c r="F196" s="11">
        <v>82</v>
      </c>
      <c r="I196" s="3"/>
    </row>
    <row r="197" spans="2:9" ht="15.75" customHeight="1" x14ac:dyDescent="0.25">
      <c r="B197" s="9" t="s">
        <v>48</v>
      </c>
      <c r="C197" s="300"/>
      <c r="D197" s="47">
        <v>94.6</v>
      </c>
      <c r="E197" s="11">
        <v>87</v>
      </c>
      <c r="F197" s="11">
        <v>85</v>
      </c>
      <c r="I197" s="3"/>
    </row>
    <row r="198" spans="2:9" ht="15.75" customHeight="1" x14ac:dyDescent="0.25">
      <c r="B198" s="41"/>
      <c r="C198" s="42"/>
      <c r="D198" s="69"/>
      <c r="E198" s="11"/>
      <c r="F198" s="11"/>
      <c r="I198" s="3"/>
    </row>
    <row r="199" spans="2:9" ht="15.75" customHeight="1" x14ac:dyDescent="0.25">
      <c r="B199" s="9" t="s">
        <v>50</v>
      </c>
      <c r="C199" s="302" t="s">
        <v>51</v>
      </c>
      <c r="D199" s="47">
        <v>271.44400000000002</v>
      </c>
      <c r="E199" s="11">
        <v>174</v>
      </c>
      <c r="F199" s="11">
        <v>152</v>
      </c>
      <c r="I199" s="3"/>
    </row>
    <row r="200" spans="2:9" ht="15.75" customHeight="1" x14ac:dyDescent="0.25">
      <c r="B200" s="9" t="s">
        <v>54</v>
      </c>
      <c r="C200" s="300"/>
      <c r="D200" s="47">
        <v>550.22199999999998</v>
      </c>
      <c r="E200" s="11">
        <v>192</v>
      </c>
      <c r="F200" s="11">
        <v>189</v>
      </c>
      <c r="I200" s="3"/>
    </row>
    <row r="201" spans="2:9" ht="15.75" customHeight="1" x14ac:dyDescent="0.25">
      <c r="B201" s="9" t="s">
        <v>55</v>
      </c>
      <c r="C201" s="300"/>
      <c r="D201" s="47">
        <v>609</v>
      </c>
      <c r="E201" s="11">
        <v>648</v>
      </c>
      <c r="F201" s="11">
        <v>633</v>
      </c>
      <c r="I201" s="3"/>
    </row>
    <row r="202" spans="2:9" ht="15.75" customHeight="1" x14ac:dyDescent="0.25">
      <c r="B202" s="9" t="s">
        <v>56</v>
      </c>
      <c r="C202" s="300"/>
      <c r="D202" s="47">
        <v>739.11099999999999</v>
      </c>
      <c r="E202" s="11">
        <v>714</v>
      </c>
      <c r="F202" s="11">
        <v>709</v>
      </c>
      <c r="I202" s="3"/>
    </row>
    <row r="203" spans="2:9" ht="15.75" customHeight="1" x14ac:dyDescent="0.25">
      <c r="B203" s="49" t="s">
        <v>57</v>
      </c>
      <c r="C203" s="300"/>
      <c r="D203" s="50">
        <v>746.88900000000001</v>
      </c>
      <c r="E203" s="11">
        <v>592</v>
      </c>
      <c r="F203" s="11"/>
      <c r="I203" s="3"/>
    </row>
    <row r="204" spans="2:9" ht="15.75" customHeight="1" x14ac:dyDescent="0.25">
      <c r="B204" s="130"/>
      <c r="C204" s="131"/>
      <c r="D204" s="183"/>
      <c r="E204" s="131"/>
      <c r="F204" s="131"/>
      <c r="I204" s="3"/>
    </row>
    <row r="205" spans="2:9" ht="15.75" customHeight="1" x14ac:dyDescent="0.25">
      <c r="B205" s="9" t="s">
        <v>60</v>
      </c>
      <c r="C205" s="299" t="s">
        <v>62</v>
      </c>
      <c r="D205" s="47">
        <v>19.36</v>
      </c>
      <c r="E205" s="11">
        <v>17</v>
      </c>
      <c r="F205" s="11">
        <v>17</v>
      </c>
      <c r="I205" s="3"/>
    </row>
    <row r="206" spans="2:9" ht="15.75" customHeight="1" x14ac:dyDescent="0.25">
      <c r="B206" s="9" t="s">
        <v>64</v>
      </c>
      <c r="C206" s="300"/>
      <c r="D206" s="47">
        <v>33.31</v>
      </c>
      <c r="E206" s="11">
        <v>33</v>
      </c>
      <c r="F206" s="11">
        <v>32</v>
      </c>
      <c r="I206" s="3"/>
    </row>
    <row r="207" spans="2:9" ht="15.75" customHeight="1" x14ac:dyDescent="0.25">
      <c r="B207" s="9" t="s">
        <v>65</v>
      </c>
      <c r="C207" s="301"/>
      <c r="D207" s="47">
        <v>41.74</v>
      </c>
      <c r="E207" s="11">
        <v>20</v>
      </c>
      <c r="F207" s="11">
        <v>19</v>
      </c>
      <c r="I207" s="3"/>
    </row>
    <row r="208" spans="2:9" ht="15.75" customHeight="1" x14ac:dyDescent="0.25">
      <c r="B208" s="41"/>
      <c r="C208" s="42"/>
      <c r="D208" s="69"/>
      <c r="E208" s="11"/>
      <c r="F208" s="11"/>
      <c r="I208" s="3"/>
    </row>
    <row r="209" spans="2:9" ht="15.75" customHeight="1" x14ac:dyDescent="0.25">
      <c r="B209" s="9" t="s">
        <v>66</v>
      </c>
      <c r="C209" s="302" t="s">
        <v>68</v>
      </c>
      <c r="D209" s="47">
        <v>204.5</v>
      </c>
      <c r="E209" s="11">
        <v>203</v>
      </c>
      <c r="F209" s="11">
        <v>198</v>
      </c>
      <c r="I209" s="3"/>
    </row>
    <row r="210" spans="2:9" ht="15.75" customHeight="1" x14ac:dyDescent="0.25">
      <c r="B210" s="49" t="s">
        <v>69</v>
      </c>
      <c r="C210" s="300"/>
      <c r="D210" s="50">
        <v>277.7</v>
      </c>
      <c r="E210" s="51">
        <v>261</v>
      </c>
      <c r="F210" s="51">
        <v>257</v>
      </c>
      <c r="I210" s="3"/>
    </row>
    <row r="211" spans="2:9" ht="15.75" customHeight="1" x14ac:dyDescent="0.25">
      <c r="B211" s="44"/>
      <c r="C211" s="46"/>
      <c r="D211" s="83"/>
      <c r="E211" s="46"/>
      <c r="F211" s="46"/>
      <c r="I211" s="3"/>
    </row>
    <row r="212" spans="2:9" ht="15.75" customHeight="1" x14ac:dyDescent="0.25">
      <c r="B212" s="9" t="s">
        <v>69</v>
      </c>
      <c r="C212" s="299" t="s">
        <v>71</v>
      </c>
      <c r="D212" s="47">
        <v>10.283300000000001</v>
      </c>
      <c r="E212" s="11">
        <v>7</v>
      </c>
      <c r="F212" s="11">
        <v>8</v>
      </c>
      <c r="I212" s="3"/>
    </row>
    <row r="213" spans="2:9" ht="15.75" customHeight="1" x14ac:dyDescent="0.25">
      <c r="B213" s="9" t="s">
        <v>72</v>
      </c>
      <c r="C213" s="300"/>
      <c r="D213" s="47">
        <v>11.8833</v>
      </c>
      <c r="E213" s="11">
        <v>8</v>
      </c>
      <c r="F213" s="11">
        <v>8</v>
      </c>
      <c r="I213" s="3"/>
    </row>
    <row r="214" spans="2:9" ht="15.75" customHeight="1" x14ac:dyDescent="0.25">
      <c r="B214" s="9" t="s">
        <v>73</v>
      </c>
      <c r="C214" s="301"/>
      <c r="D214" s="47">
        <v>17.433299999999999</v>
      </c>
      <c r="E214" s="11">
        <v>16</v>
      </c>
      <c r="F214" s="11">
        <v>17</v>
      </c>
      <c r="I214" s="3"/>
    </row>
    <row r="215" spans="2:9" ht="15.75" customHeight="1" x14ac:dyDescent="0.25">
      <c r="B215" s="41"/>
      <c r="C215" s="42"/>
      <c r="D215" s="69"/>
      <c r="E215" s="11"/>
      <c r="F215" s="11"/>
      <c r="I215" s="3"/>
    </row>
    <row r="216" spans="2:9" ht="15.75" customHeight="1" x14ac:dyDescent="0.25">
      <c r="B216" s="9" t="s">
        <v>76</v>
      </c>
      <c r="C216" s="302" t="s">
        <v>77</v>
      </c>
      <c r="D216" s="47">
        <v>117.467</v>
      </c>
      <c r="E216" s="11">
        <v>188</v>
      </c>
      <c r="F216" s="11">
        <v>155</v>
      </c>
      <c r="I216" s="3"/>
    </row>
    <row r="217" spans="2:9" ht="15.75" customHeight="1" x14ac:dyDescent="0.25">
      <c r="B217" s="9" t="s">
        <v>78</v>
      </c>
      <c r="C217" s="300"/>
      <c r="D217" s="47">
        <v>187.833</v>
      </c>
      <c r="E217" s="11">
        <v>127</v>
      </c>
      <c r="F217" s="11">
        <v>106</v>
      </c>
      <c r="I217" s="3"/>
    </row>
    <row r="218" spans="2:9" ht="15.75" customHeight="1" x14ac:dyDescent="0.25">
      <c r="B218" s="9" t="s">
        <v>79</v>
      </c>
      <c r="C218" s="300"/>
      <c r="D218" s="47">
        <v>218.333</v>
      </c>
      <c r="E218" s="11">
        <v>246</v>
      </c>
      <c r="F218" s="11">
        <v>216</v>
      </c>
      <c r="I218" s="3"/>
    </row>
    <row r="219" spans="2:9" ht="15.75" customHeight="1" x14ac:dyDescent="0.25">
      <c r="B219" s="49" t="s">
        <v>80</v>
      </c>
      <c r="C219" s="300"/>
      <c r="D219" s="50">
        <v>238.5</v>
      </c>
      <c r="E219" s="51">
        <v>99</v>
      </c>
      <c r="F219" s="51">
        <v>76</v>
      </c>
      <c r="I219" s="3"/>
    </row>
    <row r="220" spans="2:9" ht="15.75" customHeight="1" x14ac:dyDescent="0.25">
      <c r="B220" s="44"/>
      <c r="C220" s="46"/>
      <c r="D220" s="83"/>
      <c r="E220" s="46"/>
      <c r="F220" s="46"/>
      <c r="I220" s="3"/>
    </row>
    <row r="221" spans="2:9" ht="15.75" customHeight="1" x14ac:dyDescent="0.25">
      <c r="B221" s="9" t="s">
        <v>81</v>
      </c>
      <c r="C221" s="299" t="s">
        <v>82</v>
      </c>
      <c r="D221" s="47">
        <v>2</v>
      </c>
      <c r="E221" s="11">
        <v>5</v>
      </c>
      <c r="F221" s="11">
        <v>5</v>
      </c>
      <c r="I221" s="3"/>
    </row>
    <row r="222" spans="2:9" ht="15.75" customHeight="1" x14ac:dyDescent="0.25">
      <c r="B222" s="9" t="s">
        <v>83</v>
      </c>
      <c r="C222" s="300"/>
      <c r="D222" s="47">
        <v>7.133</v>
      </c>
      <c r="E222" s="11">
        <v>11</v>
      </c>
      <c r="F222" s="11">
        <v>11</v>
      </c>
      <c r="I222" s="3"/>
    </row>
    <row r="223" spans="2:9" ht="15.75" customHeight="1" x14ac:dyDescent="0.25">
      <c r="B223" s="9" t="s">
        <v>84</v>
      </c>
      <c r="C223" s="301"/>
      <c r="D223" s="47">
        <v>10.72</v>
      </c>
      <c r="E223" s="11">
        <v>8</v>
      </c>
      <c r="F223" s="11">
        <v>10</v>
      </c>
      <c r="I223" s="3"/>
    </row>
    <row r="224" spans="2:9" ht="15.75" customHeight="1" x14ac:dyDescent="0.25">
      <c r="B224" s="41"/>
      <c r="C224" s="42"/>
      <c r="D224" s="69"/>
      <c r="E224" s="11"/>
      <c r="F224" s="11"/>
      <c r="I224" s="3"/>
    </row>
    <row r="225" spans="2:9" ht="15.75" customHeight="1" x14ac:dyDescent="0.25">
      <c r="B225" s="9" t="s">
        <v>86</v>
      </c>
      <c r="C225" s="302" t="s">
        <v>87</v>
      </c>
      <c r="D225" s="47">
        <v>20.466999999999999</v>
      </c>
      <c r="E225" s="11">
        <v>21</v>
      </c>
      <c r="F225" s="11">
        <v>22</v>
      </c>
      <c r="I225" s="3"/>
    </row>
    <row r="226" spans="2:9" ht="15.75" customHeight="1" x14ac:dyDescent="0.25">
      <c r="B226" s="49" t="s">
        <v>88</v>
      </c>
      <c r="C226" s="300"/>
      <c r="D226" s="50">
        <v>20.367000000000001</v>
      </c>
      <c r="E226" s="51">
        <v>21</v>
      </c>
      <c r="F226" s="51">
        <v>22</v>
      </c>
      <c r="I226" s="3"/>
    </row>
    <row r="227" spans="2:9" ht="15.75" customHeight="1" x14ac:dyDescent="0.25">
      <c r="B227" s="44"/>
      <c r="C227" s="46"/>
      <c r="D227" s="83"/>
      <c r="E227" s="46"/>
      <c r="F227" s="46"/>
      <c r="I227" s="3"/>
    </row>
    <row r="228" spans="2:9" ht="15.75" customHeight="1" x14ac:dyDescent="0.25">
      <c r="B228" s="9" t="s">
        <v>89</v>
      </c>
      <c r="C228" s="299" t="s">
        <v>90</v>
      </c>
      <c r="D228" s="47">
        <v>5.15</v>
      </c>
      <c r="E228" s="11">
        <v>17</v>
      </c>
      <c r="F228" s="11">
        <v>17</v>
      </c>
      <c r="I228" s="3"/>
    </row>
    <row r="229" spans="2:9" ht="15.75" customHeight="1" x14ac:dyDescent="0.25">
      <c r="B229" s="9" t="s">
        <v>91</v>
      </c>
      <c r="C229" s="300"/>
      <c r="D229" s="47">
        <v>16.2</v>
      </c>
      <c r="E229" s="11">
        <v>18</v>
      </c>
      <c r="F229" s="11">
        <v>18</v>
      </c>
      <c r="I229" s="3"/>
    </row>
    <row r="230" spans="2:9" ht="15.75" customHeight="1" x14ac:dyDescent="0.25">
      <c r="B230" s="49" t="s">
        <v>92</v>
      </c>
      <c r="C230" s="300"/>
      <c r="D230" s="50">
        <v>17.260000000000002</v>
      </c>
      <c r="E230" s="50">
        <v>17.260000000000002</v>
      </c>
      <c r="F230" s="51"/>
      <c r="I230" s="3"/>
    </row>
    <row r="231" spans="2:9" ht="15.75" customHeight="1" x14ac:dyDescent="0.25">
      <c r="B231" s="41"/>
      <c r="C231" s="42"/>
      <c r="D231" s="69"/>
      <c r="E231" s="42"/>
      <c r="F231" s="42"/>
      <c r="I231" s="3"/>
    </row>
    <row r="232" spans="2:9" ht="15.75" customHeight="1" x14ac:dyDescent="0.25">
      <c r="B232" s="9" t="s">
        <v>94</v>
      </c>
      <c r="C232" s="299" t="s">
        <v>95</v>
      </c>
      <c r="D232" s="47">
        <v>50.082999999999998</v>
      </c>
      <c r="E232" s="11">
        <v>52</v>
      </c>
      <c r="F232" s="11">
        <v>52</v>
      </c>
      <c r="I232" s="3"/>
    </row>
    <row r="233" spans="2:9" ht="15.75" customHeight="1" x14ac:dyDescent="0.25">
      <c r="B233" s="9" t="s">
        <v>96</v>
      </c>
      <c r="C233" s="300"/>
      <c r="D233" s="47">
        <v>93.992999999999995</v>
      </c>
      <c r="E233" s="11">
        <v>113</v>
      </c>
      <c r="F233" s="11">
        <v>111</v>
      </c>
      <c r="I233" s="3"/>
    </row>
    <row r="234" spans="2:9" ht="15.75" customHeight="1" x14ac:dyDescent="0.25">
      <c r="B234" s="9" t="s">
        <v>97</v>
      </c>
      <c r="C234" s="300"/>
      <c r="D234" s="47">
        <v>95.516999999999996</v>
      </c>
      <c r="E234" s="11">
        <v>54</v>
      </c>
      <c r="F234" s="11">
        <v>53</v>
      </c>
      <c r="I234" s="3"/>
    </row>
    <row r="235" spans="2:9" ht="15.75" customHeight="1" x14ac:dyDescent="0.25">
      <c r="B235" s="9" t="s">
        <v>98</v>
      </c>
      <c r="C235" s="300"/>
      <c r="D235" s="47">
        <v>100.92</v>
      </c>
      <c r="E235" s="11">
        <v>114</v>
      </c>
      <c r="F235" s="11">
        <v>112</v>
      </c>
      <c r="I235" s="3"/>
    </row>
    <row r="236" spans="2:9" ht="15.75" customHeight="1" x14ac:dyDescent="0.25">
      <c r="B236" s="9" t="s">
        <v>99</v>
      </c>
      <c r="C236" s="301"/>
      <c r="D236" s="47">
        <v>115.37</v>
      </c>
      <c r="E236" s="11">
        <v>113</v>
      </c>
      <c r="F236" s="11">
        <v>113</v>
      </c>
      <c r="H236" s="21">
        <v>630</v>
      </c>
      <c r="I236" s="3"/>
    </row>
    <row r="237" spans="2:9" ht="15.75" customHeight="1" x14ac:dyDescent="0.2"/>
    <row r="238" spans="2:9" ht="15.75" customHeight="1" x14ac:dyDescent="0.2"/>
    <row r="239" spans="2:9" ht="15.75" customHeight="1" x14ac:dyDescent="0.2"/>
    <row r="240" spans="2:9"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4">
    <mergeCell ref="C225:C226"/>
    <mergeCell ref="C228:C230"/>
    <mergeCell ref="C232:C236"/>
    <mergeCell ref="C205:C207"/>
    <mergeCell ref="C209:C210"/>
    <mergeCell ref="C212:C214"/>
    <mergeCell ref="C216:C219"/>
    <mergeCell ref="C221:C223"/>
    <mergeCell ref="C196:C197"/>
    <mergeCell ref="C199:C203"/>
    <mergeCell ref="C112:C116"/>
    <mergeCell ref="C118:C120"/>
    <mergeCell ref="B121:E121"/>
    <mergeCell ref="C122:C123"/>
    <mergeCell ref="B124:F124"/>
    <mergeCell ref="C125:C127"/>
    <mergeCell ref="B128:E128"/>
    <mergeCell ref="C129:C132"/>
    <mergeCell ref="B133:F133"/>
    <mergeCell ref="C134:C136"/>
    <mergeCell ref="B137:E137"/>
    <mergeCell ref="C138:C139"/>
    <mergeCell ref="B140:F140"/>
    <mergeCell ref="B144:F144"/>
    <mergeCell ref="A178:Z178"/>
    <mergeCell ref="B182:E182"/>
    <mergeCell ref="J182:O182"/>
    <mergeCell ref="C184:C188"/>
    <mergeCell ref="C190:C194"/>
    <mergeCell ref="C141:C143"/>
    <mergeCell ref="C145:C149"/>
    <mergeCell ref="A153:Z153"/>
    <mergeCell ref="Z154:Z177"/>
    <mergeCell ref="M158:R158"/>
    <mergeCell ref="M159:R160"/>
    <mergeCell ref="B160:F160"/>
    <mergeCell ref="T158:X158"/>
    <mergeCell ref="T159:X159"/>
    <mergeCell ref="H159:K159"/>
    <mergeCell ref="H160:K160"/>
    <mergeCell ref="H164:K164"/>
    <mergeCell ref="B165:F165"/>
    <mergeCell ref="T166:X168"/>
    <mergeCell ref="M168:R169"/>
    <mergeCell ref="C41:C43"/>
    <mergeCell ref="C45:C46"/>
    <mergeCell ref="C48:C50"/>
    <mergeCell ref="C52:C56"/>
    <mergeCell ref="C97:C101"/>
    <mergeCell ref="B65:G65"/>
    <mergeCell ref="B117:F117"/>
    <mergeCell ref="B70:G70"/>
    <mergeCell ref="B80:G80"/>
    <mergeCell ref="I81:L81"/>
    <mergeCell ref="B82:G82"/>
    <mergeCell ref="I82:L82"/>
    <mergeCell ref="I86:L86"/>
    <mergeCell ref="B87:G87"/>
    <mergeCell ref="C103:C107"/>
    <mergeCell ref="C109:C110"/>
    <mergeCell ref="H97:J97"/>
    <mergeCell ref="K97:M97"/>
    <mergeCell ref="B102:E102"/>
    <mergeCell ref="B108:F108"/>
    <mergeCell ref="B111:E111"/>
    <mergeCell ref="I65:L65"/>
    <mergeCell ref="I69:L69"/>
    <mergeCell ref="B95:E95"/>
    <mergeCell ref="H96:M96"/>
    <mergeCell ref="B44:E44"/>
    <mergeCell ref="B47:F47"/>
    <mergeCell ref="B51:F51"/>
    <mergeCell ref="B63:G63"/>
    <mergeCell ref="I64:L64"/>
    <mergeCell ref="B31:F31"/>
    <mergeCell ref="C32:C34"/>
    <mergeCell ref="B35:E35"/>
    <mergeCell ref="C36:C39"/>
    <mergeCell ref="B40:F40"/>
    <mergeCell ref="C19:C23"/>
    <mergeCell ref="B24:F24"/>
    <mergeCell ref="C25:C27"/>
    <mergeCell ref="B28:E28"/>
    <mergeCell ref="C29:C30"/>
    <mergeCell ref="B9:E9"/>
    <mergeCell ref="B15:F15"/>
    <mergeCell ref="C10:C14"/>
    <mergeCell ref="C16:C17"/>
    <mergeCell ref="B18:E18"/>
    <mergeCell ref="B2:E2"/>
    <mergeCell ref="H3:M3"/>
    <mergeCell ref="C4:C8"/>
    <mergeCell ref="H4:J4"/>
    <mergeCell ref="K4:M4"/>
  </mergeCell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S1000"/>
  <sheetViews>
    <sheetView workbookViewId="0"/>
  </sheetViews>
  <sheetFormatPr baseColWidth="10" defaultColWidth="12.625" defaultRowHeight="15" customHeight="1" x14ac:dyDescent="0.2"/>
  <cols>
    <col min="1" max="2" width="10" customWidth="1"/>
    <col min="3" max="3" width="12.875" customWidth="1"/>
    <col min="4" max="5" width="10" customWidth="1"/>
    <col min="6" max="6" width="11.625" customWidth="1"/>
    <col min="7" max="18" width="10" customWidth="1"/>
    <col min="19" max="19" width="7.875" customWidth="1"/>
    <col min="20" max="26" width="10" customWidth="1"/>
  </cols>
  <sheetData>
    <row r="2" spans="2:11" x14ac:dyDescent="0.25">
      <c r="B2" s="28" t="s">
        <v>437</v>
      </c>
      <c r="C2" s="28"/>
      <c r="D2" s="28"/>
      <c r="E2" s="28"/>
      <c r="F2" s="28"/>
      <c r="G2" s="28"/>
      <c r="H2" s="28"/>
      <c r="I2" s="28"/>
      <c r="J2" s="28"/>
      <c r="K2" s="28"/>
    </row>
    <row r="3" spans="2:11" x14ac:dyDescent="0.25">
      <c r="B3" s="28"/>
      <c r="C3" s="23"/>
      <c r="D3" s="23"/>
      <c r="E3" s="23"/>
      <c r="F3" s="23"/>
      <c r="G3" s="28"/>
      <c r="H3" s="28"/>
      <c r="I3" s="28"/>
      <c r="J3" s="28"/>
      <c r="K3" s="28"/>
    </row>
    <row r="4" spans="2:11" x14ac:dyDescent="0.25">
      <c r="B4" s="332" t="s">
        <v>438</v>
      </c>
      <c r="C4" s="297"/>
      <c r="D4" s="297"/>
      <c r="E4" s="297"/>
      <c r="F4" s="297"/>
    </row>
    <row r="5" spans="2:11" ht="24" x14ac:dyDescent="0.2">
      <c r="B5" s="4" t="s">
        <v>0</v>
      </c>
      <c r="C5" s="5" t="s">
        <v>1</v>
      </c>
      <c r="D5" s="5" t="s">
        <v>42</v>
      </c>
      <c r="E5" s="5" t="s">
        <v>43</v>
      </c>
      <c r="F5" s="5" t="s">
        <v>44</v>
      </c>
      <c r="H5" s="296" t="s">
        <v>45</v>
      </c>
      <c r="I5" s="297"/>
      <c r="J5" s="297"/>
      <c r="K5" s="298"/>
    </row>
    <row r="6" spans="2:11" ht="14.25" x14ac:dyDescent="0.2">
      <c r="B6" s="310" t="s">
        <v>275</v>
      </c>
      <c r="C6" s="297"/>
      <c r="D6" s="297"/>
      <c r="E6" s="297"/>
      <c r="F6" s="306"/>
      <c r="H6" s="305" t="s">
        <v>275</v>
      </c>
      <c r="I6" s="297"/>
      <c r="J6" s="297"/>
      <c r="K6" s="298"/>
    </row>
    <row r="7" spans="2:11" ht="14.25" x14ac:dyDescent="0.2">
      <c r="B7" s="9" t="s">
        <v>11</v>
      </c>
      <c r="C7" s="12" t="s">
        <v>12</v>
      </c>
      <c r="D7" s="17">
        <v>720</v>
      </c>
      <c r="E7" s="22">
        <v>715</v>
      </c>
      <c r="F7" s="11">
        <v>720</v>
      </c>
      <c r="H7" s="12"/>
      <c r="I7" s="12" t="s">
        <v>52</v>
      </c>
      <c r="J7" s="12" t="s">
        <v>53</v>
      </c>
      <c r="K7" s="12"/>
    </row>
    <row r="8" spans="2:11" ht="14.25" x14ac:dyDescent="0.2">
      <c r="B8" s="9" t="s">
        <v>11</v>
      </c>
      <c r="C8" s="12" t="s">
        <v>18</v>
      </c>
      <c r="D8" s="17">
        <v>0</v>
      </c>
      <c r="E8" s="22">
        <v>0</v>
      </c>
      <c r="F8" s="11">
        <v>0</v>
      </c>
      <c r="H8" s="12" t="s">
        <v>12</v>
      </c>
      <c r="I8" s="17">
        <v>720</v>
      </c>
      <c r="J8" s="11">
        <v>720</v>
      </c>
      <c r="K8" s="17" t="s">
        <v>440</v>
      </c>
    </row>
    <row r="9" spans="2:11" ht="14.25" x14ac:dyDescent="0.2">
      <c r="B9" s="9" t="s">
        <v>21</v>
      </c>
      <c r="C9" s="12" t="s">
        <v>59</v>
      </c>
      <c r="D9" s="17">
        <v>440</v>
      </c>
      <c r="E9" s="22">
        <v>715</v>
      </c>
      <c r="F9" s="11">
        <v>451</v>
      </c>
      <c r="H9" s="12" t="s">
        <v>18</v>
      </c>
      <c r="I9" s="17">
        <v>0</v>
      </c>
      <c r="J9" s="11">
        <v>0</v>
      </c>
      <c r="K9" s="17" t="s">
        <v>442</v>
      </c>
    </row>
    <row r="10" spans="2:11" ht="14.25" x14ac:dyDescent="0.2">
      <c r="B10" s="9" t="s">
        <v>21</v>
      </c>
      <c r="C10" s="12" t="s">
        <v>63</v>
      </c>
      <c r="D10" s="17">
        <v>160</v>
      </c>
      <c r="E10" s="22">
        <v>519</v>
      </c>
      <c r="F10" s="11">
        <v>162</v>
      </c>
      <c r="H10" s="305" t="s">
        <v>313</v>
      </c>
      <c r="I10" s="297"/>
      <c r="J10" s="297"/>
      <c r="K10" s="298"/>
    </row>
    <row r="11" spans="2:11" ht="14.25" x14ac:dyDescent="0.2">
      <c r="B11" s="310" t="s">
        <v>313</v>
      </c>
      <c r="C11" s="297"/>
      <c r="D11" s="297"/>
      <c r="E11" s="297"/>
      <c r="F11" s="306"/>
      <c r="H11" s="12" t="s">
        <v>12</v>
      </c>
      <c r="I11" s="17">
        <v>670</v>
      </c>
      <c r="J11" s="11">
        <v>690</v>
      </c>
      <c r="K11" s="17" t="s">
        <v>443</v>
      </c>
    </row>
    <row r="12" spans="2:11" ht="14.25" x14ac:dyDescent="0.2">
      <c r="B12" s="9" t="s">
        <v>11</v>
      </c>
      <c r="C12" s="12" t="s">
        <v>12</v>
      </c>
      <c r="D12" s="17">
        <v>670</v>
      </c>
      <c r="E12" s="22">
        <v>670</v>
      </c>
      <c r="F12" s="22">
        <v>690</v>
      </c>
      <c r="H12" s="12" t="s">
        <v>18</v>
      </c>
      <c r="I12" s="17">
        <v>0</v>
      </c>
      <c r="J12" s="11">
        <v>0</v>
      </c>
      <c r="K12" s="17" t="s">
        <v>445</v>
      </c>
    </row>
    <row r="13" spans="2:11" ht="14.25" x14ac:dyDescent="0.2">
      <c r="B13" s="9" t="s">
        <v>11</v>
      </c>
      <c r="C13" s="12" t="s">
        <v>18</v>
      </c>
      <c r="D13" s="17">
        <v>0</v>
      </c>
      <c r="E13" s="22">
        <v>0</v>
      </c>
      <c r="F13" s="22">
        <v>0</v>
      </c>
    </row>
    <row r="14" spans="2:11" ht="14.25" x14ac:dyDescent="0.2">
      <c r="B14" s="9" t="s">
        <v>21</v>
      </c>
      <c r="C14" s="12" t="s">
        <v>59</v>
      </c>
      <c r="D14" s="17">
        <v>430</v>
      </c>
      <c r="E14" s="22">
        <v>670</v>
      </c>
      <c r="F14" s="22">
        <v>430</v>
      </c>
    </row>
    <row r="15" spans="2:11" ht="14.25" x14ac:dyDescent="0.2">
      <c r="B15" s="9" t="s">
        <v>21</v>
      </c>
      <c r="C15" s="12" t="s">
        <v>63</v>
      </c>
      <c r="D15" s="17">
        <v>150</v>
      </c>
      <c r="E15" s="22">
        <v>512</v>
      </c>
      <c r="F15" s="22">
        <v>151</v>
      </c>
    </row>
    <row r="16" spans="2:11" x14ac:dyDescent="0.2">
      <c r="C16" s="2"/>
      <c r="D16" s="1"/>
    </row>
    <row r="17" spans="1:19" x14ac:dyDescent="0.25">
      <c r="A17" s="29"/>
      <c r="B17" s="29"/>
      <c r="C17" s="32"/>
      <c r="D17" s="32"/>
      <c r="E17" s="29"/>
      <c r="F17" s="29"/>
      <c r="G17" s="29"/>
      <c r="H17" s="29"/>
      <c r="I17" s="29"/>
      <c r="J17" s="29"/>
      <c r="K17" s="29"/>
      <c r="L17" s="29"/>
      <c r="M17" s="29"/>
      <c r="N17" s="29"/>
      <c r="O17" s="29"/>
      <c r="P17" s="29"/>
      <c r="Q17" s="29"/>
      <c r="R17" s="29"/>
      <c r="S17" s="29"/>
    </row>
    <row r="19" spans="1:19" x14ac:dyDescent="0.25">
      <c r="B19" s="28" t="s">
        <v>437</v>
      </c>
      <c r="C19" s="28"/>
      <c r="D19" s="28"/>
      <c r="E19" s="28"/>
      <c r="F19" s="28"/>
      <c r="G19" s="28"/>
      <c r="H19" s="28"/>
      <c r="I19" s="28"/>
      <c r="J19" s="28"/>
      <c r="K19" s="28"/>
    </row>
    <row r="20" spans="1:19" x14ac:dyDescent="0.25">
      <c r="B20" s="28"/>
      <c r="C20" s="23"/>
      <c r="D20" s="23"/>
      <c r="E20" s="23"/>
      <c r="F20" s="23"/>
      <c r="G20" s="28"/>
      <c r="H20" s="28"/>
      <c r="I20" s="28"/>
      <c r="J20" s="28"/>
      <c r="K20" s="28"/>
    </row>
    <row r="21" spans="1:19" ht="15.75" customHeight="1" x14ac:dyDescent="0.25">
      <c r="B21" s="332" t="s">
        <v>447</v>
      </c>
      <c r="C21" s="297"/>
      <c r="D21" s="297"/>
      <c r="E21" s="297"/>
      <c r="F21" s="297"/>
      <c r="H21" s="336" t="s">
        <v>449</v>
      </c>
      <c r="I21" s="334"/>
      <c r="J21" s="334"/>
      <c r="K21" s="335"/>
      <c r="M21" s="349" t="s">
        <v>450</v>
      </c>
      <c r="N21" s="315"/>
      <c r="O21" s="315"/>
      <c r="P21" s="315"/>
      <c r="Q21" s="315"/>
      <c r="R21" s="315"/>
      <c r="S21" s="315"/>
    </row>
    <row r="22" spans="1:19" ht="15.75" customHeight="1" x14ac:dyDescent="0.2">
      <c r="B22" s="4" t="s">
        <v>0</v>
      </c>
      <c r="C22" s="5" t="s">
        <v>1</v>
      </c>
      <c r="D22" s="5" t="s">
        <v>42</v>
      </c>
      <c r="E22" s="5" t="s">
        <v>43</v>
      </c>
      <c r="F22" s="5" t="s">
        <v>44</v>
      </c>
      <c r="H22" s="348" t="s">
        <v>45</v>
      </c>
      <c r="I22" s="318"/>
      <c r="J22" s="318"/>
      <c r="K22" s="319"/>
      <c r="M22" s="315"/>
      <c r="N22" s="315"/>
      <c r="O22" s="315"/>
      <c r="P22" s="315"/>
      <c r="Q22" s="315"/>
      <c r="R22" s="315"/>
      <c r="S22" s="315"/>
    </row>
    <row r="23" spans="1:19" ht="15.75" customHeight="1" x14ac:dyDescent="0.2">
      <c r="B23" s="310" t="s">
        <v>275</v>
      </c>
      <c r="C23" s="297"/>
      <c r="D23" s="297"/>
      <c r="E23" s="297"/>
      <c r="F23" s="306"/>
      <c r="H23" s="305" t="s">
        <v>275</v>
      </c>
      <c r="I23" s="297"/>
      <c r="J23" s="297"/>
      <c r="K23" s="298"/>
      <c r="M23" s="315"/>
      <c r="N23" s="315"/>
      <c r="O23" s="315"/>
      <c r="P23" s="315"/>
      <c r="Q23" s="315"/>
      <c r="R23" s="315"/>
      <c r="S23" s="315"/>
    </row>
    <row r="24" spans="1:19" ht="15.75" customHeight="1" x14ac:dyDescent="0.2">
      <c r="B24" s="9" t="s">
        <v>11</v>
      </c>
      <c r="C24" s="12" t="s">
        <v>12</v>
      </c>
      <c r="D24" s="17">
        <v>720</v>
      </c>
      <c r="E24" s="22">
        <v>720</v>
      </c>
      <c r="F24" s="11">
        <v>896</v>
      </c>
      <c r="H24" s="12"/>
      <c r="I24" s="12" t="s">
        <v>52</v>
      </c>
      <c r="J24" s="12" t="s">
        <v>53</v>
      </c>
      <c r="K24" s="12"/>
      <c r="M24" s="315"/>
      <c r="N24" s="315"/>
      <c r="O24" s="315"/>
      <c r="P24" s="315"/>
      <c r="Q24" s="315"/>
      <c r="R24" s="315"/>
      <c r="S24" s="315"/>
    </row>
    <row r="25" spans="1:19" ht="15.75" customHeight="1" x14ac:dyDescent="0.2">
      <c r="B25" s="9" t="s">
        <v>11</v>
      </c>
      <c r="C25" s="12" t="s">
        <v>18</v>
      </c>
      <c r="D25" s="17">
        <v>0</v>
      </c>
      <c r="E25" s="22">
        <v>199</v>
      </c>
      <c r="F25" s="11">
        <v>0</v>
      </c>
      <c r="H25" s="12" t="s">
        <v>12</v>
      </c>
      <c r="I25" s="17">
        <v>720</v>
      </c>
      <c r="J25" s="11">
        <v>895</v>
      </c>
      <c r="K25" s="17" t="s">
        <v>451</v>
      </c>
      <c r="M25" s="315"/>
      <c r="N25" s="315"/>
      <c r="O25" s="315"/>
      <c r="P25" s="315"/>
      <c r="Q25" s="315"/>
      <c r="R25" s="315"/>
      <c r="S25" s="315"/>
    </row>
    <row r="26" spans="1:19" ht="15.75" customHeight="1" x14ac:dyDescent="0.2">
      <c r="B26" s="9" t="s">
        <v>21</v>
      </c>
      <c r="C26" s="12" t="s">
        <v>59</v>
      </c>
      <c r="D26" s="17">
        <v>440</v>
      </c>
      <c r="E26" s="22">
        <v>720</v>
      </c>
      <c r="F26" s="11">
        <v>442</v>
      </c>
      <c r="H26" s="12" t="s">
        <v>18</v>
      </c>
      <c r="I26" s="17">
        <v>0</v>
      </c>
      <c r="J26" s="11">
        <v>0</v>
      </c>
      <c r="K26" s="17" t="s">
        <v>453</v>
      </c>
      <c r="M26" s="315"/>
      <c r="N26" s="315"/>
      <c r="O26" s="315"/>
      <c r="P26" s="315"/>
      <c r="Q26" s="315"/>
      <c r="R26" s="315"/>
      <c r="S26" s="315"/>
    </row>
    <row r="27" spans="1:19" ht="15.75" customHeight="1" x14ac:dyDescent="0.2">
      <c r="B27" s="9" t="s">
        <v>21</v>
      </c>
      <c r="C27" s="12" t="s">
        <v>63</v>
      </c>
      <c r="D27" s="17">
        <v>160</v>
      </c>
      <c r="E27" s="22">
        <v>720</v>
      </c>
      <c r="F27" s="11">
        <v>165</v>
      </c>
      <c r="H27" s="305" t="s">
        <v>313</v>
      </c>
      <c r="I27" s="297"/>
      <c r="J27" s="297"/>
      <c r="K27" s="298"/>
      <c r="M27" s="315"/>
      <c r="N27" s="315"/>
      <c r="O27" s="315"/>
      <c r="P27" s="315"/>
      <c r="Q27" s="315"/>
      <c r="R27" s="315"/>
      <c r="S27" s="315"/>
    </row>
    <row r="28" spans="1:19" ht="15.75" customHeight="1" x14ac:dyDescent="0.2">
      <c r="B28" s="310" t="s">
        <v>313</v>
      </c>
      <c r="C28" s="297"/>
      <c r="D28" s="297"/>
      <c r="E28" s="297"/>
      <c r="F28" s="306"/>
      <c r="H28" s="12" t="s">
        <v>12</v>
      </c>
      <c r="I28" s="17">
        <v>670</v>
      </c>
      <c r="J28" s="11">
        <v>865</v>
      </c>
      <c r="K28" s="17" t="s">
        <v>455</v>
      </c>
      <c r="M28" s="315"/>
      <c r="N28" s="315"/>
      <c r="O28" s="315"/>
      <c r="P28" s="315"/>
      <c r="Q28" s="315"/>
      <c r="R28" s="315"/>
      <c r="S28" s="315"/>
    </row>
    <row r="29" spans="1:19" ht="15.75" customHeight="1" x14ac:dyDescent="0.2">
      <c r="B29" s="9" t="s">
        <v>11</v>
      </c>
      <c r="C29" s="12" t="s">
        <v>12</v>
      </c>
      <c r="D29" s="17">
        <v>670</v>
      </c>
      <c r="E29" s="22">
        <v>690</v>
      </c>
      <c r="F29" s="22">
        <v>866</v>
      </c>
      <c r="H29" s="12" t="s">
        <v>18</v>
      </c>
      <c r="I29" s="17">
        <v>0</v>
      </c>
      <c r="J29" s="11">
        <v>0</v>
      </c>
      <c r="K29" s="17" t="s">
        <v>456</v>
      </c>
      <c r="M29" s="315"/>
      <c r="N29" s="315"/>
      <c r="O29" s="315"/>
      <c r="P29" s="315"/>
      <c r="Q29" s="315"/>
      <c r="R29" s="315"/>
      <c r="S29" s="315"/>
    </row>
    <row r="30" spans="1:19" ht="15.75" customHeight="1" x14ac:dyDescent="0.2">
      <c r="B30" s="9" t="s">
        <v>11</v>
      </c>
      <c r="C30" s="12" t="s">
        <v>18</v>
      </c>
      <c r="D30" s="17">
        <v>0</v>
      </c>
      <c r="E30" s="22">
        <v>111</v>
      </c>
      <c r="F30" s="22">
        <v>0</v>
      </c>
    </row>
    <row r="31" spans="1:19" ht="15.75" customHeight="1" x14ac:dyDescent="0.2">
      <c r="B31" s="9" t="s">
        <v>21</v>
      </c>
      <c r="C31" s="12" t="s">
        <v>59</v>
      </c>
      <c r="D31" s="17">
        <v>430</v>
      </c>
      <c r="E31" s="22">
        <v>690</v>
      </c>
      <c r="F31" s="22">
        <v>423</v>
      </c>
    </row>
    <row r="32" spans="1:19" ht="15.75" customHeight="1" x14ac:dyDescent="0.2">
      <c r="B32" s="9" t="s">
        <v>21</v>
      </c>
      <c r="C32" s="12" t="s">
        <v>63</v>
      </c>
      <c r="D32" s="17">
        <v>150</v>
      </c>
      <c r="E32" s="22">
        <v>690</v>
      </c>
      <c r="F32" s="22">
        <v>151</v>
      </c>
    </row>
    <row r="33" spans="1:19" ht="15.75" customHeight="1" x14ac:dyDescent="0.2">
      <c r="C33" s="2"/>
      <c r="D33" s="1"/>
    </row>
    <row r="34" spans="1:19" ht="15.75" customHeight="1" x14ac:dyDescent="0.2"/>
    <row r="35" spans="1:19" ht="15.75" customHeight="1" x14ac:dyDescent="0.2"/>
    <row r="36" spans="1:19" ht="15.75" customHeight="1" x14ac:dyDescent="0.25">
      <c r="A36" s="326"/>
      <c r="B36" s="327"/>
      <c r="C36" s="327"/>
      <c r="D36" s="327"/>
      <c r="E36" s="327"/>
      <c r="F36" s="327"/>
      <c r="G36" s="327"/>
      <c r="H36" s="327"/>
      <c r="I36" s="327"/>
      <c r="J36" s="327"/>
      <c r="K36" s="327"/>
      <c r="L36" s="327"/>
      <c r="M36" s="327"/>
      <c r="N36" s="327"/>
      <c r="O36" s="327"/>
      <c r="P36" s="327"/>
      <c r="Q36" s="327"/>
      <c r="R36" s="327"/>
      <c r="S36" s="328"/>
    </row>
    <row r="37" spans="1:19" ht="15.75" customHeight="1" x14ac:dyDescent="0.2"/>
    <row r="38" spans="1:19" ht="15.75" customHeight="1" x14ac:dyDescent="0.25">
      <c r="B38" s="28" t="s">
        <v>437</v>
      </c>
      <c r="C38" s="28"/>
      <c r="D38" s="28"/>
      <c r="E38" s="28"/>
      <c r="F38" s="28"/>
      <c r="G38" s="28"/>
      <c r="H38" s="28"/>
      <c r="I38" s="28"/>
      <c r="J38" s="28"/>
      <c r="K38" s="28"/>
    </row>
    <row r="39" spans="1:19" ht="15.75" customHeight="1" x14ac:dyDescent="0.25">
      <c r="B39" s="28"/>
      <c r="C39" s="23"/>
      <c r="D39" s="23"/>
      <c r="E39" s="23"/>
      <c r="F39" s="23"/>
      <c r="G39" s="28"/>
      <c r="H39" s="28"/>
      <c r="I39" s="28"/>
      <c r="J39" s="28"/>
      <c r="K39" s="28"/>
    </row>
    <row r="40" spans="1:19" ht="15.75" customHeight="1" x14ac:dyDescent="0.25">
      <c r="B40" s="332" t="s">
        <v>458</v>
      </c>
      <c r="C40" s="297"/>
      <c r="D40" s="297"/>
      <c r="E40" s="297"/>
      <c r="F40" s="297"/>
      <c r="H40" s="336" t="s">
        <v>460</v>
      </c>
      <c r="I40" s="334"/>
      <c r="J40" s="334"/>
      <c r="K40" s="335"/>
      <c r="M40" s="324" t="s">
        <v>461</v>
      </c>
      <c r="N40" s="315"/>
      <c r="O40" s="315"/>
      <c r="P40" s="315"/>
      <c r="Q40" s="315"/>
      <c r="R40" s="315"/>
      <c r="S40" s="315"/>
    </row>
    <row r="41" spans="1:19" ht="15.75" customHeight="1" x14ac:dyDescent="0.2">
      <c r="B41" s="4" t="s">
        <v>0</v>
      </c>
      <c r="C41" s="5" t="s">
        <v>1</v>
      </c>
      <c r="D41" s="5" t="s">
        <v>42</v>
      </c>
      <c r="E41" s="5" t="s">
        <v>43</v>
      </c>
      <c r="F41" s="5" t="s">
        <v>44</v>
      </c>
      <c r="H41" s="348" t="s">
        <v>45</v>
      </c>
      <c r="I41" s="318"/>
      <c r="J41" s="318"/>
      <c r="K41" s="319"/>
      <c r="M41" s="315"/>
      <c r="N41" s="315"/>
      <c r="O41" s="315"/>
      <c r="P41" s="315"/>
      <c r="Q41" s="315"/>
      <c r="R41" s="315"/>
      <c r="S41" s="315"/>
    </row>
    <row r="42" spans="1:19" ht="15.75" customHeight="1" x14ac:dyDescent="0.2">
      <c r="B42" s="310" t="s">
        <v>275</v>
      </c>
      <c r="C42" s="297"/>
      <c r="D42" s="297"/>
      <c r="E42" s="297"/>
      <c r="F42" s="306"/>
      <c r="H42" s="305" t="s">
        <v>275</v>
      </c>
      <c r="I42" s="297"/>
      <c r="J42" s="297"/>
      <c r="K42" s="298"/>
      <c r="M42" s="315"/>
      <c r="N42" s="315"/>
      <c r="O42" s="315"/>
      <c r="P42" s="315"/>
      <c r="Q42" s="315"/>
      <c r="R42" s="315"/>
      <c r="S42" s="315"/>
    </row>
    <row r="43" spans="1:19" ht="15.75" customHeight="1" x14ac:dyDescent="0.2">
      <c r="B43" s="9" t="s">
        <v>11</v>
      </c>
      <c r="C43" s="12" t="s">
        <v>12</v>
      </c>
      <c r="D43" s="11">
        <v>895</v>
      </c>
      <c r="E43" s="22">
        <v>65535</v>
      </c>
      <c r="F43" s="11">
        <v>751</v>
      </c>
      <c r="H43" s="12"/>
      <c r="I43" s="12" t="s">
        <v>52</v>
      </c>
      <c r="J43" s="12" t="s">
        <v>53</v>
      </c>
      <c r="K43" s="12"/>
      <c r="M43" s="315"/>
      <c r="N43" s="315"/>
      <c r="O43" s="315"/>
      <c r="P43" s="315"/>
      <c r="Q43" s="315"/>
      <c r="R43" s="315"/>
      <c r="S43" s="315"/>
    </row>
    <row r="44" spans="1:19" ht="15.75" customHeight="1" x14ac:dyDescent="0.2">
      <c r="B44" s="9" t="s">
        <v>11</v>
      </c>
      <c r="C44" s="12" t="s">
        <v>18</v>
      </c>
      <c r="D44" s="17">
        <v>0</v>
      </c>
      <c r="E44" s="22">
        <v>65535</v>
      </c>
      <c r="F44" s="11">
        <v>0</v>
      </c>
      <c r="H44" s="12" t="s">
        <v>12</v>
      </c>
      <c r="I44" s="17">
        <v>895</v>
      </c>
      <c r="J44" s="17">
        <v>750</v>
      </c>
      <c r="K44" s="17" t="s">
        <v>468</v>
      </c>
      <c r="M44" s="315"/>
      <c r="N44" s="315"/>
      <c r="O44" s="315"/>
      <c r="P44" s="315"/>
      <c r="Q44" s="315"/>
      <c r="R44" s="315"/>
      <c r="S44" s="315"/>
    </row>
    <row r="45" spans="1:19" ht="15.75" customHeight="1" x14ac:dyDescent="0.2">
      <c r="B45" s="9" t="s">
        <v>21</v>
      </c>
      <c r="C45" s="12" t="s">
        <v>59</v>
      </c>
      <c r="D45" s="17">
        <v>440</v>
      </c>
      <c r="E45" s="22">
        <v>65535</v>
      </c>
      <c r="F45" s="11">
        <v>438</v>
      </c>
      <c r="H45" s="12" t="s">
        <v>18</v>
      </c>
      <c r="I45" s="17">
        <v>0</v>
      </c>
      <c r="J45" s="17">
        <v>0</v>
      </c>
      <c r="K45" s="17" t="s">
        <v>469</v>
      </c>
      <c r="M45" s="315"/>
      <c r="N45" s="315"/>
      <c r="O45" s="315"/>
      <c r="P45" s="315"/>
      <c r="Q45" s="315"/>
      <c r="R45" s="315"/>
      <c r="S45" s="315"/>
    </row>
    <row r="46" spans="1:19" ht="15.75" customHeight="1" x14ac:dyDescent="0.2">
      <c r="B46" s="9" t="s">
        <v>21</v>
      </c>
      <c r="C46" s="12" t="s">
        <v>63</v>
      </c>
      <c r="D46" s="17">
        <v>160</v>
      </c>
      <c r="E46" s="22">
        <v>65535</v>
      </c>
      <c r="F46" s="11">
        <v>148</v>
      </c>
      <c r="H46" s="305" t="s">
        <v>313</v>
      </c>
      <c r="I46" s="297"/>
      <c r="J46" s="297"/>
      <c r="K46" s="298"/>
      <c r="M46" s="315"/>
      <c r="N46" s="315"/>
      <c r="O46" s="315"/>
      <c r="P46" s="315"/>
      <c r="Q46" s="315"/>
      <c r="R46" s="315"/>
      <c r="S46" s="315"/>
    </row>
    <row r="47" spans="1:19" ht="15.75" customHeight="1" x14ac:dyDescent="0.2">
      <c r="B47" s="9" t="s">
        <v>21</v>
      </c>
      <c r="C47" s="12" t="s">
        <v>218</v>
      </c>
      <c r="D47" s="17">
        <v>0</v>
      </c>
      <c r="E47" s="22">
        <v>65535</v>
      </c>
      <c r="F47" s="11">
        <v>0</v>
      </c>
      <c r="H47" s="12" t="s">
        <v>12</v>
      </c>
      <c r="I47" s="17">
        <v>865</v>
      </c>
      <c r="J47" s="17">
        <v>720</v>
      </c>
      <c r="K47" s="17" t="s">
        <v>471</v>
      </c>
      <c r="M47" s="315"/>
      <c r="N47" s="315"/>
      <c r="O47" s="315"/>
      <c r="P47" s="315"/>
      <c r="Q47" s="315"/>
      <c r="R47" s="315"/>
      <c r="S47" s="315"/>
    </row>
    <row r="48" spans="1:19" ht="15.75" customHeight="1" x14ac:dyDescent="0.2">
      <c r="B48" s="310" t="s">
        <v>313</v>
      </c>
      <c r="C48" s="297"/>
      <c r="D48" s="297"/>
      <c r="E48" s="297"/>
      <c r="F48" s="306"/>
      <c r="H48" s="12" t="s">
        <v>18</v>
      </c>
      <c r="I48" s="17">
        <v>0</v>
      </c>
      <c r="J48" s="17">
        <v>0</v>
      </c>
      <c r="K48" s="17" t="s">
        <v>472</v>
      </c>
      <c r="M48" s="315"/>
      <c r="N48" s="315"/>
      <c r="O48" s="315"/>
      <c r="P48" s="315"/>
      <c r="Q48" s="315"/>
      <c r="R48" s="315"/>
      <c r="S48" s="315"/>
    </row>
    <row r="49" spans="2:16" ht="15.75" customHeight="1" x14ac:dyDescent="0.2">
      <c r="B49" s="9" t="s">
        <v>11</v>
      </c>
      <c r="C49" s="12" t="s">
        <v>12</v>
      </c>
      <c r="D49" s="17">
        <v>865</v>
      </c>
      <c r="E49" s="22">
        <v>65535</v>
      </c>
      <c r="F49" s="22">
        <v>722</v>
      </c>
    </row>
    <row r="50" spans="2:16" ht="15.75" customHeight="1" x14ac:dyDescent="0.2">
      <c r="B50" s="9" t="s">
        <v>11</v>
      </c>
      <c r="C50" s="12" t="s">
        <v>18</v>
      </c>
      <c r="D50" s="17">
        <v>0</v>
      </c>
      <c r="E50" s="22">
        <v>65535</v>
      </c>
      <c r="F50" s="22">
        <v>0</v>
      </c>
    </row>
    <row r="51" spans="2:16" ht="15.75" customHeight="1" x14ac:dyDescent="0.2">
      <c r="B51" s="9" t="s">
        <v>21</v>
      </c>
      <c r="C51" s="12" t="s">
        <v>59</v>
      </c>
      <c r="D51" s="17">
        <v>420</v>
      </c>
      <c r="E51" s="22">
        <v>65535</v>
      </c>
      <c r="F51" s="22">
        <v>414</v>
      </c>
    </row>
    <row r="52" spans="2:16" ht="15.75" customHeight="1" x14ac:dyDescent="0.2">
      <c r="B52" s="9" t="s">
        <v>21</v>
      </c>
      <c r="C52" s="12" t="s">
        <v>63</v>
      </c>
      <c r="D52" s="17">
        <v>140</v>
      </c>
      <c r="E52" s="22">
        <v>65535</v>
      </c>
      <c r="F52" s="22">
        <v>137</v>
      </c>
    </row>
    <row r="53" spans="2:16" ht="15.75" customHeight="1" x14ac:dyDescent="0.2">
      <c r="B53" s="9" t="s">
        <v>21</v>
      </c>
      <c r="C53" s="12" t="s">
        <v>218</v>
      </c>
      <c r="D53" s="17">
        <v>0</v>
      </c>
      <c r="E53" s="22">
        <v>0</v>
      </c>
      <c r="F53" s="22">
        <v>0</v>
      </c>
    </row>
    <row r="54" spans="2:16" ht="15.75" customHeight="1" x14ac:dyDescent="0.2"/>
    <row r="55" spans="2:16" ht="15.75" customHeight="1" x14ac:dyDescent="0.2"/>
    <row r="56" spans="2:16" ht="15.75" customHeight="1" x14ac:dyDescent="0.2">
      <c r="B56" s="339" t="s">
        <v>372</v>
      </c>
      <c r="C56" s="334"/>
      <c r="D56" s="334"/>
      <c r="E56" s="334"/>
      <c r="F56" s="334"/>
      <c r="G56" s="334"/>
      <c r="H56" s="334"/>
      <c r="I56" s="334"/>
      <c r="J56" s="334"/>
      <c r="K56" s="334"/>
      <c r="L56" s="334"/>
      <c r="M56" s="334"/>
      <c r="N56" s="334"/>
      <c r="O56" s="334"/>
      <c r="P56" s="335"/>
    </row>
    <row r="57" spans="2:16" ht="15.75" customHeight="1" x14ac:dyDescent="0.25">
      <c r="B57" s="340" t="s">
        <v>373</v>
      </c>
      <c r="C57" s="334"/>
      <c r="D57" s="335"/>
      <c r="E57" s="340" t="s">
        <v>375</v>
      </c>
      <c r="F57" s="334"/>
      <c r="G57" s="335"/>
      <c r="H57" s="336" t="s">
        <v>376</v>
      </c>
      <c r="I57" s="334"/>
      <c r="J57" s="335"/>
      <c r="K57" s="336" t="s">
        <v>377</v>
      </c>
      <c r="L57" s="334"/>
      <c r="M57" s="334"/>
      <c r="N57" s="334"/>
      <c r="O57" s="334"/>
      <c r="P57" s="335"/>
    </row>
    <row r="58" spans="2:16" ht="15.75" customHeight="1" x14ac:dyDescent="0.25">
      <c r="B58" s="340"/>
      <c r="C58" s="334"/>
      <c r="D58" s="335"/>
      <c r="E58" s="167" t="s">
        <v>379</v>
      </c>
      <c r="F58" s="167" t="s">
        <v>380</v>
      </c>
      <c r="G58" s="179" t="s">
        <v>381</v>
      </c>
      <c r="H58" s="167" t="s">
        <v>379</v>
      </c>
      <c r="I58" s="167" t="s">
        <v>380</v>
      </c>
      <c r="J58" s="179" t="s">
        <v>381</v>
      </c>
      <c r="K58" s="347"/>
      <c r="L58" s="334"/>
      <c r="M58" s="334"/>
      <c r="N58" s="334"/>
      <c r="O58" s="334"/>
      <c r="P58" s="335"/>
    </row>
    <row r="59" spans="2:16" ht="15.75" customHeight="1" x14ac:dyDescent="0.25">
      <c r="B59" s="333" t="s">
        <v>383</v>
      </c>
      <c r="C59" s="334"/>
      <c r="D59" s="335"/>
      <c r="E59" s="171"/>
      <c r="F59" s="171"/>
      <c r="G59" s="173" t="s">
        <v>385</v>
      </c>
      <c r="H59" s="174" t="s">
        <v>385</v>
      </c>
      <c r="I59" s="174"/>
      <c r="J59" s="174"/>
      <c r="K59" s="333" t="s">
        <v>475</v>
      </c>
      <c r="L59" s="334"/>
      <c r="M59" s="334"/>
      <c r="N59" s="334"/>
      <c r="O59" s="334"/>
      <c r="P59" s="335"/>
    </row>
    <row r="60" spans="2:16" ht="15.75" customHeight="1" x14ac:dyDescent="0.25">
      <c r="B60" s="333" t="s">
        <v>389</v>
      </c>
      <c r="C60" s="334"/>
      <c r="D60" s="335"/>
      <c r="E60" s="173"/>
      <c r="F60" s="173" t="s">
        <v>385</v>
      </c>
      <c r="G60" s="173"/>
      <c r="H60" s="173" t="s">
        <v>385</v>
      </c>
      <c r="I60" s="173"/>
      <c r="J60" s="173"/>
      <c r="K60" s="333" t="s">
        <v>477</v>
      </c>
      <c r="L60" s="334"/>
      <c r="M60" s="334"/>
      <c r="N60" s="334"/>
      <c r="O60" s="334"/>
      <c r="P60" s="335"/>
    </row>
    <row r="61" spans="2:16" ht="15.75" customHeight="1" x14ac:dyDescent="0.25">
      <c r="B61" s="333" t="s">
        <v>391</v>
      </c>
      <c r="C61" s="334"/>
      <c r="D61" s="335"/>
      <c r="E61" s="173" t="s">
        <v>385</v>
      </c>
      <c r="F61" s="173"/>
      <c r="G61" s="173"/>
      <c r="H61" s="173" t="s">
        <v>385</v>
      </c>
      <c r="I61" s="173"/>
      <c r="J61" s="173"/>
      <c r="K61" s="333" t="s">
        <v>392</v>
      </c>
      <c r="L61" s="334"/>
      <c r="M61" s="334"/>
      <c r="N61" s="334"/>
      <c r="O61" s="334"/>
      <c r="P61" s="335"/>
    </row>
    <row r="62" spans="2:16" ht="15.75" customHeight="1" x14ac:dyDescent="0.25">
      <c r="B62" s="333" t="s">
        <v>393</v>
      </c>
      <c r="C62" s="334"/>
      <c r="D62" s="335"/>
      <c r="E62" s="173" t="s">
        <v>385</v>
      </c>
      <c r="F62" s="173"/>
      <c r="G62" s="173"/>
      <c r="H62" s="173" t="s">
        <v>385</v>
      </c>
      <c r="I62" s="173"/>
      <c r="J62" s="173"/>
      <c r="K62" s="333" t="s">
        <v>394</v>
      </c>
      <c r="L62" s="334"/>
      <c r="M62" s="334"/>
      <c r="N62" s="334"/>
      <c r="O62" s="334"/>
      <c r="P62" s="335"/>
    </row>
    <row r="63" spans="2:16" ht="15.75" customHeight="1" x14ac:dyDescent="0.25">
      <c r="B63" s="333" t="s">
        <v>395</v>
      </c>
      <c r="C63" s="334"/>
      <c r="D63" s="335"/>
      <c r="E63" s="173" t="s">
        <v>385</v>
      </c>
      <c r="F63" s="173"/>
      <c r="G63" s="173"/>
      <c r="H63" s="173" t="s">
        <v>385</v>
      </c>
      <c r="I63" s="173"/>
      <c r="J63" s="173"/>
      <c r="K63" s="333" t="s">
        <v>478</v>
      </c>
      <c r="L63" s="334"/>
      <c r="M63" s="334"/>
      <c r="N63" s="334"/>
      <c r="O63" s="334"/>
      <c r="P63" s="335"/>
    </row>
    <row r="64" spans="2:16" ht="15.75" customHeight="1" x14ac:dyDescent="0.25">
      <c r="B64" s="333" t="s">
        <v>398</v>
      </c>
      <c r="C64" s="334"/>
      <c r="D64" s="335"/>
      <c r="E64" s="173"/>
      <c r="F64" s="173" t="s">
        <v>385</v>
      </c>
      <c r="G64" s="173"/>
      <c r="H64" s="173" t="s">
        <v>385</v>
      </c>
      <c r="I64" s="173"/>
      <c r="J64" s="173"/>
      <c r="K64" s="333" t="s">
        <v>479</v>
      </c>
      <c r="L64" s="334"/>
      <c r="M64" s="334"/>
      <c r="N64" s="334"/>
      <c r="O64" s="334"/>
      <c r="P64" s="335"/>
    </row>
    <row r="65" spans="1:19" ht="15.75" customHeight="1" x14ac:dyDescent="0.25">
      <c r="B65" s="333" t="s">
        <v>401</v>
      </c>
      <c r="C65" s="334"/>
      <c r="D65" s="335"/>
      <c r="E65" s="173"/>
      <c r="F65" s="173"/>
      <c r="G65" s="173" t="s">
        <v>385</v>
      </c>
      <c r="H65" s="173"/>
      <c r="I65" s="173" t="s">
        <v>385</v>
      </c>
      <c r="J65" s="173"/>
      <c r="K65" s="333" t="s">
        <v>480</v>
      </c>
      <c r="L65" s="334"/>
      <c r="M65" s="334"/>
      <c r="N65" s="334"/>
      <c r="O65" s="334"/>
      <c r="P65" s="335"/>
    </row>
    <row r="66" spans="1:19" ht="15.75" customHeight="1" x14ac:dyDescent="0.25">
      <c r="B66" s="333" t="s">
        <v>403</v>
      </c>
      <c r="C66" s="334"/>
      <c r="D66" s="335"/>
      <c r="E66" s="173"/>
      <c r="F66" s="173" t="s">
        <v>385</v>
      </c>
      <c r="G66" s="173"/>
      <c r="H66" s="173" t="s">
        <v>385</v>
      </c>
      <c r="I66" s="173"/>
      <c r="J66" s="173"/>
      <c r="K66" s="333" t="s">
        <v>404</v>
      </c>
      <c r="L66" s="334"/>
      <c r="M66" s="334"/>
      <c r="N66" s="334"/>
      <c r="O66" s="334"/>
      <c r="P66" s="335"/>
    </row>
    <row r="67" spans="1:19" ht="15.75" customHeight="1" x14ac:dyDescent="0.25">
      <c r="B67" s="333" t="s">
        <v>405</v>
      </c>
      <c r="C67" s="334"/>
      <c r="D67" s="335"/>
      <c r="E67" s="173" t="s">
        <v>385</v>
      </c>
      <c r="F67" s="173"/>
      <c r="G67" s="173"/>
      <c r="H67" s="173" t="s">
        <v>385</v>
      </c>
      <c r="I67" s="173"/>
      <c r="J67" s="173"/>
      <c r="K67" s="333" t="s">
        <v>481</v>
      </c>
      <c r="L67" s="334"/>
      <c r="M67" s="334"/>
      <c r="N67" s="334"/>
      <c r="O67" s="334"/>
      <c r="P67" s="335"/>
    </row>
    <row r="68" spans="1:19" ht="15.75" customHeight="1" x14ac:dyDescent="0.25">
      <c r="B68" s="333" t="s">
        <v>408</v>
      </c>
      <c r="C68" s="334"/>
      <c r="D68" s="335"/>
      <c r="E68" s="173" t="s">
        <v>385</v>
      </c>
      <c r="F68" s="173"/>
      <c r="G68" s="173"/>
      <c r="H68" s="173" t="s">
        <v>385</v>
      </c>
      <c r="I68" s="173"/>
      <c r="J68" s="173"/>
      <c r="K68" s="333" t="s">
        <v>483</v>
      </c>
      <c r="L68" s="334"/>
      <c r="M68" s="334"/>
      <c r="N68" s="334"/>
      <c r="O68" s="334"/>
      <c r="P68" s="335"/>
    </row>
    <row r="69" spans="1:19" ht="15.75" customHeight="1" x14ac:dyDescent="0.25">
      <c r="B69" s="333" t="s">
        <v>411</v>
      </c>
      <c r="C69" s="334"/>
      <c r="D69" s="335"/>
      <c r="E69" s="173"/>
      <c r="F69" s="173" t="s">
        <v>385</v>
      </c>
      <c r="G69" s="173"/>
      <c r="H69" s="173"/>
      <c r="I69" s="173" t="s">
        <v>385</v>
      </c>
      <c r="J69" s="173"/>
      <c r="K69" s="333" t="s">
        <v>412</v>
      </c>
      <c r="L69" s="334"/>
      <c r="M69" s="334"/>
      <c r="N69" s="334"/>
      <c r="O69" s="334"/>
      <c r="P69" s="335"/>
    </row>
    <row r="70" spans="1:19" ht="15.75" customHeight="1" x14ac:dyDescent="0.25">
      <c r="B70" s="333" t="s">
        <v>413</v>
      </c>
      <c r="C70" s="334"/>
      <c r="D70" s="335"/>
      <c r="E70" s="173" t="s">
        <v>385</v>
      </c>
      <c r="F70" s="173"/>
      <c r="G70" s="173"/>
      <c r="H70" s="173" t="s">
        <v>385</v>
      </c>
      <c r="I70" s="173"/>
      <c r="J70" s="173"/>
      <c r="K70" s="333" t="s">
        <v>414</v>
      </c>
      <c r="L70" s="334"/>
      <c r="M70" s="334"/>
      <c r="N70" s="334"/>
      <c r="O70" s="334"/>
      <c r="P70" s="335"/>
    </row>
    <row r="71" spans="1:19" ht="15.75" customHeight="1" x14ac:dyDescent="0.25">
      <c r="B71" s="333" t="s">
        <v>416</v>
      </c>
      <c r="C71" s="334"/>
      <c r="D71" s="335"/>
      <c r="E71" s="173" t="s">
        <v>385</v>
      </c>
      <c r="F71" s="173"/>
      <c r="G71" s="173"/>
      <c r="H71" s="173" t="s">
        <v>385</v>
      </c>
      <c r="I71" s="173"/>
      <c r="J71" s="173"/>
      <c r="K71" s="333" t="s">
        <v>417</v>
      </c>
      <c r="L71" s="334"/>
      <c r="M71" s="334"/>
      <c r="N71" s="334"/>
      <c r="O71" s="334"/>
      <c r="P71" s="335"/>
    </row>
    <row r="72" spans="1:19" ht="15.75" customHeight="1" x14ac:dyDescent="0.25">
      <c r="B72" s="333" t="s">
        <v>418</v>
      </c>
      <c r="C72" s="334"/>
      <c r="D72" s="335"/>
      <c r="E72" s="173"/>
      <c r="F72" s="173" t="s">
        <v>385</v>
      </c>
      <c r="G72" s="173"/>
      <c r="H72" s="173"/>
      <c r="I72" s="173" t="s">
        <v>385</v>
      </c>
      <c r="J72" s="173"/>
      <c r="K72" s="333" t="s">
        <v>420</v>
      </c>
      <c r="L72" s="334"/>
      <c r="M72" s="334"/>
      <c r="N72" s="334"/>
      <c r="O72" s="334"/>
      <c r="P72" s="335"/>
    </row>
    <row r="73" spans="1:19" ht="15.75" customHeight="1" x14ac:dyDescent="0.25">
      <c r="B73" s="333" t="s">
        <v>421</v>
      </c>
      <c r="C73" s="334"/>
      <c r="D73" s="335"/>
      <c r="E73" s="173"/>
      <c r="F73" s="173"/>
      <c r="G73" s="173"/>
      <c r="H73" s="173" t="s">
        <v>385</v>
      </c>
      <c r="I73" s="173"/>
      <c r="J73" s="173"/>
      <c r="K73" s="333" t="s">
        <v>422</v>
      </c>
      <c r="L73" s="334"/>
      <c r="M73" s="334"/>
      <c r="N73" s="334"/>
      <c r="O73" s="334"/>
      <c r="P73" s="335"/>
    </row>
    <row r="74" spans="1:19" ht="15.75" customHeight="1" x14ac:dyDescent="0.2"/>
    <row r="75" spans="1:19" ht="15.75" customHeight="1" x14ac:dyDescent="0.2"/>
    <row r="76" spans="1:19" ht="15.75" customHeight="1" x14ac:dyDescent="0.25">
      <c r="A76" s="326"/>
      <c r="B76" s="327"/>
      <c r="C76" s="327"/>
      <c r="D76" s="327"/>
      <c r="E76" s="327"/>
      <c r="F76" s="327"/>
      <c r="G76" s="327"/>
      <c r="H76" s="327"/>
      <c r="I76" s="327"/>
      <c r="J76" s="327"/>
      <c r="K76" s="327"/>
      <c r="L76" s="327"/>
      <c r="M76" s="327"/>
      <c r="N76" s="327"/>
      <c r="O76" s="327"/>
      <c r="P76" s="327"/>
      <c r="Q76" s="327"/>
      <c r="R76" s="327"/>
      <c r="S76" s="328"/>
    </row>
    <row r="77" spans="1:19" ht="15.75" customHeight="1" x14ac:dyDescent="0.2"/>
    <row r="78" spans="1:19" ht="15.75" customHeight="1" x14ac:dyDescent="0.25">
      <c r="B78" s="28" t="s">
        <v>437</v>
      </c>
      <c r="C78" s="28"/>
      <c r="D78" s="28"/>
      <c r="E78" s="28"/>
      <c r="F78" s="28"/>
      <c r="G78" s="28"/>
      <c r="H78" s="28"/>
      <c r="I78" s="28"/>
      <c r="J78" s="28"/>
      <c r="K78" s="28"/>
    </row>
    <row r="79" spans="1:19" ht="15.75" customHeight="1" x14ac:dyDescent="0.25">
      <c r="B79" s="28"/>
      <c r="C79" s="23"/>
      <c r="D79" s="23"/>
      <c r="E79" s="23"/>
      <c r="F79" s="23"/>
      <c r="G79" s="28"/>
      <c r="H79" s="28"/>
      <c r="I79" s="28"/>
      <c r="J79" s="28"/>
      <c r="K79" s="28"/>
    </row>
    <row r="80" spans="1:19" ht="15.75" customHeight="1" x14ac:dyDescent="0.25">
      <c r="B80" s="332" t="s">
        <v>490</v>
      </c>
      <c r="C80" s="297"/>
      <c r="D80" s="297"/>
      <c r="E80" s="297"/>
      <c r="F80" s="297"/>
      <c r="H80" s="336" t="s">
        <v>492</v>
      </c>
      <c r="I80" s="334"/>
      <c r="J80" s="334"/>
      <c r="K80" s="335"/>
      <c r="M80" s="324" t="s">
        <v>494</v>
      </c>
      <c r="N80" s="315"/>
      <c r="O80" s="315"/>
      <c r="P80" s="315"/>
      <c r="Q80" s="315"/>
      <c r="R80" s="315"/>
      <c r="S80" s="315"/>
    </row>
    <row r="81" spans="2:19" ht="15.75" customHeight="1" x14ac:dyDescent="0.2">
      <c r="B81" s="4" t="s">
        <v>0</v>
      </c>
      <c r="C81" s="5" t="s">
        <v>1</v>
      </c>
      <c r="D81" s="5" t="s">
        <v>42</v>
      </c>
      <c r="E81" s="5" t="s">
        <v>43</v>
      </c>
      <c r="F81" s="5" t="s">
        <v>44</v>
      </c>
      <c r="H81" s="348" t="s">
        <v>45</v>
      </c>
      <c r="I81" s="318"/>
      <c r="J81" s="318"/>
      <c r="K81" s="319"/>
      <c r="M81" s="315"/>
      <c r="N81" s="315"/>
      <c r="O81" s="315"/>
      <c r="P81" s="315"/>
      <c r="Q81" s="315"/>
      <c r="R81" s="315"/>
      <c r="S81" s="315"/>
    </row>
    <row r="82" spans="2:19" ht="15.75" customHeight="1" x14ac:dyDescent="0.2">
      <c r="B82" s="310" t="s">
        <v>275</v>
      </c>
      <c r="C82" s="297"/>
      <c r="D82" s="297"/>
      <c r="E82" s="297"/>
      <c r="F82" s="306"/>
      <c r="H82" s="305" t="s">
        <v>275</v>
      </c>
      <c r="I82" s="297"/>
      <c r="J82" s="297"/>
      <c r="K82" s="298"/>
      <c r="M82" s="315"/>
      <c r="N82" s="315"/>
      <c r="O82" s="315"/>
      <c r="P82" s="315"/>
      <c r="Q82" s="315"/>
      <c r="R82" s="315"/>
      <c r="S82" s="315"/>
    </row>
    <row r="83" spans="2:19" ht="15.75" customHeight="1" x14ac:dyDescent="0.2">
      <c r="B83" s="9" t="s">
        <v>11</v>
      </c>
      <c r="C83" s="12" t="s">
        <v>12</v>
      </c>
      <c r="D83" s="11">
        <v>895</v>
      </c>
      <c r="E83" s="22">
        <v>65535</v>
      </c>
      <c r="F83" s="11">
        <v>700</v>
      </c>
      <c r="H83" s="12"/>
      <c r="I83" s="12" t="s">
        <v>52</v>
      </c>
      <c r="J83" s="12" t="s">
        <v>53</v>
      </c>
      <c r="K83" s="12"/>
      <c r="M83" s="315"/>
      <c r="N83" s="315"/>
      <c r="O83" s="315"/>
      <c r="P83" s="315"/>
      <c r="Q83" s="315"/>
      <c r="R83" s="315"/>
      <c r="S83" s="315"/>
    </row>
    <row r="84" spans="2:19" ht="15.75" customHeight="1" x14ac:dyDescent="0.2">
      <c r="B84" s="9" t="s">
        <v>11</v>
      </c>
      <c r="C84" s="12" t="s">
        <v>18</v>
      </c>
      <c r="D84" s="17">
        <v>0</v>
      </c>
      <c r="E84" s="22">
        <v>65535</v>
      </c>
      <c r="F84" s="11">
        <v>0</v>
      </c>
      <c r="H84" s="12" t="s">
        <v>12</v>
      </c>
      <c r="I84" s="17">
        <v>750</v>
      </c>
      <c r="J84" s="17">
        <v>700</v>
      </c>
      <c r="K84" s="17" t="s">
        <v>497</v>
      </c>
      <c r="M84" s="315"/>
      <c r="N84" s="315"/>
      <c r="O84" s="315"/>
      <c r="P84" s="315"/>
      <c r="Q84" s="315"/>
      <c r="R84" s="315"/>
      <c r="S84" s="315"/>
    </row>
    <row r="85" spans="2:19" ht="15.75" customHeight="1" x14ac:dyDescent="0.2">
      <c r="B85" s="9" t="s">
        <v>21</v>
      </c>
      <c r="C85" s="12" t="s">
        <v>59</v>
      </c>
      <c r="D85" s="17">
        <v>440</v>
      </c>
      <c r="E85" s="22">
        <v>65535</v>
      </c>
      <c r="F85" s="11">
        <v>442</v>
      </c>
      <c r="H85" s="12" t="s">
        <v>18</v>
      </c>
      <c r="I85" s="17">
        <v>0</v>
      </c>
      <c r="J85" s="17">
        <v>0</v>
      </c>
      <c r="K85" s="17" t="s">
        <v>499</v>
      </c>
      <c r="M85" s="315"/>
      <c r="N85" s="315"/>
      <c r="O85" s="315"/>
      <c r="P85" s="315"/>
      <c r="Q85" s="315"/>
      <c r="R85" s="315"/>
      <c r="S85" s="315"/>
    </row>
    <row r="86" spans="2:19" ht="15.75" customHeight="1" x14ac:dyDescent="0.2">
      <c r="B86" s="9" t="s">
        <v>21</v>
      </c>
      <c r="C86" s="12" t="s">
        <v>63</v>
      </c>
      <c r="D86" s="17">
        <v>160</v>
      </c>
      <c r="E86" s="22">
        <v>65535</v>
      </c>
      <c r="F86" s="11">
        <v>157</v>
      </c>
      <c r="H86" s="305" t="s">
        <v>313</v>
      </c>
      <c r="I86" s="297"/>
      <c r="J86" s="297"/>
      <c r="K86" s="298"/>
      <c r="M86" s="315"/>
      <c r="N86" s="315"/>
      <c r="O86" s="315"/>
      <c r="P86" s="315"/>
      <c r="Q86" s="315"/>
      <c r="R86" s="315"/>
      <c r="S86" s="315"/>
    </row>
    <row r="87" spans="2:19" ht="15.75" customHeight="1" x14ac:dyDescent="0.2">
      <c r="B87" s="9" t="s">
        <v>21</v>
      </c>
      <c r="C87" s="12" t="s">
        <v>218</v>
      </c>
      <c r="D87" s="17">
        <v>0</v>
      </c>
      <c r="E87" s="22">
        <v>65535</v>
      </c>
      <c r="F87" s="11">
        <v>0</v>
      </c>
      <c r="H87" s="12" t="s">
        <v>12</v>
      </c>
      <c r="I87" s="17">
        <v>720</v>
      </c>
      <c r="J87" s="17">
        <v>670</v>
      </c>
      <c r="K87" s="17" t="s">
        <v>503</v>
      </c>
      <c r="M87" s="315"/>
      <c r="N87" s="315"/>
      <c r="O87" s="315"/>
      <c r="P87" s="315"/>
      <c r="Q87" s="315"/>
      <c r="R87" s="315"/>
      <c r="S87" s="315"/>
    </row>
    <row r="88" spans="2:19" ht="15.75" customHeight="1" x14ac:dyDescent="0.2">
      <c r="B88" s="310" t="s">
        <v>313</v>
      </c>
      <c r="C88" s="297"/>
      <c r="D88" s="297"/>
      <c r="E88" s="297"/>
      <c r="F88" s="306"/>
      <c r="H88" s="12" t="s">
        <v>18</v>
      </c>
      <c r="I88" s="17">
        <v>0</v>
      </c>
      <c r="J88" s="17">
        <v>0</v>
      </c>
      <c r="K88" s="17" t="s">
        <v>507</v>
      </c>
      <c r="M88" s="315"/>
      <c r="N88" s="315"/>
      <c r="O88" s="315"/>
      <c r="P88" s="315"/>
      <c r="Q88" s="315"/>
      <c r="R88" s="315"/>
      <c r="S88" s="315"/>
    </row>
    <row r="89" spans="2:19" ht="15.75" customHeight="1" x14ac:dyDescent="0.2">
      <c r="B89" s="9" t="s">
        <v>11</v>
      </c>
      <c r="C89" s="12" t="s">
        <v>12</v>
      </c>
      <c r="D89" s="17">
        <v>865</v>
      </c>
      <c r="E89" s="22">
        <v>65535</v>
      </c>
      <c r="F89" s="22">
        <v>670</v>
      </c>
    </row>
    <row r="90" spans="2:19" ht="15.75" customHeight="1" x14ac:dyDescent="0.2">
      <c r="B90" s="9" t="s">
        <v>11</v>
      </c>
      <c r="C90" s="12" t="s">
        <v>18</v>
      </c>
      <c r="D90" s="17">
        <v>0</v>
      </c>
      <c r="E90" s="22">
        <v>65535</v>
      </c>
      <c r="F90" s="22">
        <v>0</v>
      </c>
    </row>
    <row r="91" spans="2:19" ht="15.75" customHeight="1" x14ac:dyDescent="0.2">
      <c r="B91" s="9" t="s">
        <v>21</v>
      </c>
      <c r="C91" s="12" t="s">
        <v>59</v>
      </c>
      <c r="D91" s="17">
        <v>420</v>
      </c>
      <c r="E91" s="22">
        <v>65535</v>
      </c>
      <c r="F91" s="22">
        <v>414</v>
      </c>
    </row>
    <row r="92" spans="2:19" ht="15.75" customHeight="1" x14ac:dyDescent="0.2">
      <c r="B92" s="9" t="s">
        <v>21</v>
      </c>
      <c r="C92" s="12" t="s">
        <v>63</v>
      </c>
      <c r="D92" s="17">
        <v>140</v>
      </c>
      <c r="E92" s="22">
        <v>65535</v>
      </c>
      <c r="F92" s="22">
        <v>142</v>
      </c>
    </row>
    <row r="93" spans="2:19" ht="15.75" customHeight="1" x14ac:dyDescent="0.2">
      <c r="B93" s="9" t="s">
        <v>21</v>
      </c>
      <c r="C93" s="12" t="s">
        <v>218</v>
      </c>
      <c r="D93" s="17">
        <v>0</v>
      </c>
      <c r="E93" s="22">
        <v>0</v>
      </c>
      <c r="F93" s="22">
        <v>0</v>
      </c>
    </row>
    <row r="94" spans="2:19" ht="15.75" customHeight="1" x14ac:dyDescent="0.2"/>
    <row r="95" spans="2:19" ht="15.75" customHeight="1" x14ac:dyDescent="0.2"/>
    <row r="96" spans="2:19"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9">
    <mergeCell ref="H41:K41"/>
    <mergeCell ref="B42:F42"/>
    <mergeCell ref="H42:K42"/>
    <mergeCell ref="H21:K21"/>
    <mergeCell ref="M21:S29"/>
    <mergeCell ref="H22:K22"/>
    <mergeCell ref="H23:K23"/>
    <mergeCell ref="H27:K27"/>
    <mergeCell ref="A36:S36"/>
    <mergeCell ref="M40:S48"/>
    <mergeCell ref="B23:F23"/>
    <mergeCell ref="B28:F28"/>
    <mergeCell ref="B40:F40"/>
    <mergeCell ref="H46:K46"/>
    <mergeCell ref="B48:F48"/>
    <mergeCell ref="B4:F4"/>
    <mergeCell ref="H5:K5"/>
    <mergeCell ref="B6:F6"/>
    <mergeCell ref="H6:K6"/>
    <mergeCell ref="H10:K10"/>
    <mergeCell ref="B11:F11"/>
    <mergeCell ref="B21:F21"/>
    <mergeCell ref="H40:K40"/>
    <mergeCell ref="H82:K82"/>
    <mergeCell ref="H86:K86"/>
    <mergeCell ref="B70:D70"/>
    <mergeCell ref="B71:D71"/>
    <mergeCell ref="B72:D72"/>
    <mergeCell ref="A76:S76"/>
    <mergeCell ref="H80:K80"/>
    <mergeCell ref="M80:S88"/>
    <mergeCell ref="H81:K81"/>
    <mergeCell ref="B88:F88"/>
    <mergeCell ref="B80:F80"/>
    <mergeCell ref="B82:F82"/>
    <mergeCell ref="K71:P71"/>
    <mergeCell ref="K72:P72"/>
    <mergeCell ref="B73:D73"/>
    <mergeCell ref="K73:P73"/>
    <mergeCell ref="B67:D67"/>
    <mergeCell ref="K67:P67"/>
    <mergeCell ref="B68:D68"/>
    <mergeCell ref="K68:P68"/>
    <mergeCell ref="B69:D69"/>
    <mergeCell ref="K69:P69"/>
    <mergeCell ref="K70:P70"/>
    <mergeCell ref="B61:D61"/>
    <mergeCell ref="K61:P61"/>
    <mergeCell ref="K62:P62"/>
    <mergeCell ref="K65:P65"/>
    <mergeCell ref="K66:P66"/>
    <mergeCell ref="B62:D62"/>
    <mergeCell ref="B63:D63"/>
    <mergeCell ref="K63:P63"/>
    <mergeCell ref="B64:D64"/>
    <mergeCell ref="K64:P64"/>
    <mergeCell ref="B65:D65"/>
    <mergeCell ref="B66:D66"/>
    <mergeCell ref="B58:D58"/>
    <mergeCell ref="B59:D59"/>
    <mergeCell ref="K59:P59"/>
    <mergeCell ref="B60:D60"/>
    <mergeCell ref="K60:P60"/>
    <mergeCell ref="K58:P58"/>
    <mergeCell ref="B56:P56"/>
    <mergeCell ref="B57:D57"/>
    <mergeCell ref="E57:G57"/>
    <mergeCell ref="H57:J57"/>
    <mergeCell ref="K57:P57"/>
  </mergeCell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N1000"/>
  <sheetViews>
    <sheetView workbookViewId="0"/>
  </sheetViews>
  <sheetFormatPr baseColWidth="10" defaultColWidth="12.625" defaultRowHeight="15" customHeight="1" x14ac:dyDescent="0.2"/>
  <cols>
    <col min="1" max="5" width="10" customWidth="1"/>
    <col min="6" max="6" width="11.5" customWidth="1"/>
    <col min="7" max="26" width="10" customWidth="1"/>
  </cols>
  <sheetData>
    <row r="2" spans="1:14" x14ac:dyDescent="0.25">
      <c r="B2" s="28" t="s">
        <v>508</v>
      </c>
      <c r="C2" s="28"/>
      <c r="D2" s="28"/>
      <c r="E2" s="28"/>
      <c r="F2" s="28"/>
      <c r="G2" s="28"/>
      <c r="H2" s="28"/>
      <c r="I2" s="28"/>
      <c r="J2" s="28"/>
      <c r="K2" s="28"/>
      <c r="L2" s="28"/>
    </row>
    <row r="3" spans="1:14" x14ac:dyDescent="0.25">
      <c r="B3" s="28"/>
      <c r="C3" s="23"/>
      <c r="D3" s="23"/>
      <c r="E3" s="23"/>
      <c r="F3" s="23"/>
      <c r="G3" s="23"/>
      <c r="H3" s="28"/>
      <c r="I3" s="28"/>
      <c r="J3" s="28"/>
      <c r="K3" s="28"/>
      <c r="L3" s="28"/>
    </row>
    <row r="4" spans="1:14" x14ac:dyDescent="0.25">
      <c r="B4" s="332" t="s">
        <v>438</v>
      </c>
      <c r="C4" s="297"/>
      <c r="D4" s="297"/>
      <c r="E4" s="297"/>
      <c r="F4" s="297"/>
      <c r="G4" s="298"/>
    </row>
    <row r="5" spans="1:14" ht="24" x14ac:dyDescent="0.2">
      <c r="B5" s="4" t="s">
        <v>0</v>
      </c>
      <c r="C5" s="5" t="s">
        <v>1</v>
      </c>
      <c r="D5" s="5" t="s">
        <v>42</v>
      </c>
      <c r="E5" s="5" t="s">
        <v>43</v>
      </c>
      <c r="F5" s="5" t="s">
        <v>44</v>
      </c>
      <c r="G5" s="7" t="s">
        <v>206</v>
      </c>
      <c r="I5" s="296" t="s">
        <v>45</v>
      </c>
      <c r="J5" s="297"/>
      <c r="K5" s="297"/>
      <c r="L5" s="298"/>
    </row>
    <row r="6" spans="1:14" ht="14.25" x14ac:dyDescent="0.2">
      <c r="B6" s="310" t="s">
        <v>275</v>
      </c>
      <c r="C6" s="297"/>
      <c r="D6" s="297"/>
      <c r="E6" s="297"/>
      <c r="F6" s="297"/>
      <c r="G6" s="298"/>
      <c r="I6" s="305" t="s">
        <v>275</v>
      </c>
      <c r="J6" s="297"/>
      <c r="K6" s="297"/>
      <c r="L6" s="298"/>
    </row>
    <row r="7" spans="1:14" ht="14.25" x14ac:dyDescent="0.2">
      <c r="B7" s="9" t="s">
        <v>11</v>
      </c>
      <c r="C7" s="12" t="s">
        <v>12</v>
      </c>
      <c r="D7" s="17">
        <v>740</v>
      </c>
      <c r="E7" s="22">
        <v>742</v>
      </c>
      <c r="F7" s="11">
        <v>785</v>
      </c>
      <c r="G7" s="110">
        <f>((E7-F7)/E7)</f>
        <v>-5.7951482479784364E-2</v>
      </c>
      <c r="I7" s="12"/>
      <c r="J7" s="12" t="s">
        <v>52</v>
      </c>
      <c r="K7" s="12" t="s">
        <v>53</v>
      </c>
      <c r="L7" s="12"/>
    </row>
    <row r="8" spans="1:14" ht="14.25" x14ac:dyDescent="0.2">
      <c r="B8" s="9" t="s">
        <v>11</v>
      </c>
      <c r="C8" s="12" t="s">
        <v>18</v>
      </c>
      <c r="D8" s="17">
        <v>0</v>
      </c>
      <c r="E8" s="22">
        <v>0</v>
      </c>
      <c r="F8" s="11">
        <v>0</v>
      </c>
      <c r="G8" s="110">
        <v>0</v>
      </c>
      <c r="I8" s="12" t="s">
        <v>12</v>
      </c>
      <c r="J8" s="17">
        <v>740</v>
      </c>
      <c r="K8" s="11">
        <v>785</v>
      </c>
      <c r="L8" s="17" t="s">
        <v>510</v>
      </c>
    </row>
    <row r="9" spans="1:14" ht="25.5" x14ac:dyDescent="0.2">
      <c r="B9" s="9" t="s">
        <v>21</v>
      </c>
      <c r="C9" s="12" t="s">
        <v>59</v>
      </c>
      <c r="D9" s="17">
        <v>440</v>
      </c>
      <c r="E9" s="22">
        <v>415</v>
      </c>
      <c r="F9" s="11">
        <v>442</v>
      </c>
      <c r="G9" s="110">
        <f t="shared" ref="G9:G10" si="0">((E9-F9)/E9)</f>
        <v>-6.5060240963855417E-2</v>
      </c>
      <c r="I9" s="12" t="s">
        <v>18</v>
      </c>
      <c r="J9" s="24">
        <v>0</v>
      </c>
      <c r="K9" s="25">
        <v>0</v>
      </c>
      <c r="L9" s="24" t="s">
        <v>511</v>
      </c>
    </row>
    <row r="10" spans="1:14" ht="25.5" x14ac:dyDescent="0.2">
      <c r="B10" s="12" t="s">
        <v>21</v>
      </c>
      <c r="C10" s="12" t="s">
        <v>63</v>
      </c>
      <c r="D10" s="24">
        <v>160</v>
      </c>
      <c r="E10" s="26">
        <v>135</v>
      </c>
      <c r="F10" s="25">
        <v>162</v>
      </c>
      <c r="G10" s="148">
        <f t="shared" si="0"/>
        <v>-0.2</v>
      </c>
      <c r="I10" s="330"/>
      <c r="J10" s="315"/>
      <c r="K10" s="315"/>
      <c r="L10" s="315"/>
    </row>
    <row r="11" spans="1:14" x14ac:dyDescent="0.25">
      <c r="A11" s="28"/>
      <c r="B11" s="329"/>
      <c r="C11" s="315"/>
      <c r="D11" s="315"/>
      <c r="E11" s="315"/>
      <c r="F11" s="315"/>
      <c r="G11" s="315"/>
      <c r="H11" s="28"/>
      <c r="I11" s="27"/>
      <c r="J11" s="27"/>
      <c r="K11" s="31"/>
      <c r="L11" s="27"/>
      <c r="M11" s="28"/>
      <c r="N11" s="28"/>
    </row>
    <row r="12" spans="1:14" x14ac:dyDescent="0.25">
      <c r="A12" s="28"/>
      <c r="B12" s="27"/>
      <c r="C12" s="27"/>
      <c r="D12" s="27"/>
      <c r="E12" s="38"/>
      <c r="F12" s="38"/>
      <c r="G12" s="149"/>
      <c r="H12" s="28"/>
      <c r="I12" s="27"/>
      <c r="J12" s="27"/>
      <c r="K12" s="31"/>
      <c r="L12" s="27"/>
      <c r="M12" s="28"/>
    </row>
    <row r="13" spans="1:14" x14ac:dyDescent="0.25">
      <c r="A13" s="28"/>
      <c r="B13" s="27"/>
      <c r="C13" s="27"/>
      <c r="D13" s="27"/>
      <c r="E13" s="38"/>
      <c r="F13" s="38"/>
      <c r="G13" s="149"/>
      <c r="H13" s="28"/>
      <c r="I13" s="28"/>
      <c r="J13" s="28"/>
      <c r="K13" s="28"/>
      <c r="L13" s="28"/>
      <c r="M13" s="28"/>
    </row>
    <row r="14" spans="1:14" x14ac:dyDescent="0.25">
      <c r="A14" s="28"/>
      <c r="B14" s="27"/>
      <c r="C14" s="27"/>
      <c r="D14" s="27"/>
      <c r="E14" s="38"/>
      <c r="F14" s="38"/>
      <c r="G14" s="149"/>
      <c r="H14" s="28"/>
      <c r="I14" s="28"/>
      <c r="J14" s="28"/>
      <c r="K14" s="28"/>
      <c r="L14" s="28"/>
      <c r="M14" s="28"/>
    </row>
    <row r="15" spans="1:14" x14ac:dyDescent="0.25">
      <c r="A15" s="28"/>
      <c r="B15" s="27"/>
      <c r="C15" s="27"/>
      <c r="D15" s="27"/>
      <c r="E15" s="38"/>
      <c r="F15" s="38"/>
      <c r="G15" s="149"/>
      <c r="H15" s="28"/>
      <c r="I15" s="28"/>
      <c r="J15" s="28"/>
      <c r="K15" s="28"/>
      <c r="L15" s="28"/>
      <c r="M15" s="28"/>
    </row>
    <row r="16" spans="1:14" x14ac:dyDescent="0.25">
      <c r="A16" s="28"/>
      <c r="B16" s="28"/>
      <c r="C16" s="2"/>
      <c r="D16" s="1"/>
      <c r="E16" s="28"/>
      <c r="F16" s="28"/>
      <c r="G16" s="28"/>
      <c r="H16" s="28"/>
    </row>
    <row r="17" spans="3:4" x14ac:dyDescent="0.2">
      <c r="C17" s="2"/>
      <c r="D17" s="2"/>
    </row>
    <row r="18" spans="3:4" x14ac:dyDescent="0.2">
      <c r="C18" s="2"/>
      <c r="D18" s="2"/>
    </row>
    <row r="21" spans="3:4" ht="15.75" customHeight="1" x14ac:dyDescent="0.2"/>
    <row r="22" spans="3:4" ht="15.75" customHeight="1" x14ac:dyDescent="0.2"/>
    <row r="23" spans="3:4" ht="15.75" customHeight="1" x14ac:dyDescent="0.2"/>
    <row r="24" spans="3:4" ht="15.75" customHeight="1" x14ac:dyDescent="0.2"/>
    <row r="25" spans="3:4" ht="15.75" customHeight="1" x14ac:dyDescent="0.2"/>
    <row r="26" spans="3:4" ht="15.75" customHeight="1" x14ac:dyDescent="0.2"/>
    <row r="27" spans="3:4" ht="15.75" customHeight="1" x14ac:dyDescent="0.2"/>
    <row r="28" spans="3:4" ht="15.75" customHeight="1" x14ac:dyDescent="0.2"/>
    <row r="29" spans="3:4" ht="15.75" customHeight="1" x14ac:dyDescent="0.2"/>
    <row r="30" spans="3:4" ht="15.75" customHeight="1" x14ac:dyDescent="0.2"/>
    <row r="31" spans="3:4" ht="15.75" customHeight="1" x14ac:dyDescent="0.2"/>
    <row r="32" spans="3: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B11:G11"/>
    <mergeCell ref="B4:G4"/>
    <mergeCell ref="I5:L5"/>
    <mergeCell ref="B6:G6"/>
    <mergeCell ref="I6:L6"/>
    <mergeCell ref="I10:L10"/>
  </mergeCell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000"/>
  <sheetViews>
    <sheetView workbookViewId="0"/>
  </sheetViews>
  <sheetFormatPr baseColWidth="10" defaultColWidth="12.625" defaultRowHeight="15" customHeight="1" x14ac:dyDescent="0.2"/>
  <cols>
    <col min="1" max="5" width="10" customWidth="1"/>
    <col min="6" max="6" width="10.75" customWidth="1"/>
    <col min="7" max="26" width="10" customWidth="1"/>
  </cols>
  <sheetData>
    <row r="1" spans="2:13" ht="14.25" x14ac:dyDescent="0.2">
      <c r="B1" s="43" t="s">
        <v>518</v>
      </c>
    </row>
    <row r="2" spans="2:13" x14ac:dyDescent="0.25">
      <c r="B2" s="304" t="s">
        <v>520</v>
      </c>
      <c r="C2" s="297"/>
      <c r="D2" s="297"/>
      <c r="E2" s="297"/>
      <c r="F2" s="154"/>
      <c r="I2" s="3"/>
    </row>
    <row r="3" spans="2:13" ht="24" x14ac:dyDescent="0.2">
      <c r="B3" s="4" t="s">
        <v>0</v>
      </c>
      <c r="C3" s="5" t="s">
        <v>1</v>
      </c>
      <c r="D3" s="5" t="s">
        <v>2</v>
      </c>
      <c r="E3" s="5" t="s">
        <v>43</v>
      </c>
      <c r="F3" s="45" t="s">
        <v>125</v>
      </c>
      <c r="H3" s="296" t="s">
        <v>6</v>
      </c>
      <c r="I3" s="297"/>
      <c r="J3" s="297"/>
      <c r="K3" s="297"/>
      <c r="L3" s="297"/>
      <c r="M3" s="298"/>
    </row>
    <row r="4" spans="2:13" ht="14.25" x14ac:dyDescent="0.2">
      <c r="B4" s="9" t="s">
        <v>7</v>
      </c>
      <c r="C4" s="302" t="s">
        <v>9</v>
      </c>
      <c r="D4" s="11">
        <v>28.1</v>
      </c>
      <c r="E4" s="11">
        <v>24</v>
      </c>
      <c r="F4" s="11">
        <v>36</v>
      </c>
      <c r="H4" s="296" t="s">
        <v>106</v>
      </c>
      <c r="I4" s="297"/>
      <c r="J4" s="298"/>
      <c r="K4" s="296" t="s">
        <v>107</v>
      </c>
      <c r="L4" s="297"/>
      <c r="M4" s="298"/>
    </row>
    <row r="5" spans="2:13" ht="14.25" x14ac:dyDescent="0.2">
      <c r="B5" s="9" t="s">
        <v>17</v>
      </c>
      <c r="C5" s="300"/>
      <c r="D5" s="11">
        <v>63.911000000000001</v>
      </c>
      <c r="E5" s="11">
        <v>41</v>
      </c>
      <c r="F5" s="11">
        <v>52</v>
      </c>
      <c r="H5" s="13" t="s">
        <v>13</v>
      </c>
      <c r="I5" s="14">
        <v>676</v>
      </c>
      <c r="J5" s="17" t="s">
        <v>524</v>
      </c>
      <c r="K5" s="13" t="s">
        <v>13</v>
      </c>
      <c r="L5" s="14">
        <f>L7+L7*0.05</f>
        <v>663.6</v>
      </c>
      <c r="M5" s="17" t="s">
        <v>526</v>
      </c>
    </row>
    <row r="6" spans="2:13" ht="14.25" x14ac:dyDescent="0.2">
      <c r="B6" s="9" t="s">
        <v>26</v>
      </c>
      <c r="C6" s="300"/>
      <c r="D6" s="11">
        <v>69.921999999999997</v>
      </c>
      <c r="E6" s="11">
        <v>44</v>
      </c>
      <c r="F6" s="11">
        <v>54</v>
      </c>
      <c r="H6" s="13" t="s">
        <v>19</v>
      </c>
      <c r="I6" s="18">
        <v>612</v>
      </c>
      <c r="J6" s="17" t="s">
        <v>528</v>
      </c>
      <c r="K6" s="13" t="s">
        <v>19</v>
      </c>
      <c r="L6" s="18">
        <f>L7-L7*0.05</f>
        <v>600.4</v>
      </c>
      <c r="M6" s="17" t="s">
        <v>530</v>
      </c>
    </row>
    <row r="7" spans="2:13" ht="14.25" x14ac:dyDescent="0.2">
      <c r="B7" s="9" t="s">
        <v>32</v>
      </c>
      <c r="C7" s="300"/>
      <c r="D7" s="11">
        <v>96.744</v>
      </c>
      <c r="E7" s="11">
        <v>66</v>
      </c>
      <c r="F7" s="11">
        <v>101</v>
      </c>
      <c r="H7" s="13" t="s">
        <v>27</v>
      </c>
      <c r="I7" s="20">
        <v>645</v>
      </c>
      <c r="J7" s="17" t="s">
        <v>533</v>
      </c>
      <c r="K7" s="13" t="s">
        <v>27</v>
      </c>
      <c r="L7" s="20">
        <v>632</v>
      </c>
      <c r="M7" s="17" t="s">
        <v>535</v>
      </c>
    </row>
    <row r="8" spans="2:13" ht="14.25" x14ac:dyDescent="0.2">
      <c r="B8" s="9" t="s">
        <v>33</v>
      </c>
      <c r="C8" s="301"/>
      <c r="D8" s="11">
        <v>128.11000000000001</v>
      </c>
      <c r="E8" s="11">
        <v>128</v>
      </c>
      <c r="F8" s="11">
        <v>135</v>
      </c>
      <c r="H8" s="13" t="s">
        <v>121</v>
      </c>
      <c r="I8" s="20">
        <v>614</v>
      </c>
      <c r="J8" s="17" t="s">
        <v>538</v>
      </c>
      <c r="K8" s="13" t="s">
        <v>121</v>
      </c>
      <c r="L8" s="20">
        <v>633</v>
      </c>
      <c r="M8" s="17" t="s">
        <v>539</v>
      </c>
    </row>
    <row r="9" spans="2:13" x14ac:dyDescent="0.25">
      <c r="B9" s="296"/>
      <c r="C9" s="297"/>
      <c r="D9" s="297"/>
      <c r="E9" s="297"/>
      <c r="F9" s="11"/>
      <c r="I9" s="3"/>
    </row>
    <row r="10" spans="2:13" x14ac:dyDescent="0.25">
      <c r="B10" s="9" t="s">
        <v>35</v>
      </c>
      <c r="C10" s="302" t="s">
        <v>36</v>
      </c>
      <c r="D10" s="11">
        <v>207.78</v>
      </c>
      <c r="E10" s="11">
        <v>177</v>
      </c>
      <c r="F10" s="11">
        <v>207</v>
      </c>
      <c r="I10" s="3"/>
    </row>
    <row r="11" spans="2:13" x14ac:dyDescent="0.25">
      <c r="B11" s="9" t="s">
        <v>37</v>
      </c>
      <c r="C11" s="300"/>
      <c r="D11" s="11">
        <v>444.11</v>
      </c>
      <c r="E11" s="11">
        <v>417</v>
      </c>
      <c r="F11" s="11">
        <v>448</v>
      </c>
      <c r="I11" s="3"/>
    </row>
    <row r="12" spans="2:13" x14ac:dyDescent="0.25">
      <c r="B12" s="9" t="s">
        <v>38</v>
      </c>
      <c r="C12" s="300"/>
      <c r="D12" s="11">
        <v>579.55999999999995</v>
      </c>
      <c r="E12" s="11">
        <v>478</v>
      </c>
      <c r="F12" s="11">
        <v>506</v>
      </c>
      <c r="I12" s="3"/>
    </row>
    <row r="13" spans="2:13" x14ac:dyDescent="0.25">
      <c r="B13" s="9" t="s">
        <v>39</v>
      </c>
      <c r="C13" s="300"/>
      <c r="D13" s="11">
        <v>746.22</v>
      </c>
      <c r="E13" s="11">
        <v>621</v>
      </c>
      <c r="F13" s="11">
        <v>657</v>
      </c>
      <c r="I13" s="3"/>
    </row>
    <row r="14" spans="2:13" x14ac:dyDescent="0.25">
      <c r="B14" s="49" t="s">
        <v>41</v>
      </c>
      <c r="C14" s="300"/>
      <c r="D14" s="51">
        <v>869.5</v>
      </c>
      <c r="E14" s="51">
        <v>664</v>
      </c>
      <c r="F14" s="11">
        <v>705</v>
      </c>
      <c r="I14" s="3"/>
    </row>
    <row r="15" spans="2:13" x14ac:dyDescent="0.25">
      <c r="B15" s="308"/>
      <c r="C15" s="297"/>
      <c r="D15" s="297"/>
      <c r="E15" s="297"/>
      <c r="F15" s="306"/>
      <c r="I15" s="3"/>
    </row>
    <row r="16" spans="2:13" x14ac:dyDescent="0.25">
      <c r="B16" s="9" t="s">
        <v>46</v>
      </c>
      <c r="C16" s="299" t="s">
        <v>47</v>
      </c>
      <c r="D16" s="11">
        <v>88.4</v>
      </c>
      <c r="E16" s="11">
        <v>76</v>
      </c>
      <c r="F16" s="11">
        <v>83</v>
      </c>
      <c r="I16" s="3"/>
    </row>
    <row r="17" spans="2:15" x14ac:dyDescent="0.25">
      <c r="B17" s="9" t="s">
        <v>48</v>
      </c>
      <c r="C17" s="300"/>
      <c r="D17" s="11">
        <v>94.6</v>
      </c>
      <c r="E17" s="11">
        <v>77</v>
      </c>
      <c r="F17" s="11">
        <v>84</v>
      </c>
      <c r="I17" s="3"/>
      <c r="O17" s="21" t="s">
        <v>540</v>
      </c>
    </row>
    <row r="18" spans="2:15" x14ac:dyDescent="0.25">
      <c r="B18" s="296"/>
      <c r="C18" s="297"/>
      <c r="D18" s="297"/>
      <c r="E18" s="297"/>
      <c r="F18" s="11"/>
      <c r="I18" s="3"/>
    </row>
    <row r="19" spans="2:15" x14ac:dyDescent="0.25">
      <c r="B19" s="9" t="s">
        <v>50</v>
      </c>
      <c r="C19" s="302" t="s">
        <v>51</v>
      </c>
      <c r="D19" s="11">
        <v>271.44400000000002</v>
      </c>
      <c r="E19" s="11">
        <v>247</v>
      </c>
      <c r="F19" s="11">
        <v>271</v>
      </c>
      <c r="I19" s="3"/>
    </row>
    <row r="20" spans="2:15" x14ac:dyDescent="0.25">
      <c r="B20" s="9" t="s">
        <v>54</v>
      </c>
      <c r="C20" s="300"/>
      <c r="D20" s="11">
        <v>550.22199999999998</v>
      </c>
      <c r="E20" s="11">
        <v>277</v>
      </c>
      <c r="F20" s="11">
        <v>304</v>
      </c>
      <c r="I20" s="3"/>
    </row>
    <row r="21" spans="2:15" ht="15.75" customHeight="1" x14ac:dyDescent="0.25">
      <c r="B21" s="9" t="s">
        <v>55</v>
      </c>
      <c r="C21" s="300"/>
      <c r="D21" s="11">
        <v>609</v>
      </c>
      <c r="E21" s="11">
        <v>644</v>
      </c>
      <c r="F21" s="11">
        <v>661</v>
      </c>
      <c r="I21" s="3"/>
    </row>
    <row r="22" spans="2:15" ht="15.75" customHeight="1" x14ac:dyDescent="0.25">
      <c r="B22" s="9" t="s">
        <v>56</v>
      </c>
      <c r="C22" s="300"/>
      <c r="D22" s="11">
        <v>739.11099999999999</v>
      </c>
      <c r="E22" s="11">
        <v>693</v>
      </c>
      <c r="F22" s="11">
        <v>712</v>
      </c>
      <c r="I22" s="3"/>
    </row>
    <row r="23" spans="2:15" ht="15.75" customHeight="1" x14ac:dyDescent="0.25">
      <c r="B23" s="49" t="s">
        <v>57</v>
      </c>
      <c r="C23" s="300"/>
      <c r="D23" s="51">
        <v>746.88900000000001</v>
      </c>
      <c r="E23" s="51">
        <v>369</v>
      </c>
      <c r="F23" s="11">
        <v>609</v>
      </c>
      <c r="I23" s="3"/>
    </row>
    <row r="24" spans="2:15" ht="15.75" customHeight="1" x14ac:dyDescent="0.25">
      <c r="B24" s="308"/>
      <c r="C24" s="297"/>
      <c r="D24" s="297"/>
      <c r="E24" s="297"/>
      <c r="F24" s="306"/>
      <c r="I24" s="3"/>
    </row>
    <row r="25" spans="2:15" ht="15.75" customHeight="1" x14ac:dyDescent="0.25">
      <c r="B25" s="9" t="s">
        <v>60</v>
      </c>
      <c r="C25" s="299" t="s">
        <v>62</v>
      </c>
      <c r="D25" s="11">
        <v>19.36</v>
      </c>
      <c r="E25" s="11">
        <v>16</v>
      </c>
      <c r="F25" s="11">
        <v>18</v>
      </c>
      <c r="I25" s="3"/>
    </row>
    <row r="26" spans="2:15" ht="15.75" customHeight="1" x14ac:dyDescent="0.25">
      <c r="B26" s="9" t="s">
        <v>64</v>
      </c>
      <c r="C26" s="300"/>
      <c r="D26" s="11">
        <v>33.31</v>
      </c>
      <c r="E26" s="11">
        <v>35</v>
      </c>
      <c r="F26" s="11">
        <v>38</v>
      </c>
      <c r="I26" s="3"/>
    </row>
    <row r="27" spans="2:15" ht="15.75" customHeight="1" x14ac:dyDescent="0.25">
      <c r="B27" s="9" t="s">
        <v>65</v>
      </c>
      <c r="C27" s="301"/>
      <c r="D27" s="11">
        <v>41.74</v>
      </c>
      <c r="E27" s="11">
        <v>19</v>
      </c>
      <c r="F27" s="11">
        <v>21</v>
      </c>
      <c r="I27" s="3"/>
    </row>
    <row r="28" spans="2:15" ht="15.75" customHeight="1" x14ac:dyDescent="0.25">
      <c r="B28" s="296"/>
      <c r="C28" s="297"/>
      <c r="D28" s="297"/>
      <c r="E28" s="297"/>
      <c r="F28" s="11"/>
      <c r="I28" s="3"/>
    </row>
    <row r="29" spans="2:15" ht="15.75" customHeight="1" x14ac:dyDescent="0.25">
      <c r="B29" s="9" t="s">
        <v>66</v>
      </c>
      <c r="C29" s="302" t="s">
        <v>68</v>
      </c>
      <c r="D29" s="11">
        <v>204.5</v>
      </c>
      <c r="E29" s="11">
        <v>195</v>
      </c>
      <c r="F29" s="11">
        <v>210</v>
      </c>
      <c r="I29" s="3"/>
    </row>
    <row r="30" spans="2:15" ht="15.75" customHeight="1" x14ac:dyDescent="0.25">
      <c r="B30" s="49" t="s">
        <v>69</v>
      </c>
      <c r="C30" s="300"/>
      <c r="D30" s="51">
        <v>277.7</v>
      </c>
      <c r="E30" s="51">
        <v>251</v>
      </c>
      <c r="F30" s="11">
        <v>268</v>
      </c>
      <c r="I30" s="3"/>
    </row>
    <row r="31" spans="2:15" ht="15.75" customHeight="1" x14ac:dyDescent="0.25">
      <c r="B31" s="305"/>
      <c r="C31" s="297"/>
      <c r="D31" s="297"/>
      <c r="E31" s="297"/>
      <c r="F31" s="306"/>
      <c r="I31" s="3"/>
    </row>
    <row r="32" spans="2:15" ht="15.75" customHeight="1" x14ac:dyDescent="0.25">
      <c r="B32" s="9" t="s">
        <v>69</v>
      </c>
      <c r="C32" s="299" t="s">
        <v>71</v>
      </c>
      <c r="D32" s="11">
        <v>10.283300000000001</v>
      </c>
      <c r="E32" s="11">
        <v>7</v>
      </c>
      <c r="F32" s="11">
        <v>9</v>
      </c>
      <c r="I32" s="3"/>
    </row>
    <row r="33" spans="2:9" ht="15.75" customHeight="1" x14ac:dyDescent="0.25">
      <c r="B33" s="9" t="s">
        <v>72</v>
      </c>
      <c r="C33" s="300"/>
      <c r="D33" s="11">
        <v>11.8833</v>
      </c>
      <c r="E33" s="11">
        <v>6</v>
      </c>
      <c r="F33" s="11">
        <v>10</v>
      </c>
      <c r="I33" s="3"/>
    </row>
    <row r="34" spans="2:9" ht="15.75" customHeight="1" x14ac:dyDescent="0.25">
      <c r="B34" s="9" t="s">
        <v>73</v>
      </c>
      <c r="C34" s="301"/>
      <c r="D34" s="11">
        <v>17.433299999999999</v>
      </c>
      <c r="E34" s="11">
        <v>10</v>
      </c>
      <c r="F34" s="11">
        <v>18</v>
      </c>
      <c r="I34" s="3"/>
    </row>
    <row r="35" spans="2:9" ht="15.75" customHeight="1" x14ac:dyDescent="0.25">
      <c r="B35" s="296"/>
      <c r="C35" s="297"/>
      <c r="D35" s="297"/>
      <c r="E35" s="297"/>
      <c r="F35" s="11"/>
      <c r="I35" s="3"/>
    </row>
    <row r="36" spans="2:9" ht="15.75" customHeight="1" x14ac:dyDescent="0.25">
      <c r="B36" s="9" t="s">
        <v>76</v>
      </c>
      <c r="C36" s="302" t="s">
        <v>77</v>
      </c>
      <c r="D36" s="11">
        <v>117.467</v>
      </c>
      <c r="E36" s="11">
        <v>164</v>
      </c>
      <c r="F36" s="11">
        <v>175</v>
      </c>
      <c r="I36" s="3"/>
    </row>
    <row r="37" spans="2:9" ht="15.75" customHeight="1" x14ac:dyDescent="0.25">
      <c r="B37" s="9" t="s">
        <v>78</v>
      </c>
      <c r="C37" s="300"/>
      <c r="D37" s="11">
        <v>187.833</v>
      </c>
      <c r="E37" s="11">
        <v>126</v>
      </c>
      <c r="F37" s="11">
        <v>134</v>
      </c>
      <c r="I37" s="3"/>
    </row>
    <row r="38" spans="2:9" ht="15.75" customHeight="1" x14ac:dyDescent="0.25">
      <c r="B38" s="9" t="s">
        <v>79</v>
      </c>
      <c r="C38" s="300"/>
      <c r="D38" s="11">
        <v>218.333</v>
      </c>
      <c r="E38" s="11">
        <v>215</v>
      </c>
      <c r="F38" s="11">
        <v>228</v>
      </c>
      <c r="I38" s="3"/>
    </row>
    <row r="39" spans="2:9" ht="15.75" customHeight="1" x14ac:dyDescent="0.25">
      <c r="B39" s="49" t="s">
        <v>80</v>
      </c>
      <c r="C39" s="300"/>
      <c r="D39" s="51">
        <v>238.5</v>
      </c>
      <c r="E39" s="51">
        <v>91</v>
      </c>
      <c r="F39" s="11">
        <v>99</v>
      </c>
      <c r="I39" s="3"/>
    </row>
    <row r="40" spans="2:9" ht="15.75" customHeight="1" x14ac:dyDescent="0.25">
      <c r="B40" s="305"/>
      <c r="C40" s="297"/>
      <c r="D40" s="297"/>
      <c r="E40" s="297"/>
      <c r="F40" s="306"/>
      <c r="I40" s="3"/>
    </row>
    <row r="41" spans="2:9" ht="15.75" customHeight="1" x14ac:dyDescent="0.25">
      <c r="B41" s="9" t="s">
        <v>81</v>
      </c>
      <c r="C41" s="299" t="s">
        <v>82</v>
      </c>
      <c r="D41" s="11">
        <v>2</v>
      </c>
      <c r="E41" s="11">
        <v>2</v>
      </c>
      <c r="F41" s="11">
        <v>2</v>
      </c>
      <c r="I41" s="3"/>
    </row>
    <row r="42" spans="2:9" ht="15.75" customHeight="1" x14ac:dyDescent="0.25">
      <c r="B42" s="9" t="s">
        <v>83</v>
      </c>
      <c r="C42" s="300"/>
      <c r="D42" s="11">
        <v>7.133</v>
      </c>
      <c r="E42" s="11">
        <v>2</v>
      </c>
      <c r="F42" s="11">
        <v>8</v>
      </c>
      <c r="I42" s="3"/>
    </row>
    <row r="43" spans="2:9" ht="15.75" customHeight="1" x14ac:dyDescent="0.25">
      <c r="B43" s="9" t="s">
        <v>84</v>
      </c>
      <c r="C43" s="301"/>
      <c r="D43" s="11">
        <v>10.72</v>
      </c>
      <c r="E43" s="11">
        <v>2</v>
      </c>
      <c r="F43" s="11">
        <v>2</v>
      </c>
      <c r="I43" s="3"/>
    </row>
    <row r="44" spans="2:9" ht="15.75" customHeight="1" x14ac:dyDescent="0.25">
      <c r="B44" s="296"/>
      <c r="C44" s="297"/>
      <c r="D44" s="297"/>
      <c r="E44" s="297"/>
      <c r="F44" s="11"/>
      <c r="I44" s="3"/>
    </row>
    <row r="45" spans="2:9" ht="15.75" customHeight="1" x14ac:dyDescent="0.25">
      <c r="B45" s="9" t="s">
        <v>86</v>
      </c>
      <c r="C45" s="302" t="s">
        <v>87</v>
      </c>
      <c r="D45" s="11">
        <v>20.466999999999999</v>
      </c>
      <c r="E45" s="11">
        <v>20</v>
      </c>
      <c r="F45" s="11">
        <v>21</v>
      </c>
      <c r="I45" s="3"/>
    </row>
    <row r="46" spans="2:9" ht="15.75" customHeight="1" x14ac:dyDescent="0.25">
      <c r="B46" s="49" t="s">
        <v>88</v>
      </c>
      <c r="C46" s="300"/>
      <c r="D46" s="51">
        <v>20.367000000000001</v>
      </c>
      <c r="E46" s="51">
        <v>20</v>
      </c>
      <c r="F46" s="11">
        <v>21</v>
      </c>
      <c r="I46" s="3"/>
    </row>
    <row r="47" spans="2:9" ht="15.75" customHeight="1" x14ac:dyDescent="0.25">
      <c r="B47" s="305"/>
      <c r="C47" s="297"/>
      <c r="D47" s="297"/>
      <c r="E47" s="297"/>
      <c r="F47" s="306"/>
      <c r="I47" s="3"/>
    </row>
    <row r="48" spans="2:9" ht="15.75" customHeight="1" x14ac:dyDescent="0.25">
      <c r="B48" s="9" t="s">
        <v>89</v>
      </c>
      <c r="C48" s="299" t="s">
        <v>90</v>
      </c>
      <c r="D48" s="11">
        <v>5.15</v>
      </c>
      <c r="E48" s="11">
        <v>7</v>
      </c>
      <c r="F48" s="11">
        <v>7</v>
      </c>
      <c r="I48" s="3"/>
    </row>
    <row r="49" spans="2:12" ht="15.75" customHeight="1" x14ac:dyDescent="0.25">
      <c r="B49" s="9" t="s">
        <v>91</v>
      </c>
      <c r="C49" s="300"/>
      <c r="D49" s="11">
        <v>16.2</v>
      </c>
      <c r="E49" s="11">
        <v>6</v>
      </c>
      <c r="F49" s="11">
        <v>7</v>
      </c>
      <c r="I49" s="3"/>
    </row>
    <row r="50" spans="2:12" ht="15.75" customHeight="1" x14ac:dyDescent="0.25">
      <c r="B50" s="49" t="s">
        <v>92</v>
      </c>
      <c r="C50" s="300"/>
      <c r="D50" s="51">
        <v>17.260000000000002</v>
      </c>
      <c r="E50" s="51"/>
      <c r="F50" s="11"/>
      <c r="I50" s="3"/>
    </row>
    <row r="51" spans="2:12" ht="15.75" customHeight="1" x14ac:dyDescent="0.25">
      <c r="B51" s="296"/>
      <c r="C51" s="297"/>
      <c r="D51" s="297"/>
      <c r="E51" s="297"/>
      <c r="F51" s="297"/>
      <c r="I51" s="3"/>
    </row>
    <row r="52" spans="2:12" ht="15.75" customHeight="1" x14ac:dyDescent="0.25">
      <c r="B52" s="9" t="s">
        <v>94</v>
      </c>
      <c r="C52" s="299" t="s">
        <v>95</v>
      </c>
      <c r="D52" s="11">
        <v>50.082999999999998</v>
      </c>
      <c r="E52" s="11">
        <v>49</v>
      </c>
      <c r="F52" s="11">
        <v>51</v>
      </c>
      <c r="I52" s="3"/>
    </row>
    <row r="53" spans="2:12" ht="15.75" customHeight="1" x14ac:dyDescent="0.25">
      <c r="B53" s="9" t="s">
        <v>96</v>
      </c>
      <c r="C53" s="300"/>
      <c r="D53" s="11">
        <v>93.992999999999995</v>
      </c>
      <c r="E53" s="11">
        <v>56</v>
      </c>
      <c r="F53" s="11">
        <v>114</v>
      </c>
      <c r="I53" s="3"/>
    </row>
    <row r="54" spans="2:12" ht="15.75" customHeight="1" x14ac:dyDescent="0.25">
      <c r="B54" s="9" t="s">
        <v>97</v>
      </c>
      <c r="C54" s="300"/>
      <c r="D54" s="11">
        <v>95.516999999999996</v>
      </c>
      <c r="E54" s="11">
        <v>50</v>
      </c>
      <c r="F54" s="11">
        <v>53</v>
      </c>
      <c r="I54" s="3"/>
    </row>
    <row r="55" spans="2:12" ht="15.75" customHeight="1" x14ac:dyDescent="0.25">
      <c r="B55" s="9" t="s">
        <v>98</v>
      </c>
      <c r="C55" s="300"/>
      <c r="D55" s="11">
        <v>100.92</v>
      </c>
      <c r="E55" s="11">
        <v>113</v>
      </c>
      <c r="F55" s="11">
        <v>116</v>
      </c>
      <c r="I55" s="3"/>
    </row>
    <row r="56" spans="2:12" ht="15.75" customHeight="1" x14ac:dyDescent="0.25">
      <c r="B56" s="9" t="s">
        <v>99</v>
      </c>
      <c r="C56" s="301"/>
      <c r="D56" s="11">
        <v>115.37</v>
      </c>
      <c r="E56" s="11">
        <v>56</v>
      </c>
      <c r="F56" s="11">
        <v>114</v>
      </c>
      <c r="I56" s="3"/>
    </row>
    <row r="57" spans="2:12" ht="15.75" customHeight="1" x14ac:dyDescent="0.25">
      <c r="B57" s="1"/>
      <c r="C57" s="1"/>
      <c r="D57" s="2"/>
      <c r="E57" s="2"/>
      <c r="F57" s="146"/>
      <c r="I57" s="3"/>
    </row>
    <row r="58" spans="2:12" ht="15.75" customHeight="1" x14ac:dyDescent="0.25">
      <c r="B58" s="1"/>
      <c r="C58" s="1"/>
      <c r="D58" s="2"/>
      <c r="E58" s="2"/>
      <c r="F58" s="146"/>
      <c r="I58" s="3"/>
    </row>
    <row r="59" spans="2:12" ht="15.75" customHeight="1" x14ac:dyDescent="0.2"/>
    <row r="60" spans="2:12" ht="15.75" customHeight="1" x14ac:dyDescent="0.2"/>
    <row r="61" spans="2:12" ht="15.75" customHeight="1" x14ac:dyDescent="0.2"/>
    <row r="62" spans="2:12" ht="15.75" customHeight="1" x14ac:dyDescent="0.25">
      <c r="B62" s="28" t="s">
        <v>551</v>
      </c>
      <c r="C62" s="28"/>
      <c r="D62" s="28"/>
      <c r="E62" s="28"/>
      <c r="F62" s="28"/>
      <c r="G62" s="28"/>
      <c r="H62" s="28"/>
      <c r="I62" s="28"/>
      <c r="J62" s="28"/>
      <c r="K62" s="28"/>
      <c r="L62" s="28"/>
    </row>
    <row r="63" spans="2:12" ht="15.75" customHeight="1" x14ac:dyDescent="0.25">
      <c r="B63" s="28"/>
      <c r="C63" s="23"/>
      <c r="D63" s="23"/>
      <c r="E63" s="23"/>
      <c r="F63" s="23"/>
      <c r="G63" s="23"/>
      <c r="H63" s="28"/>
      <c r="I63" s="28"/>
      <c r="J63" s="28"/>
      <c r="K63" s="28"/>
      <c r="L63" s="28"/>
    </row>
    <row r="64" spans="2:12" ht="15.75" customHeight="1" x14ac:dyDescent="0.25">
      <c r="B64" s="332" t="s">
        <v>552</v>
      </c>
      <c r="C64" s="297"/>
      <c r="D64" s="297"/>
      <c r="E64" s="297"/>
      <c r="F64" s="297"/>
      <c r="G64" s="298"/>
    </row>
    <row r="65" spans="1:14" ht="15.75" customHeight="1" x14ac:dyDescent="0.2">
      <c r="B65" s="4" t="s">
        <v>0</v>
      </c>
      <c r="C65" s="5" t="s">
        <v>1</v>
      </c>
      <c r="D65" s="5" t="s">
        <v>42</v>
      </c>
      <c r="E65" s="5" t="s">
        <v>43</v>
      </c>
      <c r="F65" s="5" t="s">
        <v>44</v>
      </c>
      <c r="G65" s="7" t="s">
        <v>206</v>
      </c>
      <c r="I65" s="296" t="s">
        <v>45</v>
      </c>
      <c r="J65" s="297"/>
      <c r="K65" s="297"/>
      <c r="L65" s="298"/>
    </row>
    <row r="66" spans="1:14" ht="15.75" customHeight="1" x14ac:dyDescent="0.2">
      <c r="B66" s="310" t="s">
        <v>275</v>
      </c>
      <c r="C66" s="297"/>
      <c r="D66" s="297"/>
      <c r="E66" s="297"/>
      <c r="F66" s="297"/>
      <c r="G66" s="298"/>
      <c r="I66" s="305" t="s">
        <v>275</v>
      </c>
      <c r="J66" s="297"/>
      <c r="K66" s="297"/>
      <c r="L66" s="298"/>
    </row>
    <row r="67" spans="1:14" ht="15.75" customHeight="1" x14ac:dyDescent="0.2">
      <c r="B67" s="9" t="s">
        <v>11</v>
      </c>
      <c r="C67" s="12" t="s">
        <v>12</v>
      </c>
      <c r="D67" s="17">
        <v>620</v>
      </c>
      <c r="E67" s="22">
        <v>620</v>
      </c>
      <c r="F67" s="11">
        <v>710</v>
      </c>
      <c r="G67" s="110">
        <f>((E67-F67)/E67)</f>
        <v>-0.14516129032258066</v>
      </c>
      <c r="I67" s="12"/>
      <c r="J67" s="12" t="s">
        <v>52</v>
      </c>
      <c r="K67" s="12" t="s">
        <v>53</v>
      </c>
      <c r="L67" s="12"/>
    </row>
    <row r="68" spans="1:14" ht="15.75" customHeight="1" x14ac:dyDescent="0.2">
      <c r="B68" s="9" t="s">
        <v>11</v>
      </c>
      <c r="C68" s="12" t="s">
        <v>18</v>
      </c>
      <c r="D68" s="17">
        <v>0</v>
      </c>
      <c r="E68" s="22">
        <v>0</v>
      </c>
      <c r="F68" s="11">
        <v>0</v>
      </c>
      <c r="G68" s="110">
        <v>0</v>
      </c>
      <c r="I68" s="12" t="s">
        <v>12</v>
      </c>
      <c r="J68" s="17">
        <v>620</v>
      </c>
      <c r="K68" s="11">
        <v>710</v>
      </c>
      <c r="L68" s="17" t="s">
        <v>557</v>
      </c>
    </row>
    <row r="69" spans="1:14" ht="15.75" customHeight="1" x14ac:dyDescent="0.2">
      <c r="B69" s="9" t="s">
        <v>21</v>
      </c>
      <c r="C69" s="12" t="s">
        <v>59</v>
      </c>
      <c r="D69" s="17">
        <v>440</v>
      </c>
      <c r="E69" s="22">
        <v>620</v>
      </c>
      <c r="F69" s="11">
        <v>442</v>
      </c>
      <c r="G69" s="110">
        <f t="shared" ref="G69:G70" si="0">((E69-F69)/E69)</f>
        <v>0.2870967741935484</v>
      </c>
      <c r="I69" s="12" t="s">
        <v>18</v>
      </c>
      <c r="J69" s="24">
        <v>0</v>
      </c>
      <c r="K69" s="25">
        <v>0</v>
      </c>
      <c r="L69" s="24" t="s">
        <v>558</v>
      </c>
    </row>
    <row r="70" spans="1:14" ht="15.75" customHeight="1" x14ac:dyDescent="0.2">
      <c r="B70" s="12" t="s">
        <v>21</v>
      </c>
      <c r="C70" s="12" t="s">
        <v>63</v>
      </c>
      <c r="D70" s="24">
        <v>160</v>
      </c>
      <c r="E70" s="26">
        <v>325</v>
      </c>
      <c r="F70" s="25">
        <v>175</v>
      </c>
      <c r="G70" s="148">
        <f t="shared" si="0"/>
        <v>0.46153846153846156</v>
      </c>
      <c r="I70" s="330"/>
      <c r="J70" s="315"/>
      <c r="K70" s="315"/>
      <c r="L70" s="315"/>
    </row>
    <row r="71" spans="1:14" ht="15.75" customHeight="1" x14ac:dyDescent="0.25">
      <c r="A71" s="28"/>
      <c r="B71" s="329"/>
      <c r="C71" s="315"/>
      <c r="D71" s="315"/>
      <c r="E71" s="315"/>
      <c r="F71" s="315"/>
      <c r="G71" s="315"/>
      <c r="H71" s="28"/>
      <c r="I71" s="27"/>
      <c r="J71" s="27"/>
      <c r="K71" s="31"/>
      <c r="L71" s="27"/>
      <c r="M71" s="28"/>
      <c r="N71" s="28"/>
    </row>
    <row r="72" spans="1:14" ht="15.75" customHeight="1" x14ac:dyDescent="0.25">
      <c r="A72" s="28"/>
      <c r="B72" s="27"/>
      <c r="C72" s="27"/>
      <c r="D72" s="27"/>
      <c r="E72" s="38"/>
      <c r="F72" s="38"/>
      <c r="G72" s="149"/>
      <c r="H72" s="28"/>
      <c r="I72" s="27"/>
      <c r="J72" s="27"/>
      <c r="K72" s="31"/>
      <c r="L72" s="27"/>
      <c r="M72" s="28"/>
    </row>
    <row r="73" spans="1:14" ht="15.75" customHeight="1" x14ac:dyDescent="0.25">
      <c r="A73" s="28"/>
      <c r="B73" s="27"/>
      <c r="C73" s="27"/>
      <c r="D73" s="27"/>
      <c r="E73" s="38"/>
      <c r="F73" s="38"/>
      <c r="G73" s="149"/>
      <c r="H73" s="28"/>
      <c r="I73" s="28"/>
      <c r="J73" s="28"/>
      <c r="K73" s="28"/>
      <c r="L73" s="28"/>
      <c r="M73" s="28"/>
    </row>
    <row r="74" spans="1:14" ht="15.75" customHeight="1" x14ac:dyDescent="0.2"/>
    <row r="75" spans="1:14" ht="15.75" customHeight="1" x14ac:dyDescent="0.2"/>
    <row r="76" spans="1:14" ht="15.75" customHeight="1" x14ac:dyDescent="0.2"/>
    <row r="77" spans="1:14" ht="15.75" customHeight="1" x14ac:dyDescent="0.2"/>
    <row r="78" spans="1:14" ht="15.75" customHeight="1" x14ac:dyDescent="0.2"/>
    <row r="79" spans="1:14" ht="15.75" customHeight="1" x14ac:dyDescent="0.2"/>
    <row r="80" spans="1:14"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3">
    <mergeCell ref="B71:G71"/>
    <mergeCell ref="C29:C30"/>
    <mergeCell ref="B31:F31"/>
    <mergeCell ref="C32:C34"/>
    <mergeCell ref="B35:E35"/>
    <mergeCell ref="C36:C39"/>
    <mergeCell ref="B40:F40"/>
    <mergeCell ref="B44:E44"/>
    <mergeCell ref="B64:G64"/>
    <mergeCell ref="I65:L65"/>
    <mergeCell ref="B66:G66"/>
    <mergeCell ref="I66:L66"/>
    <mergeCell ref="I70:L70"/>
    <mergeCell ref="C45:C46"/>
    <mergeCell ref="C48:C50"/>
    <mergeCell ref="C52:C56"/>
    <mergeCell ref="B47:F47"/>
    <mergeCell ref="B51:F51"/>
    <mergeCell ref="C19:C23"/>
    <mergeCell ref="B24:F24"/>
    <mergeCell ref="C25:C27"/>
    <mergeCell ref="B28:E28"/>
    <mergeCell ref="C41:C43"/>
    <mergeCell ref="B9:E9"/>
    <mergeCell ref="B15:F15"/>
    <mergeCell ref="C10:C14"/>
    <mergeCell ref="C16:C17"/>
    <mergeCell ref="B18:E18"/>
    <mergeCell ref="B2:E2"/>
    <mergeCell ref="H3:M3"/>
    <mergeCell ref="C4:C8"/>
    <mergeCell ref="H4:J4"/>
    <mergeCell ref="K4:M4"/>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Z1000"/>
  <sheetViews>
    <sheetView workbookViewId="0"/>
  </sheetViews>
  <sheetFormatPr baseColWidth="10" defaultColWidth="12.625" defaultRowHeight="15" customHeight="1" x14ac:dyDescent="0.2"/>
  <cols>
    <col min="1" max="2" width="10" customWidth="1"/>
    <col min="3" max="3" width="12.875" customWidth="1"/>
    <col min="4" max="26" width="10" customWidth="1"/>
  </cols>
  <sheetData>
    <row r="3" spans="2:13" x14ac:dyDescent="0.25">
      <c r="B3" s="304" t="s">
        <v>519</v>
      </c>
      <c r="C3" s="297"/>
      <c r="D3" s="297"/>
      <c r="E3" s="297"/>
      <c r="F3" s="298"/>
      <c r="I3" s="3"/>
    </row>
    <row r="4" spans="2:13" ht="24" x14ac:dyDescent="0.2">
      <c r="B4" s="4" t="s">
        <v>0</v>
      </c>
      <c r="C4" s="5" t="s">
        <v>1</v>
      </c>
      <c r="D4" s="5" t="s">
        <v>2</v>
      </c>
      <c r="E4" s="5" t="s">
        <v>43</v>
      </c>
      <c r="F4" s="45" t="s">
        <v>125</v>
      </c>
      <c r="H4" s="296" t="s">
        <v>6</v>
      </c>
      <c r="I4" s="297"/>
      <c r="J4" s="297"/>
      <c r="K4" s="297"/>
      <c r="L4" s="297"/>
      <c r="M4" s="298"/>
    </row>
    <row r="5" spans="2:13" ht="14.25" x14ac:dyDescent="0.2">
      <c r="B5" s="9" t="s">
        <v>7</v>
      </c>
      <c r="C5" s="302" t="s">
        <v>9</v>
      </c>
      <c r="D5" s="11">
        <v>28.1</v>
      </c>
      <c r="E5" s="11"/>
      <c r="F5" s="11">
        <v>28</v>
      </c>
      <c r="H5" s="296" t="s">
        <v>106</v>
      </c>
      <c r="I5" s="297"/>
      <c r="J5" s="298"/>
      <c r="K5" s="296" t="s">
        <v>107</v>
      </c>
      <c r="L5" s="297"/>
      <c r="M5" s="298"/>
    </row>
    <row r="6" spans="2:13" ht="14.25" x14ac:dyDescent="0.2">
      <c r="B6" s="9" t="s">
        <v>17</v>
      </c>
      <c r="C6" s="300"/>
      <c r="D6" s="11">
        <v>63.911000000000001</v>
      </c>
      <c r="E6" s="11"/>
      <c r="F6" s="11">
        <v>33</v>
      </c>
      <c r="H6" s="13" t="s">
        <v>13</v>
      </c>
      <c r="I6" s="14"/>
      <c r="J6" s="17" t="s">
        <v>523</v>
      </c>
      <c r="K6" s="13" t="s">
        <v>13</v>
      </c>
      <c r="L6" s="14">
        <f>L8+L8*0.05</f>
        <v>819</v>
      </c>
      <c r="M6" s="17" t="s">
        <v>525</v>
      </c>
    </row>
    <row r="7" spans="2:13" ht="14.25" x14ac:dyDescent="0.2">
      <c r="B7" s="9" t="s">
        <v>26</v>
      </c>
      <c r="C7" s="300"/>
      <c r="D7" s="11">
        <v>69.921999999999997</v>
      </c>
      <c r="E7" s="11"/>
      <c r="F7" s="11">
        <v>34</v>
      </c>
      <c r="H7" s="13" t="s">
        <v>19</v>
      </c>
      <c r="I7" s="18"/>
      <c r="J7" s="17" t="s">
        <v>527</v>
      </c>
      <c r="K7" s="13" t="s">
        <v>19</v>
      </c>
      <c r="L7" s="18">
        <f>L8-L8*0.05</f>
        <v>741</v>
      </c>
      <c r="M7" s="17" t="s">
        <v>529</v>
      </c>
    </row>
    <row r="8" spans="2:13" ht="14.25" x14ac:dyDescent="0.2">
      <c r="B8" s="9" t="s">
        <v>32</v>
      </c>
      <c r="C8" s="300"/>
      <c r="D8" s="11">
        <v>96.744</v>
      </c>
      <c r="E8" s="11"/>
      <c r="F8" s="11">
        <v>93</v>
      </c>
      <c r="H8" s="13" t="s">
        <v>27</v>
      </c>
      <c r="I8" s="20"/>
      <c r="J8" s="17" t="s">
        <v>531</v>
      </c>
      <c r="K8" s="13" t="s">
        <v>27</v>
      </c>
      <c r="L8" s="20">
        <v>780</v>
      </c>
      <c r="M8" s="17" t="s">
        <v>532</v>
      </c>
    </row>
    <row r="9" spans="2:13" ht="14.25" x14ac:dyDescent="0.2">
      <c r="B9" s="9" t="s">
        <v>33</v>
      </c>
      <c r="C9" s="301"/>
      <c r="D9" s="11">
        <v>128.11000000000001</v>
      </c>
      <c r="E9" s="11"/>
      <c r="F9" s="11"/>
      <c r="H9" s="13" t="s">
        <v>121</v>
      </c>
      <c r="I9" s="20"/>
      <c r="J9" s="17" t="s">
        <v>536</v>
      </c>
      <c r="K9" s="13" t="s">
        <v>121</v>
      </c>
      <c r="L9" s="20">
        <v>782</v>
      </c>
      <c r="M9" s="17" t="s">
        <v>537</v>
      </c>
    </row>
    <row r="10" spans="2:13" x14ac:dyDescent="0.25">
      <c r="B10" s="296"/>
      <c r="C10" s="297"/>
      <c r="D10" s="297"/>
      <c r="E10" s="297"/>
      <c r="F10" s="11"/>
      <c r="I10" s="3"/>
    </row>
    <row r="11" spans="2:13" x14ac:dyDescent="0.25">
      <c r="B11" s="9" t="s">
        <v>35</v>
      </c>
      <c r="C11" s="302" t="s">
        <v>36</v>
      </c>
      <c r="D11" s="11">
        <v>207.78</v>
      </c>
      <c r="E11" s="11"/>
      <c r="F11" s="11">
        <v>207</v>
      </c>
      <c r="I11" s="3"/>
    </row>
    <row r="12" spans="2:13" x14ac:dyDescent="0.25">
      <c r="B12" s="9" t="s">
        <v>37</v>
      </c>
      <c r="C12" s="300"/>
      <c r="D12" s="11">
        <v>444.11</v>
      </c>
      <c r="E12" s="11"/>
      <c r="F12" s="11">
        <v>392</v>
      </c>
      <c r="I12" s="3"/>
    </row>
    <row r="13" spans="2:13" x14ac:dyDescent="0.25">
      <c r="B13" s="9" t="s">
        <v>38</v>
      </c>
      <c r="C13" s="300"/>
      <c r="D13" s="11">
        <v>579.55999999999995</v>
      </c>
      <c r="E13" s="11"/>
      <c r="F13" s="11">
        <v>551</v>
      </c>
      <c r="I13" s="3"/>
    </row>
    <row r="14" spans="2:13" x14ac:dyDescent="0.25">
      <c r="B14" s="9" t="s">
        <v>39</v>
      </c>
      <c r="C14" s="300"/>
      <c r="D14" s="11">
        <v>746.22</v>
      </c>
      <c r="E14" s="11"/>
      <c r="F14" s="11">
        <v>740</v>
      </c>
      <c r="I14" s="3"/>
    </row>
    <row r="15" spans="2:13" x14ac:dyDescent="0.25">
      <c r="B15" s="49" t="s">
        <v>41</v>
      </c>
      <c r="C15" s="300"/>
      <c r="D15" s="51">
        <v>869.5</v>
      </c>
      <c r="E15" s="51"/>
      <c r="F15" s="51">
        <v>750</v>
      </c>
      <c r="I15" s="3"/>
    </row>
    <row r="16" spans="2:13" x14ac:dyDescent="0.25">
      <c r="B16" s="308"/>
      <c r="C16" s="297"/>
      <c r="D16" s="297"/>
      <c r="E16" s="297"/>
      <c r="F16" s="306"/>
      <c r="I16" s="3"/>
    </row>
    <row r="17" spans="2:9" x14ac:dyDescent="0.25">
      <c r="B17" s="9" t="s">
        <v>46</v>
      </c>
      <c r="C17" s="299" t="s">
        <v>47</v>
      </c>
      <c r="D17" s="11">
        <v>88.4</v>
      </c>
      <c r="E17" s="11"/>
      <c r="F17" s="11">
        <v>98</v>
      </c>
      <c r="I17" s="3"/>
    </row>
    <row r="18" spans="2:9" x14ac:dyDescent="0.25">
      <c r="B18" s="9" t="s">
        <v>48</v>
      </c>
      <c r="C18" s="300"/>
      <c r="D18" s="11">
        <v>94.6</v>
      </c>
      <c r="E18" s="11"/>
      <c r="F18" s="11">
        <v>96</v>
      </c>
      <c r="I18" s="3"/>
    </row>
    <row r="19" spans="2:9" x14ac:dyDescent="0.25">
      <c r="B19" s="296"/>
      <c r="C19" s="297"/>
      <c r="D19" s="297"/>
      <c r="E19" s="297"/>
      <c r="F19" s="11"/>
      <c r="I19" s="3"/>
    </row>
    <row r="20" spans="2:9" x14ac:dyDescent="0.25">
      <c r="B20" s="9" t="s">
        <v>50</v>
      </c>
      <c r="C20" s="302" t="s">
        <v>51</v>
      </c>
      <c r="D20" s="11">
        <v>271.44400000000002</v>
      </c>
      <c r="E20" s="11"/>
      <c r="F20" s="11">
        <v>228</v>
      </c>
      <c r="I20" s="3"/>
    </row>
    <row r="21" spans="2:9" ht="15.75" customHeight="1" x14ac:dyDescent="0.25">
      <c r="B21" s="9" t="s">
        <v>54</v>
      </c>
      <c r="C21" s="300"/>
      <c r="D21" s="11">
        <v>550.22199999999998</v>
      </c>
      <c r="E21" s="11"/>
      <c r="F21" s="11">
        <v>541</v>
      </c>
      <c r="I21" s="3"/>
    </row>
    <row r="22" spans="2:9" ht="15.75" customHeight="1" x14ac:dyDescent="0.25">
      <c r="B22" s="9" t="s">
        <v>55</v>
      </c>
      <c r="C22" s="300"/>
      <c r="D22" s="11">
        <v>609</v>
      </c>
      <c r="E22" s="11"/>
      <c r="F22" s="11">
        <v>637</v>
      </c>
      <c r="I22" s="3"/>
    </row>
    <row r="23" spans="2:9" ht="15.75" customHeight="1" x14ac:dyDescent="0.25">
      <c r="B23" s="9" t="s">
        <v>56</v>
      </c>
      <c r="C23" s="300"/>
      <c r="D23" s="11">
        <v>739.11099999999999</v>
      </c>
      <c r="E23" s="11"/>
      <c r="F23" s="11">
        <v>733</v>
      </c>
      <c r="I23" s="3"/>
    </row>
    <row r="24" spans="2:9" ht="15.75" customHeight="1" x14ac:dyDescent="0.25">
      <c r="B24" s="49" t="s">
        <v>57</v>
      </c>
      <c r="C24" s="300"/>
      <c r="D24" s="51">
        <v>746.88900000000001</v>
      </c>
      <c r="E24" s="51"/>
      <c r="F24" s="51">
        <v>583</v>
      </c>
      <c r="I24" s="3"/>
    </row>
    <row r="25" spans="2:9" ht="15.75" customHeight="1" x14ac:dyDescent="0.25">
      <c r="B25" s="308"/>
      <c r="C25" s="297"/>
      <c r="D25" s="297"/>
      <c r="E25" s="297"/>
      <c r="F25" s="306"/>
      <c r="I25" s="3"/>
    </row>
    <row r="26" spans="2:9" ht="15.75" customHeight="1" x14ac:dyDescent="0.25">
      <c r="B26" s="9" t="s">
        <v>60</v>
      </c>
      <c r="C26" s="299" t="s">
        <v>62</v>
      </c>
      <c r="D26" s="11">
        <v>19.36</v>
      </c>
      <c r="E26" s="11"/>
      <c r="F26" s="11">
        <v>18</v>
      </c>
      <c r="I26" s="3"/>
    </row>
    <row r="27" spans="2:9" ht="15.75" customHeight="1" x14ac:dyDescent="0.25">
      <c r="B27" s="9" t="s">
        <v>64</v>
      </c>
      <c r="C27" s="300"/>
      <c r="D27" s="11">
        <v>33.31</v>
      </c>
      <c r="E27" s="11"/>
      <c r="F27" s="11">
        <v>26</v>
      </c>
      <c r="I27" s="3"/>
    </row>
    <row r="28" spans="2:9" ht="15.75" customHeight="1" x14ac:dyDescent="0.25">
      <c r="B28" s="9" t="s">
        <v>65</v>
      </c>
      <c r="C28" s="301"/>
      <c r="D28" s="11">
        <v>41.74</v>
      </c>
      <c r="E28" s="11"/>
      <c r="F28" s="11">
        <v>14</v>
      </c>
      <c r="I28" s="3"/>
    </row>
    <row r="29" spans="2:9" ht="15.75" customHeight="1" x14ac:dyDescent="0.25">
      <c r="B29" s="296"/>
      <c r="C29" s="297"/>
      <c r="D29" s="297"/>
      <c r="E29" s="297"/>
      <c r="F29" s="11"/>
      <c r="I29" s="3"/>
    </row>
    <row r="30" spans="2:9" ht="15.75" customHeight="1" x14ac:dyDescent="0.25">
      <c r="B30" s="9" t="s">
        <v>66</v>
      </c>
      <c r="C30" s="302" t="s">
        <v>68</v>
      </c>
      <c r="D30" s="11">
        <v>204.5</v>
      </c>
      <c r="E30" s="11"/>
      <c r="F30" s="11">
        <v>197</v>
      </c>
      <c r="I30" s="3"/>
    </row>
    <row r="31" spans="2:9" ht="15.75" customHeight="1" x14ac:dyDescent="0.25">
      <c r="B31" s="49" t="s">
        <v>69</v>
      </c>
      <c r="C31" s="300"/>
      <c r="D31" s="51">
        <v>277.7</v>
      </c>
      <c r="E31" s="51"/>
      <c r="F31" s="51">
        <v>261</v>
      </c>
      <c r="I31" s="3"/>
    </row>
    <row r="32" spans="2:9" ht="15.75" customHeight="1" x14ac:dyDescent="0.25">
      <c r="B32" s="305"/>
      <c r="C32" s="297"/>
      <c r="D32" s="297"/>
      <c r="E32" s="297"/>
      <c r="F32" s="306"/>
      <c r="I32" s="3"/>
    </row>
    <row r="33" spans="2:9" ht="15.75" customHeight="1" x14ac:dyDescent="0.25">
      <c r="B33" s="9" t="s">
        <v>69</v>
      </c>
      <c r="C33" s="299" t="s">
        <v>71</v>
      </c>
      <c r="D33" s="11">
        <v>10.283300000000001</v>
      </c>
      <c r="E33" s="11"/>
      <c r="F33" s="11">
        <v>15</v>
      </c>
      <c r="I33" s="3"/>
    </row>
    <row r="34" spans="2:9" ht="15.75" customHeight="1" x14ac:dyDescent="0.25">
      <c r="B34" s="9" t="s">
        <v>72</v>
      </c>
      <c r="C34" s="300"/>
      <c r="D34" s="11">
        <v>11.8833</v>
      </c>
      <c r="E34" s="11"/>
      <c r="F34" s="11">
        <v>15</v>
      </c>
      <c r="I34" s="3"/>
    </row>
    <row r="35" spans="2:9" ht="15.75" customHeight="1" x14ac:dyDescent="0.25">
      <c r="B35" s="9" t="s">
        <v>73</v>
      </c>
      <c r="C35" s="301"/>
      <c r="D35" s="11">
        <v>17.433299999999999</v>
      </c>
      <c r="E35" s="11"/>
      <c r="F35" s="11">
        <v>16</v>
      </c>
      <c r="I35" s="3"/>
    </row>
    <row r="36" spans="2:9" ht="15.75" customHeight="1" x14ac:dyDescent="0.25">
      <c r="B36" s="296"/>
      <c r="C36" s="297"/>
      <c r="D36" s="297"/>
      <c r="E36" s="297"/>
      <c r="F36" s="11"/>
      <c r="I36" s="3"/>
    </row>
    <row r="37" spans="2:9" ht="15.75" customHeight="1" x14ac:dyDescent="0.25">
      <c r="B37" s="9" t="s">
        <v>76</v>
      </c>
      <c r="C37" s="302" t="s">
        <v>77</v>
      </c>
      <c r="D37" s="11">
        <v>117.467</v>
      </c>
      <c r="E37" s="11"/>
      <c r="F37" s="11">
        <v>119</v>
      </c>
      <c r="I37" s="3"/>
    </row>
    <row r="38" spans="2:9" ht="15.75" customHeight="1" x14ac:dyDescent="0.25">
      <c r="B38" s="9" t="s">
        <v>78</v>
      </c>
      <c r="C38" s="300"/>
      <c r="D38" s="11">
        <v>187.833</v>
      </c>
      <c r="E38" s="11"/>
      <c r="F38" s="11">
        <v>137</v>
      </c>
      <c r="I38" s="3"/>
    </row>
    <row r="39" spans="2:9" ht="15.75" customHeight="1" x14ac:dyDescent="0.25">
      <c r="B39" s="9" t="s">
        <v>79</v>
      </c>
      <c r="C39" s="300"/>
      <c r="D39" s="11">
        <v>218.333</v>
      </c>
      <c r="E39" s="11"/>
      <c r="F39" s="11">
        <v>205</v>
      </c>
      <c r="I39" s="3"/>
    </row>
    <row r="40" spans="2:9" ht="15.75" customHeight="1" x14ac:dyDescent="0.25">
      <c r="B40" s="49" t="s">
        <v>80</v>
      </c>
      <c r="C40" s="300"/>
      <c r="D40" s="51">
        <v>238.5</v>
      </c>
      <c r="E40" s="51"/>
      <c r="F40" s="51">
        <v>58</v>
      </c>
      <c r="I40" s="3"/>
    </row>
    <row r="41" spans="2:9" ht="15.75" customHeight="1" x14ac:dyDescent="0.25">
      <c r="B41" s="305"/>
      <c r="C41" s="297"/>
      <c r="D41" s="297"/>
      <c r="E41" s="297"/>
      <c r="F41" s="306"/>
      <c r="I41" s="3"/>
    </row>
    <row r="42" spans="2:9" ht="15.75" customHeight="1" x14ac:dyDescent="0.25">
      <c r="B42" s="9" t="s">
        <v>81</v>
      </c>
      <c r="C42" s="299" t="s">
        <v>82</v>
      </c>
      <c r="D42" s="11">
        <v>2</v>
      </c>
      <c r="E42" s="11"/>
      <c r="F42" s="11">
        <v>6</v>
      </c>
      <c r="I42" s="3"/>
    </row>
    <row r="43" spans="2:9" ht="15.75" customHeight="1" x14ac:dyDescent="0.25">
      <c r="B43" s="9" t="s">
        <v>83</v>
      </c>
      <c r="C43" s="300"/>
      <c r="D43" s="11">
        <v>7.133</v>
      </c>
      <c r="E43" s="11"/>
      <c r="F43" s="11">
        <v>6</v>
      </c>
      <c r="I43" s="3"/>
    </row>
    <row r="44" spans="2:9" ht="15.75" customHeight="1" x14ac:dyDescent="0.25">
      <c r="B44" s="9" t="s">
        <v>84</v>
      </c>
      <c r="C44" s="301"/>
      <c r="D44" s="11">
        <v>10.72</v>
      </c>
      <c r="E44" s="11"/>
      <c r="F44" s="11">
        <v>8</v>
      </c>
      <c r="I44" s="3"/>
    </row>
    <row r="45" spans="2:9" ht="15.75" customHeight="1" x14ac:dyDescent="0.25">
      <c r="B45" s="296"/>
      <c r="C45" s="297"/>
      <c r="D45" s="297"/>
      <c r="E45" s="297"/>
      <c r="F45" s="11"/>
      <c r="I45" s="3"/>
    </row>
    <row r="46" spans="2:9" ht="15.75" customHeight="1" x14ac:dyDescent="0.25">
      <c r="B46" s="9" t="s">
        <v>86</v>
      </c>
      <c r="C46" s="302" t="s">
        <v>87</v>
      </c>
      <c r="D46" s="11">
        <v>20.466999999999999</v>
      </c>
      <c r="E46" s="11"/>
      <c r="F46" s="11">
        <v>19</v>
      </c>
      <c r="I46" s="3"/>
    </row>
    <row r="47" spans="2:9" ht="15.75" customHeight="1" x14ac:dyDescent="0.25">
      <c r="B47" s="49" t="s">
        <v>88</v>
      </c>
      <c r="C47" s="300"/>
      <c r="D47" s="51">
        <v>20.367000000000001</v>
      </c>
      <c r="E47" s="51"/>
      <c r="F47" s="51">
        <v>19</v>
      </c>
      <c r="I47" s="3"/>
    </row>
    <row r="48" spans="2:9" ht="15.75" customHeight="1" x14ac:dyDescent="0.25">
      <c r="B48" s="305"/>
      <c r="C48" s="297"/>
      <c r="D48" s="297"/>
      <c r="E48" s="297"/>
      <c r="F48" s="306"/>
      <c r="I48" s="3"/>
    </row>
    <row r="49" spans="2:12" ht="15.75" customHeight="1" x14ac:dyDescent="0.25">
      <c r="B49" s="9" t="s">
        <v>89</v>
      </c>
      <c r="C49" s="299" t="s">
        <v>90</v>
      </c>
      <c r="D49" s="11">
        <v>5.15</v>
      </c>
      <c r="E49" s="11"/>
      <c r="F49" s="11">
        <v>16</v>
      </c>
      <c r="I49" s="3"/>
    </row>
    <row r="50" spans="2:12" ht="15.75" customHeight="1" x14ac:dyDescent="0.25">
      <c r="B50" s="49" t="s">
        <v>91</v>
      </c>
      <c r="C50" s="300"/>
      <c r="D50" s="51">
        <v>16.2</v>
      </c>
      <c r="E50" s="51"/>
      <c r="F50" s="51">
        <v>16</v>
      </c>
      <c r="I50" s="3"/>
    </row>
    <row r="51" spans="2:12" ht="15.75" customHeight="1" x14ac:dyDescent="0.25">
      <c r="B51" s="296"/>
      <c r="C51" s="297"/>
      <c r="D51" s="297"/>
      <c r="E51" s="297"/>
      <c r="F51" s="298"/>
      <c r="I51" s="3"/>
    </row>
    <row r="52" spans="2:12" ht="15.75" customHeight="1" x14ac:dyDescent="0.25">
      <c r="B52" s="9" t="s">
        <v>94</v>
      </c>
      <c r="C52" s="299" t="s">
        <v>95</v>
      </c>
      <c r="D52" s="11">
        <v>50.082999999999998</v>
      </c>
      <c r="E52" s="11"/>
      <c r="F52" s="11">
        <v>103</v>
      </c>
      <c r="I52" s="3"/>
    </row>
    <row r="53" spans="2:12" ht="15.75" customHeight="1" x14ac:dyDescent="0.25">
      <c r="B53" s="9" t="s">
        <v>96</v>
      </c>
      <c r="C53" s="300"/>
      <c r="D53" s="11">
        <v>93.992999999999995</v>
      </c>
      <c r="E53" s="11"/>
      <c r="F53" s="11">
        <v>113</v>
      </c>
      <c r="I53" s="3"/>
    </row>
    <row r="54" spans="2:12" ht="15.75" customHeight="1" x14ac:dyDescent="0.25">
      <c r="B54" s="9" t="s">
        <v>97</v>
      </c>
      <c r="C54" s="300"/>
      <c r="D54" s="11">
        <v>95.516999999999996</v>
      </c>
      <c r="E54" s="11"/>
      <c r="F54" s="11">
        <v>108</v>
      </c>
      <c r="I54" s="3"/>
    </row>
    <row r="55" spans="2:12" ht="15.75" customHeight="1" x14ac:dyDescent="0.25">
      <c r="B55" s="9" t="s">
        <v>98</v>
      </c>
      <c r="C55" s="300"/>
      <c r="D55" s="11">
        <v>100.92</v>
      </c>
      <c r="E55" s="11"/>
      <c r="F55" s="11">
        <v>110</v>
      </c>
      <c r="I55" s="3"/>
    </row>
    <row r="56" spans="2:12" ht="15.75" customHeight="1" x14ac:dyDescent="0.25">
      <c r="B56" s="9" t="s">
        <v>99</v>
      </c>
      <c r="C56" s="301"/>
      <c r="D56" s="11">
        <v>115.37</v>
      </c>
      <c r="E56" s="11"/>
      <c r="F56" s="11">
        <v>110</v>
      </c>
      <c r="I56" s="3"/>
    </row>
    <row r="57" spans="2:12" ht="15.75" customHeight="1" x14ac:dyDescent="0.25">
      <c r="B57" s="1"/>
      <c r="C57" s="1"/>
      <c r="D57" s="2"/>
      <c r="E57" s="2"/>
      <c r="F57" s="146"/>
      <c r="I57" s="3"/>
    </row>
    <row r="58" spans="2:12" ht="15.75" customHeight="1" x14ac:dyDescent="0.25">
      <c r="B58" s="1"/>
      <c r="C58" s="1"/>
      <c r="D58" s="2"/>
      <c r="E58" s="2"/>
      <c r="F58" s="146"/>
      <c r="I58" s="3"/>
    </row>
    <row r="59" spans="2:12" ht="15.75" customHeight="1" x14ac:dyDescent="0.2"/>
    <row r="60" spans="2:12" ht="15.75" customHeight="1" x14ac:dyDescent="0.2"/>
    <row r="61" spans="2:12" ht="15.75" customHeight="1" x14ac:dyDescent="0.2"/>
    <row r="62" spans="2:12" ht="15.75" customHeight="1" x14ac:dyDescent="0.25">
      <c r="G62" s="123"/>
    </row>
    <row r="63" spans="2:12" ht="15.75" customHeight="1" x14ac:dyDescent="0.2"/>
    <row r="64" spans="2:12" ht="15.75" customHeight="1" x14ac:dyDescent="0.25">
      <c r="B64" s="28" t="s">
        <v>549</v>
      </c>
      <c r="C64" s="28"/>
      <c r="D64" s="28"/>
      <c r="E64" s="28"/>
      <c r="F64" s="28"/>
      <c r="G64" s="28"/>
      <c r="H64" s="28"/>
      <c r="I64" s="28"/>
      <c r="J64" s="28"/>
      <c r="K64" s="28"/>
      <c r="L64" s="28"/>
    </row>
    <row r="65" spans="2:12" ht="15.75" customHeight="1" x14ac:dyDescent="0.25">
      <c r="B65" s="28"/>
      <c r="C65" s="23"/>
      <c r="D65" s="23"/>
      <c r="E65" s="23"/>
      <c r="F65" s="23"/>
      <c r="G65" s="23"/>
      <c r="H65" s="28"/>
      <c r="I65" s="28"/>
      <c r="J65" s="28"/>
      <c r="K65" s="28"/>
      <c r="L65" s="28"/>
    </row>
    <row r="66" spans="2:12" ht="15.75" customHeight="1" x14ac:dyDescent="0.25">
      <c r="B66" s="332" t="s">
        <v>550</v>
      </c>
      <c r="C66" s="297"/>
      <c r="D66" s="297"/>
      <c r="E66" s="297"/>
      <c r="F66" s="297"/>
      <c r="G66" s="298"/>
    </row>
    <row r="67" spans="2:12" ht="15.75" customHeight="1" x14ac:dyDescent="0.2">
      <c r="B67" s="4" t="s">
        <v>0</v>
      </c>
      <c r="C67" s="5" t="s">
        <v>1</v>
      </c>
      <c r="D67" s="5" t="s">
        <v>42</v>
      </c>
      <c r="E67" s="5" t="s">
        <v>43</v>
      </c>
      <c r="F67" s="5" t="s">
        <v>44</v>
      </c>
      <c r="G67" s="7" t="s">
        <v>206</v>
      </c>
      <c r="I67" s="296" t="s">
        <v>45</v>
      </c>
      <c r="J67" s="297"/>
      <c r="K67" s="297"/>
      <c r="L67" s="298"/>
    </row>
    <row r="68" spans="2:12" ht="15.75" customHeight="1" x14ac:dyDescent="0.2">
      <c r="B68" s="310" t="s">
        <v>275</v>
      </c>
      <c r="C68" s="297"/>
      <c r="D68" s="297"/>
      <c r="E68" s="297"/>
      <c r="F68" s="297"/>
      <c r="G68" s="306"/>
      <c r="I68" s="305" t="s">
        <v>275</v>
      </c>
      <c r="J68" s="297"/>
      <c r="K68" s="297"/>
      <c r="L68" s="298"/>
    </row>
    <row r="69" spans="2:12" ht="15.75" customHeight="1" x14ac:dyDescent="0.2">
      <c r="B69" s="9" t="s">
        <v>11</v>
      </c>
      <c r="C69" s="12" t="s">
        <v>12</v>
      </c>
      <c r="D69" s="17">
        <v>520</v>
      </c>
      <c r="E69" s="22">
        <v>520</v>
      </c>
      <c r="F69" s="11">
        <v>520</v>
      </c>
      <c r="G69" s="110"/>
      <c r="I69" s="12"/>
      <c r="J69" s="12" t="s">
        <v>52</v>
      </c>
      <c r="K69" s="12" t="s">
        <v>53</v>
      </c>
      <c r="L69" s="12"/>
    </row>
    <row r="70" spans="2:12" ht="15.75" customHeight="1" x14ac:dyDescent="0.2">
      <c r="B70" s="9" t="s">
        <v>11</v>
      </c>
      <c r="C70" s="12" t="s">
        <v>18</v>
      </c>
      <c r="D70" s="17">
        <v>0</v>
      </c>
      <c r="E70" s="22">
        <v>0</v>
      </c>
      <c r="F70" s="11">
        <v>0</v>
      </c>
      <c r="G70" s="110"/>
      <c r="I70" s="12" t="s">
        <v>12</v>
      </c>
      <c r="J70" s="17">
        <v>520</v>
      </c>
      <c r="K70" s="11">
        <v>520</v>
      </c>
      <c r="L70" s="17" t="s">
        <v>553</v>
      </c>
    </row>
    <row r="71" spans="2:12" ht="15.75" customHeight="1" x14ac:dyDescent="0.2">
      <c r="B71" s="9" t="s">
        <v>21</v>
      </c>
      <c r="C71" s="12" t="s">
        <v>59</v>
      </c>
      <c r="D71" s="17">
        <v>440</v>
      </c>
      <c r="E71" s="22">
        <v>446</v>
      </c>
      <c r="F71" s="11">
        <v>445</v>
      </c>
      <c r="G71" s="110"/>
      <c r="I71" s="12" t="s">
        <v>18</v>
      </c>
      <c r="J71" s="17">
        <v>0</v>
      </c>
      <c r="K71" s="11">
        <v>0</v>
      </c>
      <c r="L71" s="17" t="s">
        <v>554</v>
      </c>
    </row>
    <row r="72" spans="2:12" ht="15.75" customHeight="1" x14ac:dyDescent="0.2">
      <c r="B72" s="9" t="s">
        <v>21</v>
      </c>
      <c r="C72" s="12" t="s">
        <v>63</v>
      </c>
      <c r="D72" s="17">
        <v>160</v>
      </c>
      <c r="E72" s="22">
        <v>168</v>
      </c>
      <c r="F72" s="11">
        <v>165</v>
      </c>
      <c r="G72" s="110"/>
      <c r="I72" s="305" t="s">
        <v>313</v>
      </c>
      <c r="J72" s="297"/>
      <c r="K72" s="297"/>
      <c r="L72" s="298"/>
    </row>
    <row r="73" spans="2:12" ht="15.75" customHeight="1" x14ac:dyDescent="0.2">
      <c r="B73" s="310" t="s">
        <v>313</v>
      </c>
      <c r="C73" s="297"/>
      <c r="D73" s="297"/>
      <c r="E73" s="297"/>
      <c r="F73" s="297"/>
      <c r="G73" s="306"/>
      <c r="I73" s="12" t="s">
        <v>12</v>
      </c>
      <c r="J73" s="17">
        <v>470</v>
      </c>
      <c r="K73" s="11">
        <v>470</v>
      </c>
      <c r="L73" s="17" t="s">
        <v>555</v>
      </c>
    </row>
    <row r="74" spans="2:12" ht="15.75" customHeight="1" x14ac:dyDescent="0.2">
      <c r="B74" s="9" t="s">
        <v>11</v>
      </c>
      <c r="C74" s="12" t="s">
        <v>12</v>
      </c>
      <c r="D74" s="17">
        <v>470</v>
      </c>
      <c r="E74" s="22">
        <v>470</v>
      </c>
      <c r="F74" s="22">
        <v>470</v>
      </c>
      <c r="G74" s="110"/>
      <c r="I74" s="12" t="s">
        <v>18</v>
      </c>
      <c r="J74" s="17">
        <v>0</v>
      </c>
      <c r="K74" s="11">
        <v>0</v>
      </c>
      <c r="L74" s="17" t="s">
        <v>556</v>
      </c>
    </row>
    <row r="75" spans="2:12" ht="15.75" customHeight="1" x14ac:dyDescent="0.2">
      <c r="B75" s="9" t="s">
        <v>11</v>
      </c>
      <c r="C75" s="12" t="s">
        <v>18</v>
      </c>
      <c r="D75" s="17">
        <v>0</v>
      </c>
      <c r="E75" s="22">
        <v>0</v>
      </c>
      <c r="F75" s="22">
        <v>0</v>
      </c>
      <c r="G75" s="110"/>
    </row>
    <row r="76" spans="2:12" ht="15.75" customHeight="1" x14ac:dyDescent="0.2">
      <c r="B76" s="9" t="s">
        <v>21</v>
      </c>
      <c r="C76" s="12" t="s">
        <v>59</v>
      </c>
      <c r="D76" s="17">
        <v>430</v>
      </c>
      <c r="E76" s="22">
        <v>421</v>
      </c>
      <c r="F76" s="22">
        <v>432</v>
      </c>
      <c r="G76" s="110"/>
    </row>
    <row r="77" spans="2:12" ht="15.75" customHeight="1" x14ac:dyDescent="0.2">
      <c r="B77" s="9" t="s">
        <v>21</v>
      </c>
      <c r="C77" s="12" t="s">
        <v>63</v>
      </c>
      <c r="D77" s="17">
        <v>150</v>
      </c>
      <c r="E77" s="22">
        <v>161</v>
      </c>
      <c r="F77" s="22">
        <v>155</v>
      </c>
      <c r="G77" s="110"/>
    </row>
    <row r="78" spans="2:12" ht="15.75" customHeight="1" x14ac:dyDescent="0.2">
      <c r="C78" s="2"/>
      <c r="D78" s="1"/>
    </row>
    <row r="79" spans="2:12" ht="15.75" customHeight="1" x14ac:dyDescent="0.2">
      <c r="C79" s="2"/>
      <c r="D79" s="2"/>
    </row>
    <row r="80" spans="2:12" ht="15.75" customHeight="1" x14ac:dyDescent="0.2">
      <c r="C80" s="2"/>
      <c r="D80" s="2"/>
    </row>
    <row r="81" spans="1:26" ht="15.75" customHeight="1" x14ac:dyDescent="0.25">
      <c r="A81" s="345"/>
      <c r="B81" s="297"/>
      <c r="C81" s="297"/>
      <c r="D81" s="297"/>
      <c r="E81" s="297"/>
      <c r="F81" s="297"/>
      <c r="G81" s="297"/>
      <c r="H81" s="297"/>
      <c r="I81" s="297"/>
      <c r="J81" s="297"/>
      <c r="K81" s="297"/>
      <c r="L81" s="297"/>
      <c r="M81" s="297"/>
      <c r="N81" s="297"/>
      <c r="O81" s="297"/>
      <c r="P81" s="297"/>
      <c r="Q81" s="297"/>
      <c r="R81" s="297"/>
      <c r="S81" s="297"/>
      <c r="T81" s="297"/>
      <c r="U81" s="297"/>
      <c r="V81" s="297"/>
      <c r="W81" s="297"/>
      <c r="X81" s="297"/>
      <c r="Y81" s="297"/>
      <c r="Z81" s="298"/>
    </row>
    <row r="82" spans="1:26" ht="15.75" customHeight="1" x14ac:dyDescent="0.2">
      <c r="Z82" s="346"/>
    </row>
    <row r="83" spans="1:26" ht="15.75" customHeight="1" x14ac:dyDescent="0.2">
      <c r="Z83" s="300"/>
    </row>
    <row r="84" spans="1:26" ht="15.75" customHeight="1" x14ac:dyDescent="0.3">
      <c r="B84" s="161" t="s">
        <v>353</v>
      </c>
      <c r="C84" s="163" t="s">
        <v>559</v>
      </c>
      <c r="Z84" s="300"/>
    </row>
    <row r="85" spans="1:26" ht="15.75" customHeight="1" x14ac:dyDescent="0.3">
      <c r="B85" s="164" t="s">
        <v>360</v>
      </c>
      <c r="C85" s="165">
        <v>43164</v>
      </c>
      <c r="Z85" s="300"/>
    </row>
    <row r="86" spans="1:26" ht="15.75" customHeight="1" x14ac:dyDescent="0.3">
      <c r="M86" s="320" t="s">
        <v>153</v>
      </c>
      <c r="N86" s="297"/>
      <c r="O86" s="297"/>
      <c r="P86" s="297"/>
      <c r="Q86" s="297"/>
      <c r="R86" s="298"/>
      <c r="T86" s="321" t="s">
        <v>154</v>
      </c>
      <c r="U86" s="322"/>
      <c r="V86" s="322"/>
      <c r="W86" s="322"/>
      <c r="X86" s="323"/>
      <c r="Z86" s="300"/>
    </row>
    <row r="87" spans="1:26" ht="15.75" customHeight="1" x14ac:dyDescent="0.2">
      <c r="B87" s="156" t="s">
        <v>0</v>
      </c>
      <c r="C87" s="157" t="s">
        <v>1</v>
      </c>
      <c r="D87" s="157" t="s">
        <v>42</v>
      </c>
      <c r="E87" s="157" t="s">
        <v>43</v>
      </c>
      <c r="F87" s="157" t="s">
        <v>44</v>
      </c>
      <c r="H87" s="296" t="s">
        <v>45</v>
      </c>
      <c r="I87" s="297"/>
      <c r="J87" s="297"/>
      <c r="K87" s="298"/>
      <c r="M87" s="311" t="s">
        <v>157</v>
      </c>
      <c r="N87" s="312"/>
      <c r="O87" s="312"/>
      <c r="P87" s="312"/>
      <c r="Q87" s="312"/>
      <c r="R87" s="313"/>
      <c r="T87" s="325" t="s">
        <v>157</v>
      </c>
      <c r="U87" s="297"/>
      <c r="V87" s="297"/>
      <c r="W87" s="297"/>
      <c r="X87" s="298"/>
      <c r="Z87" s="300"/>
    </row>
    <row r="88" spans="1:26" ht="15.75" customHeight="1" x14ac:dyDescent="0.2">
      <c r="B88" s="310" t="s">
        <v>8</v>
      </c>
      <c r="C88" s="297"/>
      <c r="D88" s="297"/>
      <c r="E88" s="297"/>
      <c r="F88" s="298"/>
      <c r="H88" s="305" t="s">
        <v>10</v>
      </c>
      <c r="I88" s="297"/>
      <c r="J88" s="297"/>
      <c r="K88" s="298"/>
      <c r="M88" s="317"/>
      <c r="N88" s="318"/>
      <c r="O88" s="318"/>
      <c r="P88" s="318"/>
      <c r="Q88" s="318"/>
      <c r="R88" s="319"/>
      <c r="T88" s="58" t="s">
        <v>160</v>
      </c>
      <c r="U88" s="59" t="s">
        <v>161</v>
      </c>
      <c r="V88" s="59" t="s">
        <v>162</v>
      </c>
      <c r="W88" s="61" t="s">
        <v>163</v>
      </c>
      <c r="X88" s="62" t="s">
        <v>165</v>
      </c>
      <c r="Z88" s="300"/>
    </row>
    <row r="89" spans="1:26" ht="15.75" customHeight="1" x14ac:dyDescent="0.25">
      <c r="B89" s="9" t="s">
        <v>11</v>
      </c>
      <c r="C89" s="9" t="s">
        <v>12</v>
      </c>
      <c r="D89" s="22">
        <v>860</v>
      </c>
      <c r="E89" s="22">
        <v>860</v>
      </c>
      <c r="F89" s="11">
        <v>517</v>
      </c>
      <c r="H89" s="12"/>
      <c r="I89" s="12" t="s">
        <v>52</v>
      </c>
      <c r="J89" s="12" t="s">
        <v>53</v>
      </c>
      <c r="K89" s="12"/>
      <c r="M89" s="63" t="s">
        <v>168</v>
      </c>
      <c r="N89" s="64" t="s">
        <v>169</v>
      </c>
      <c r="O89" s="64" t="s">
        <v>171</v>
      </c>
      <c r="P89" s="64" t="s">
        <v>172</v>
      </c>
      <c r="Q89" s="65" t="s">
        <v>173</v>
      </c>
      <c r="R89" s="66" t="s">
        <v>175</v>
      </c>
      <c r="T89" s="63" t="s">
        <v>176</v>
      </c>
      <c r="U89" s="67">
        <v>0.432</v>
      </c>
      <c r="V89" s="68">
        <v>2.484</v>
      </c>
      <c r="W89" s="70">
        <f t="shared" ref="W89:W93" si="0">+V89/U89</f>
        <v>5.75</v>
      </c>
      <c r="X89" s="72"/>
      <c r="Z89" s="300"/>
    </row>
    <row r="90" spans="1:26" ht="15.75" customHeight="1" x14ac:dyDescent="0.25">
      <c r="B90" s="9" t="s">
        <v>11</v>
      </c>
      <c r="C90" s="12" t="s">
        <v>18</v>
      </c>
      <c r="D90" s="22">
        <v>0</v>
      </c>
      <c r="E90" s="22">
        <v>0</v>
      </c>
      <c r="F90" s="11">
        <v>0</v>
      </c>
      <c r="H90" s="12" t="s">
        <v>12</v>
      </c>
      <c r="I90" s="177">
        <v>860</v>
      </c>
      <c r="J90" s="178">
        <v>516</v>
      </c>
      <c r="K90" s="17" t="s">
        <v>560</v>
      </c>
      <c r="M90" s="73">
        <v>440</v>
      </c>
      <c r="N90" s="74">
        <v>40</v>
      </c>
      <c r="O90" s="74">
        <f>+V89</f>
        <v>2.484</v>
      </c>
      <c r="P90" s="76">
        <f>+V92</f>
        <v>0</v>
      </c>
      <c r="Q90" s="77">
        <f>+V90</f>
        <v>1.75</v>
      </c>
      <c r="R90" s="78">
        <f>(M90-N90)*(O90-P90)/(Q90-P90)+N90</f>
        <v>607.7714285714286</v>
      </c>
      <c r="T90" s="80" t="s">
        <v>188</v>
      </c>
      <c r="U90" s="74">
        <v>0.34699999999999998</v>
      </c>
      <c r="V90" s="82">
        <v>1.75</v>
      </c>
      <c r="W90" s="84">
        <f t="shared" si="0"/>
        <v>5.043227665706052</v>
      </c>
      <c r="X90" s="86">
        <f>(V90-V92)/(V89-V92)</f>
        <v>0.70450885668276975</v>
      </c>
      <c r="Z90" s="300"/>
    </row>
    <row r="91" spans="1:26" ht="15.75" customHeight="1" x14ac:dyDescent="0.25">
      <c r="B91" s="9" t="s">
        <v>21</v>
      </c>
      <c r="C91" s="12" t="s">
        <v>59</v>
      </c>
      <c r="D91" s="22">
        <v>440</v>
      </c>
      <c r="E91" s="22">
        <v>428</v>
      </c>
      <c r="F91" s="11">
        <v>441</v>
      </c>
      <c r="H91" s="12" t="s">
        <v>18</v>
      </c>
      <c r="I91" s="177">
        <v>0</v>
      </c>
      <c r="J91" s="178">
        <v>0</v>
      </c>
      <c r="K91" s="17" t="s">
        <v>561</v>
      </c>
      <c r="M91" s="73" t="s">
        <v>168</v>
      </c>
      <c r="N91" s="74" t="s">
        <v>171</v>
      </c>
      <c r="O91" s="74" t="s">
        <v>190</v>
      </c>
      <c r="P91" s="74" t="s">
        <v>191</v>
      </c>
      <c r="Q91" s="77" t="s">
        <v>173</v>
      </c>
      <c r="R91" s="87" t="s">
        <v>192</v>
      </c>
      <c r="T91" s="80" t="s">
        <v>193</v>
      </c>
      <c r="U91" s="74">
        <v>0.215</v>
      </c>
      <c r="V91" s="82">
        <v>0.52500000000000002</v>
      </c>
      <c r="W91" s="84">
        <f t="shared" si="0"/>
        <v>2.4418604651162794</v>
      </c>
      <c r="X91" s="86">
        <f>(V91-V92)/(V89-V92)</f>
        <v>0.21135265700483094</v>
      </c>
      <c r="Z91" s="300"/>
    </row>
    <row r="92" spans="1:26" ht="15.75" customHeight="1" x14ac:dyDescent="0.25">
      <c r="B92" s="49" t="s">
        <v>21</v>
      </c>
      <c r="C92" s="10" t="s">
        <v>63</v>
      </c>
      <c r="D92" s="169">
        <v>160</v>
      </c>
      <c r="E92" s="169">
        <v>156</v>
      </c>
      <c r="F92" s="51">
        <v>157</v>
      </c>
      <c r="H92" s="305" t="s">
        <v>23</v>
      </c>
      <c r="I92" s="297"/>
      <c r="J92" s="297"/>
      <c r="K92" s="298"/>
      <c r="M92" s="73">
        <v>160</v>
      </c>
      <c r="N92" s="74">
        <f>+V89</f>
        <v>2.484</v>
      </c>
      <c r="O92" s="76">
        <f>+V92</f>
        <v>0</v>
      </c>
      <c r="P92" s="89">
        <f>+R90</f>
        <v>607.7714285714286</v>
      </c>
      <c r="Q92" s="77">
        <f>+V91</f>
        <v>0.52500000000000002</v>
      </c>
      <c r="R92" s="90">
        <f>(M92*(N92-O92)-P92*(Q92-O92))/(N92-Q92)</f>
        <v>39.999999999999979</v>
      </c>
      <c r="T92" s="80" t="s">
        <v>194</v>
      </c>
      <c r="U92" s="74">
        <v>0.15</v>
      </c>
      <c r="V92" s="91">
        <v>0</v>
      </c>
      <c r="W92" s="84">
        <f t="shared" si="0"/>
        <v>0</v>
      </c>
      <c r="X92" s="86"/>
      <c r="Z92" s="300"/>
    </row>
    <row r="93" spans="1:26" ht="15.75" customHeight="1" x14ac:dyDescent="0.25">
      <c r="B93" s="310" t="s">
        <v>29</v>
      </c>
      <c r="C93" s="297"/>
      <c r="D93" s="297"/>
      <c r="E93" s="297"/>
      <c r="F93" s="298"/>
      <c r="H93" s="12" t="s">
        <v>12</v>
      </c>
      <c r="I93" s="177">
        <v>830</v>
      </c>
      <c r="J93" s="22">
        <v>486</v>
      </c>
      <c r="K93" s="17" t="s">
        <v>564</v>
      </c>
      <c r="M93" s="80" t="s">
        <v>196</v>
      </c>
      <c r="N93" s="93"/>
      <c r="O93" s="93"/>
      <c r="P93" s="93"/>
      <c r="Q93" s="94"/>
      <c r="R93" s="95"/>
      <c r="T93" s="96" t="s">
        <v>197</v>
      </c>
      <c r="U93" s="97">
        <v>0.17399999999999999</v>
      </c>
      <c r="V93" s="99">
        <v>0.15</v>
      </c>
      <c r="W93" s="100">
        <f t="shared" si="0"/>
        <v>0.86206896551724144</v>
      </c>
      <c r="X93" s="101">
        <f>+(V93-V92)/(V89-V92)</f>
        <v>6.0386473429951688E-2</v>
      </c>
      <c r="Z93" s="300"/>
    </row>
    <row r="94" spans="1:26" ht="15.75" customHeight="1" x14ac:dyDescent="0.2">
      <c r="B94" s="9" t="s">
        <v>11</v>
      </c>
      <c r="C94" s="9" t="s">
        <v>12</v>
      </c>
      <c r="D94" s="22">
        <v>830</v>
      </c>
      <c r="E94" s="22">
        <v>830</v>
      </c>
      <c r="F94" s="22">
        <v>491</v>
      </c>
      <c r="H94" s="12" t="s">
        <v>18</v>
      </c>
      <c r="I94" s="177">
        <v>0</v>
      </c>
      <c r="J94" s="22">
        <v>0</v>
      </c>
      <c r="K94" s="17" t="s">
        <v>565</v>
      </c>
      <c r="M94" s="80" t="s">
        <v>199</v>
      </c>
      <c r="N94" s="93" t="s">
        <v>169</v>
      </c>
      <c r="O94" s="93" t="s">
        <v>200</v>
      </c>
      <c r="P94" s="93" t="s">
        <v>201</v>
      </c>
      <c r="Q94" s="94" t="s">
        <v>191</v>
      </c>
      <c r="R94" s="87" t="s">
        <v>202</v>
      </c>
      <c r="T94" s="311" t="s">
        <v>203</v>
      </c>
      <c r="U94" s="312"/>
      <c r="V94" s="312"/>
      <c r="W94" s="312"/>
      <c r="X94" s="313"/>
      <c r="Z94" s="300"/>
    </row>
    <row r="95" spans="1:26" ht="15.75" customHeight="1" x14ac:dyDescent="0.2">
      <c r="B95" s="9" t="s">
        <v>11</v>
      </c>
      <c r="C95" s="12" t="s">
        <v>18</v>
      </c>
      <c r="D95" s="22">
        <v>0</v>
      </c>
      <c r="E95" s="22">
        <v>0</v>
      </c>
      <c r="F95" s="22">
        <v>0</v>
      </c>
      <c r="M95" s="102">
        <f>+V93</f>
        <v>0.15</v>
      </c>
      <c r="N95" s="103">
        <f>+R92</f>
        <v>39.999999999999979</v>
      </c>
      <c r="O95" s="97">
        <f>+V89</f>
        <v>2.484</v>
      </c>
      <c r="P95" s="104">
        <f>+V92</f>
        <v>0</v>
      </c>
      <c r="Q95" s="105">
        <f>+R90</f>
        <v>607.7714285714286</v>
      </c>
      <c r="R95" s="106">
        <f>N95+(Q95-N95)*(M95-P95)/(O95-P95)</f>
        <v>74.285714285714263</v>
      </c>
      <c r="T95" s="314"/>
      <c r="U95" s="315"/>
      <c r="V95" s="315"/>
      <c r="W95" s="315"/>
      <c r="X95" s="316"/>
      <c r="Z95" s="300"/>
    </row>
    <row r="96" spans="1:26" ht="15.75" customHeight="1" x14ac:dyDescent="0.2">
      <c r="B96" s="9" t="s">
        <v>21</v>
      </c>
      <c r="C96" s="12" t="s">
        <v>59</v>
      </c>
      <c r="D96" s="22">
        <v>420</v>
      </c>
      <c r="E96" s="22">
        <v>415</v>
      </c>
      <c r="F96" s="22">
        <v>418</v>
      </c>
      <c r="M96" s="311" t="s">
        <v>204</v>
      </c>
      <c r="N96" s="312"/>
      <c r="O96" s="312"/>
      <c r="P96" s="312"/>
      <c r="Q96" s="312"/>
      <c r="R96" s="313"/>
      <c r="T96" s="317"/>
      <c r="U96" s="318"/>
      <c r="V96" s="318"/>
      <c r="W96" s="318"/>
      <c r="X96" s="319"/>
      <c r="Z96" s="300"/>
    </row>
    <row r="97" spans="1:26" ht="15.75" customHeight="1" x14ac:dyDescent="0.2">
      <c r="B97" s="9" t="s">
        <v>21</v>
      </c>
      <c r="C97" s="12" t="s">
        <v>63</v>
      </c>
      <c r="D97" s="22">
        <v>150</v>
      </c>
      <c r="E97" s="22">
        <v>149</v>
      </c>
      <c r="F97" s="22">
        <v>140</v>
      </c>
      <c r="M97" s="317"/>
      <c r="N97" s="318"/>
      <c r="O97" s="318"/>
      <c r="P97" s="318"/>
      <c r="Q97" s="318"/>
      <c r="R97" s="319"/>
      <c r="T97" s="58" t="s">
        <v>160</v>
      </c>
      <c r="U97" s="59" t="s">
        <v>161</v>
      </c>
      <c r="V97" s="59" t="s">
        <v>162</v>
      </c>
      <c r="W97" s="61" t="s">
        <v>163</v>
      </c>
      <c r="X97" s="62" t="s">
        <v>165</v>
      </c>
      <c r="Z97" s="300"/>
    </row>
    <row r="98" spans="1:26" ht="15.75" customHeight="1" x14ac:dyDescent="0.25">
      <c r="M98" s="63" t="s">
        <v>168</v>
      </c>
      <c r="N98" s="64" t="s">
        <v>169</v>
      </c>
      <c r="O98" s="64" t="s">
        <v>171</v>
      </c>
      <c r="P98" s="64" t="s">
        <v>172</v>
      </c>
      <c r="Q98" s="65" t="s">
        <v>173</v>
      </c>
      <c r="R98" s="66" t="s">
        <v>175</v>
      </c>
      <c r="T98" s="63" t="s">
        <v>176</v>
      </c>
      <c r="U98" s="67">
        <v>0.70699999999999996</v>
      </c>
      <c r="V98" s="68">
        <v>2.5510000000000002</v>
      </c>
      <c r="W98" s="70">
        <f t="shared" ref="W98:W102" si="1">+V98/U98</f>
        <v>3.6082036775106086</v>
      </c>
      <c r="X98" s="107"/>
      <c r="Z98" s="300"/>
    </row>
    <row r="99" spans="1:26" ht="15.75" customHeight="1" x14ac:dyDescent="0.25">
      <c r="M99" s="73">
        <v>420</v>
      </c>
      <c r="N99" s="74">
        <v>20</v>
      </c>
      <c r="O99" s="74">
        <f>+V98</f>
        <v>2.5510000000000002</v>
      </c>
      <c r="P99" s="76">
        <f>+V101</f>
        <v>1.0999999999999999E-2</v>
      </c>
      <c r="Q99" s="77">
        <f>+V99</f>
        <v>2.1909999999999998</v>
      </c>
      <c r="R99" s="108">
        <f>(M99-N99)*(O99-P99)/(Q99-P99)+N99</f>
        <v>486.05504587155968</v>
      </c>
      <c r="T99" s="80" t="s">
        <v>188</v>
      </c>
      <c r="U99" s="74">
        <v>0.68899999999999995</v>
      </c>
      <c r="V99" s="82">
        <v>2.1909999999999998</v>
      </c>
      <c r="W99" s="84">
        <f t="shared" si="1"/>
        <v>3.1799709724238028</v>
      </c>
      <c r="X99" s="86">
        <f>(V99-V101)/(V98-V101)</f>
        <v>0.85826771653543299</v>
      </c>
      <c r="Z99" s="300"/>
    </row>
    <row r="100" spans="1:26" ht="15.75" customHeight="1" x14ac:dyDescent="0.25">
      <c r="M100" s="73" t="s">
        <v>168</v>
      </c>
      <c r="N100" s="74" t="s">
        <v>171</v>
      </c>
      <c r="O100" s="74" t="s">
        <v>190</v>
      </c>
      <c r="P100" s="74" t="s">
        <v>191</v>
      </c>
      <c r="Q100" s="77" t="s">
        <v>173</v>
      </c>
      <c r="R100" s="87" t="s">
        <v>192</v>
      </c>
      <c r="T100" s="80" t="s">
        <v>193</v>
      </c>
      <c r="U100" s="74">
        <v>0.628</v>
      </c>
      <c r="V100" s="91">
        <v>0.503</v>
      </c>
      <c r="W100" s="84">
        <f t="shared" si="1"/>
        <v>0.80095541401273884</v>
      </c>
      <c r="X100" s="86">
        <f>(V100-V101)/(V98-V101)</f>
        <v>0.19370078740157479</v>
      </c>
      <c r="Z100" s="300"/>
    </row>
    <row r="101" spans="1:26" ht="15.75" customHeight="1" x14ac:dyDescent="0.25">
      <c r="M101" s="73">
        <v>140</v>
      </c>
      <c r="N101" s="74">
        <f>+V98</f>
        <v>2.5510000000000002</v>
      </c>
      <c r="O101" s="76">
        <f>+V101</f>
        <v>1.0999999999999999E-2</v>
      </c>
      <c r="P101" s="74">
        <f>+R99</f>
        <v>486.05504587155968</v>
      </c>
      <c r="Q101" s="109">
        <f>+V100</f>
        <v>0.503</v>
      </c>
      <c r="R101" s="78">
        <f>(M101*(N101-O101)-P101*(Q101-O101))/(N101-Q101)</f>
        <v>56.865682339449535</v>
      </c>
      <c r="T101" s="80" t="s">
        <v>194</v>
      </c>
      <c r="U101" s="74">
        <v>0.6</v>
      </c>
      <c r="V101" s="91">
        <v>1.0999999999999999E-2</v>
      </c>
      <c r="W101" s="84">
        <f t="shared" si="1"/>
        <v>1.8333333333333333E-2</v>
      </c>
      <c r="X101" s="86"/>
      <c r="Z101" s="300"/>
    </row>
    <row r="102" spans="1:26" ht="15.75" customHeight="1" x14ac:dyDescent="0.25">
      <c r="M102" s="80" t="s">
        <v>196</v>
      </c>
      <c r="N102" s="93"/>
      <c r="O102" s="93"/>
      <c r="P102" s="93"/>
      <c r="Q102" s="94"/>
      <c r="R102" s="95"/>
      <c r="T102" s="111" t="s">
        <v>197</v>
      </c>
      <c r="U102" s="112">
        <v>0.60199999999999998</v>
      </c>
      <c r="V102" s="113">
        <v>1.2E-2</v>
      </c>
      <c r="W102" s="114">
        <f t="shared" si="1"/>
        <v>1.993355481727575E-2</v>
      </c>
      <c r="X102" s="115">
        <f>+(V102-V101)/(V98-V101)</f>
        <v>3.9370078740157512E-4</v>
      </c>
      <c r="Z102" s="300"/>
    </row>
    <row r="103" spans="1:26" ht="15.75" customHeight="1" x14ac:dyDescent="0.2">
      <c r="M103" s="80" t="s">
        <v>199</v>
      </c>
      <c r="N103" s="93" t="s">
        <v>169</v>
      </c>
      <c r="O103" s="93" t="s">
        <v>200</v>
      </c>
      <c r="P103" s="93" t="s">
        <v>201</v>
      </c>
      <c r="Q103" s="94" t="s">
        <v>191</v>
      </c>
      <c r="R103" s="87" t="s">
        <v>202</v>
      </c>
      <c r="Z103" s="300"/>
    </row>
    <row r="104" spans="1:26" ht="15.75" customHeight="1" x14ac:dyDescent="0.2">
      <c r="M104" s="116">
        <f>+V102</f>
        <v>1.2E-2</v>
      </c>
      <c r="N104" s="117">
        <f>+R101</f>
        <v>56.865682339449535</v>
      </c>
      <c r="O104" s="112">
        <f>+V98</f>
        <v>2.5510000000000002</v>
      </c>
      <c r="P104" s="118">
        <f>+V101</f>
        <v>1.0999999999999999E-2</v>
      </c>
      <c r="Q104" s="119">
        <f>+R99</f>
        <v>486.05504587155968</v>
      </c>
      <c r="R104" s="78">
        <f>N104+(Q104-N104)*(M104-P104)/(O104-P104)</f>
        <v>57.034654529816507</v>
      </c>
      <c r="U104" s="121"/>
      <c r="Z104" s="300"/>
    </row>
    <row r="105" spans="1:26" ht="15.75" customHeight="1" x14ac:dyDescent="0.2">
      <c r="Z105" s="301"/>
    </row>
    <row r="106" spans="1:26" ht="15.75" customHeight="1" x14ac:dyDescent="0.25">
      <c r="A106" s="345"/>
      <c r="B106" s="297"/>
      <c r="C106" s="297"/>
      <c r="D106" s="297"/>
      <c r="E106" s="297"/>
      <c r="F106" s="297"/>
      <c r="G106" s="297"/>
      <c r="H106" s="297"/>
      <c r="I106" s="297"/>
      <c r="J106" s="297"/>
      <c r="K106" s="297"/>
      <c r="L106" s="297"/>
      <c r="M106" s="297"/>
      <c r="N106" s="297"/>
      <c r="O106" s="297"/>
      <c r="P106" s="297"/>
      <c r="Q106" s="297"/>
      <c r="R106" s="297"/>
      <c r="S106" s="297"/>
      <c r="T106" s="297"/>
      <c r="U106" s="297"/>
      <c r="V106" s="297"/>
      <c r="W106" s="297"/>
      <c r="X106" s="297"/>
      <c r="Y106" s="297"/>
      <c r="Z106" s="298"/>
    </row>
    <row r="107" spans="1:26" ht="15.75" customHeight="1" x14ac:dyDescent="0.2"/>
    <row r="108" spans="1:26" ht="15.75" customHeight="1" x14ac:dyDescent="0.2"/>
    <row r="109" spans="1:26" ht="15.75" customHeight="1" x14ac:dyDescent="0.2"/>
    <row r="110" spans="1:26" ht="15.75" customHeight="1" x14ac:dyDescent="0.2"/>
    <row r="111" spans="1:26" ht="15.75" customHeight="1" x14ac:dyDescent="0.25">
      <c r="B111" s="304" t="s">
        <v>586</v>
      </c>
      <c r="C111" s="297"/>
      <c r="D111" s="297"/>
      <c r="E111" s="297"/>
      <c r="F111" s="298"/>
      <c r="I111" s="3"/>
    </row>
    <row r="112" spans="1:26" ht="15.75" customHeight="1" x14ac:dyDescent="0.2">
      <c r="B112" s="4" t="s">
        <v>0</v>
      </c>
      <c r="C112" s="5" t="s">
        <v>1</v>
      </c>
      <c r="D112" s="5" t="s">
        <v>2</v>
      </c>
      <c r="E112" s="5" t="s">
        <v>43</v>
      </c>
      <c r="F112" s="45" t="s">
        <v>125</v>
      </c>
      <c r="H112" s="296" t="s">
        <v>6</v>
      </c>
      <c r="I112" s="297"/>
      <c r="J112" s="297"/>
      <c r="K112" s="297"/>
      <c r="L112" s="297"/>
      <c r="M112" s="298"/>
    </row>
    <row r="113" spans="2:13" ht="15.75" customHeight="1" x14ac:dyDescent="0.2">
      <c r="B113" s="56" t="s">
        <v>7</v>
      </c>
      <c r="C113" s="309" t="s">
        <v>9</v>
      </c>
      <c r="D113" s="47">
        <v>28.1</v>
      </c>
      <c r="E113" s="47"/>
      <c r="F113" s="47">
        <v>26</v>
      </c>
      <c r="H113" s="296" t="s">
        <v>106</v>
      </c>
      <c r="I113" s="297"/>
      <c r="J113" s="298"/>
      <c r="K113" s="296" t="s">
        <v>107</v>
      </c>
      <c r="L113" s="297"/>
      <c r="M113" s="298"/>
    </row>
    <row r="114" spans="2:13" ht="15.75" customHeight="1" x14ac:dyDescent="0.2">
      <c r="B114" s="56" t="s">
        <v>17</v>
      </c>
      <c r="C114" s="300"/>
      <c r="D114" s="47">
        <v>63.911000000000001</v>
      </c>
      <c r="E114" s="47"/>
      <c r="F114" s="47">
        <v>48</v>
      </c>
      <c r="H114" s="13" t="s">
        <v>13</v>
      </c>
      <c r="I114" s="14"/>
      <c r="J114" s="17" t="s">
        <v>589</v>
      </c>
      <c r="K114" s="13" t="s">
        <v>13</v>
      </c>
      <c r="L114" s="39">
        <f>L116+L116*0.05</f>
        <v>886.2</v>
      </c>
      <c r="M114" s="17" t="s">
        <v>590</v>
      </c>
    </row>
    <row r="115" spans="2:13" ht="15.75" customHeight="1" x14ac:dyDescent="0.2">
      <c r="B115" s="56" t="s">
        <v>26</v>
      </c>
      <c r="C115" s="300"/>
      <c r="D115" s="47">
        <v>69.921999999999997</v>
      </c>
      <c r="E115" s="47"/>
      <c r="F115" s="47">
        <v>73</v>
      </c>
      <c r="H115" s="13" t="s">
        <v>19</v>
      </c>
      <c r="I115" s="18"/>
      <c r="J115" s="17" t="s">
        <v>591</v>
      </c>
      <c r="K115" s="13" t="s">
        <v>19</v>
      </c>
      <c r="L115" s="40">
        <f>L116-L116*0.05</f>
        <v>801.8</v>
      </c>
      <c r="M115" s="17" t="s">
        <v>592</v>
      </c>
    </row>
    <row r="116" spans="2:13" ht="15.75" customHeight="1" x14ac:dyDescent="0.2">
      <c r="B116" s="56" t="s">
        <v>32</v>
      </c>
      <c r="C116" s="300"/>
      <c r="D116" s="47">
        <v>96.744</v>
      </c>
      <c r="E116" s="47"/>
      <c r="F116" s="47">
        <v>95</v>
      </c>
      <c r="H116" s="13" t="s">
        <v>27</v>
      </c>
      <c r="I116" s="20"/>
      <c r="J116" s="17" t="s">
        <v>593</v>
      </c>
      <c r="K116" s="13" t="s">
        <v>27</v>
      </c>
      <c r="L116" s="20">
        <v>844</v>
      </c>
      <c r="M116" s="17" t="s">
        <v>594</v>
      </c>
    </row>
    <row r="117" spans="2:13" ht="15.75" customHeight="1" x14ac:dyDescent="0.2">
      <c r="B117" s="56" t="s">
        <v>33</v>
      </c>
      <c r="C117" s="301"/>
      <c r="D117" s="47">
        <v>128.11000000000001</v>
      </c>
      <c r="E117" s="47"/>
      <c r="F117" s="47">
        <v>127</v>
      </c>
      <c r="H117" s="13" t="s">
        <v>121</v>
      </c>
      <c r="I117" s="20"/>
      <c r="J117" s="17" t="s">
        <v>595</v>
      </c>
      <c r="K117" s="13" t="s">
        <v>121</v>
      </c>
      <c r="L117" s="20">
        <v>835</v>
      </c>
      <c r="M117" s="17" t="s">
        <v>596</v>
      </c>
    </row>
    <row r="118" spans="2:13" ht="15.75" customHeight="1" x14ac:dyDescent="0.25">
      <c r="B118" s="307"/>
      <c r="C118" s="297"/>
      <c r="D118" s="297"/>
      <c r="E118" s="297"/>
      <c r="F118" s="47"/>
      <c r="I118" s="3"/>
    </row>
    <row r="119" spans="2:13" ht="15.75" customHeight="1" x14ac:dyDescent="0.25">
      <c r="B119" s="56" t="s">
        <v>35</v>
      </c>
      <c r="C119" s="309" t="s">
        <v>36</v>
      </c>
      <c r="D119" s="47">
        <v>207.78</v>
      </c>
      <c r="E119" s="47"/>
      <c r="F119" s="47">
        <v>266</v>
      </c>
      <c r="I119" s="3"/>
    </row>
    <row r="120" spans="2:13" ht="15.75" customHeight="1" x14ac:dyDescent="0.25">
      <c r="B120" s="56" t="s">
        <v>37</v>
      </c>
      <c r="C120" s="300"/>
      <c r="D120" s="47">
        <v>444.11</v>
      </c>
      <c r="E120" s="47"/>
      <c r="F120" s="47">
        <v>439</v>
      </c>
      <c r="I120" s="3"/>
    </row>
    <row r="121" spans="2:13" ht="15.75" customHeight="1" x14ac:dyDescent="0.25">
      <c r="B121" s="56" t="s">
        <v>38</v>
      </c>
      <c r="C121" s="300"/>
      <c r="D121" s="47">
        <v>579.55999999999995</v>
      </c>
      <c r="E121" s="47"/>
      <c r="F121" s="47">
        <v>645</v>
      </c>
      <c r="I121" s="3"/>
    </row>
    <row r="122" spans="2:13" ht="15.75" customHeight="1" x14ac:dyDescent="0.25">
      <c r="B122" s="56" t="s">
        <v>39</v>
      </c>
      <c r="C122" s="300"/>
      <c r="D122" s="47">
        <v>746.22</v>
      </c>
      <c r="E122" s="47"/>
      <c r="F122" s="47">
        <v>820</v>
      </c>
      <c r="I122" s="3"/>
    </row>
    <row r="123" spans="2:13" ht="15.75" customHeight="1" x14ac:dyDescent="0.25">
      <c r="B123" s="57" t="s">
        <v>41</v>
      </c>
      <c r="C123" s="300"/>
      <c r="D123" s="50">
        <v>869.5</v>
      </c>
      <c r="E123" s="50"/>
      <c r="F123" s="50">
        <v>955</v>
      </c>
      <c r="I123" s="3"/>
    </row>
    <row r="124" spans="2:13" ht="15.75" customHeight="1" x14ac:dyDescent="0.25">
      <c r="B124" s="350"/>
      <c r="C124" s="297"/>
      <c r="D124" s="297"/>
      <c r="E124" s="297"/>
      <c r="F124" s="306"/>
      <c r="I124" s="3"/>
    </row>
    <row r="125" spans="2:13" ht="15.75" customHeight="1" x14ac:dyDescent="0.25">
      <c r="B125" s="56" t="s">
        <v>46</v>
      </c>
      <c r="C125" s="303" t="s">
        <v>47</v>
      </c>
      <c r="D125" s="47">
        <v>88.4</v>
      </c>
      <c r="E125" s="47"/>
      <c r="F125" s="47">
        <v>64</v>
      </c>
      <c r="I125" s="3"/>
    </row>
    <row r="126" spans="2:13" ht="15.75" customHeight="1" x14ac:dyDescent="0.25">
      <c r="B126" s="56" t="s">
        <v>48</v>
      </c>
      <c r="C126" s="300"/>
      <c r="D126" s="47">
        <v>94.6</v>
      </c>
      <c r="E126" s="47"/>
      <c r="F126" s="47">
        <v>63</v>
      </c>
      <c r="I126" s="3"/>
    </row>
    <row r="127" spans="2:13" ht="15.75" customHeight="1" x14ac:dyDescent="0.25">
      <c r="B127" s="307"/>
      <c r="C127" s="297"/>
      <c r="D127" s="297"/>
      <c r="E127" s="297"/>
      <c r="F127" s="47"/>
      <c r="I127" s="3"/>
    </row>
    <row r="128" spans="2:13" ht="15.75" customHeight="1" x14ac:dyDescent="0.25">
      <c r="B128" s="56" t="s">
        <v>50</v>
      </c>
      <c r="C128" s="309" t="s">
        <v>51</v>
      </c>
      <c r="D128" s="47">
        <v>271.44400000000002</v>
      </c>
      <c r="E128" s="47"/>
      <c r="F128" s="47">
        <v>232</v>
      </c>
      <c r="I128" s="3"/>
    </row>
    <row r="129" spans="2:9" ht="15.75" customHeight="1" x14ac:dyDescent="0.25">
      <c r="B129" s="56" t="s">
        <v>54</v>
      </c>
      <c r="C129" s="300"/>
      <c r="D129" s="47">
        <v>550.22199999999998</v>
      </c>
      <c r="E129" s="47"/>
      <c r="F129" s="47">
        <v>320</v>
      </c>
      <c r="I129" s="3"/>
    </row>
    <row r="130" spans="2:9" ht="15.75" customHeight="1" x14ac:dyDescent="0.25">
      <c r="B130" s="56" t="s">
        <v>55</v>
      </c>
      <c r="C130" s="300"/>
      <c r="D130" s="47">
        <v>609</v>
      </c>
      <c r="E130" s="47"/>
      <c r="F130" s="47">
        <v>701</v>
      </c>
      <c r="I130" s="3"/>
    </row>
    <row r="131" spans="2:9" ht="15.75" customHeight="1" x14ac:dyDescent="0.25">
      <c r="B131" s="56" t="s">
        <v>56</v>
      </c>
      <c r="C131" s="300"/>
      <c r="D131" s="47">
        <v>739.11099999999999</v>
      </c>
      <c r="E131" s="47"/>
      <c r="F131" s="47">
        <v>738</v>
      </c>
      <c r="I131" s="3"/>
    </row>
    <row r="132" spans="2:9" ht="15.75" customHeight="1" x14ac:dyDescent="0.25">
      <c r="B132" s="57" t="s">
        <v>57</v>
      </c>
      <c r="C132" s="300"/>
      <c r="D132" s="50">
        <v>746.88900000000001</v>
      </c>
      <c r="E132" s="50"/>
      <c r="F132" s="50">
        <v>578</v>
      </c>
      <c r="I132" s="3"/>
    </row>
    <row r="133" spans="2:9" ht="15.75" customHeight="1" x14ac:dyDescent="0.25">
      <c r="B133" s="350"/>
      <c r="C133" s="297"/>
      <c r="D133" s="297"/>
      <c r="E133" s="297"/>
      <c r="F133" s="306"/>
      <c r="I133" s="3"/>
    </row>
    <row r="134" spans="2:9" ht="15.75" customHeight="1" x14ac:dyDescent="0.25">
      <c r="B134" s="56" t="s">
        <v>60</v>
      </c>
      <c r="C134" s="303" t="s">
        <v>62</v>
      </c>
      <c r="D134" s="47">
        <v>19.36</v>
      </c>
      <c r="E134" s="47"/>
      <c r="F134" s="47">
        <v>18</v>
      </c>
      <c r="I134" s="3"/>
    </row>
    <row r="135" spans="2:9" ht="15.75" customHeight="1" x14ac:dyDescent="0.25">
      <c r="B135" s="56" t="s">
        <v>64</v>
      </c>
      <c r="C135" s="300"/>
      <c r="D135" s="47">
        <v>37</v>
      </c>
      <c r="E135" s="47"/>
      <c r="F135" s="47">
        <v>36</v>
      </c>
      <c r="I135" s="3"/>
    </row>
    <row r="136" spans="2:9" ht="15.75" customHeight="1" x14ac:dyDescent="0.25">
      <c r="B136" s="56" t="s">
        <v>65</v>
      </c>
      <c r="C136" s="301"/>
      <c r="D136" s="47">
        <v>41.74</v>
      </c>
      <c r="E136" s="47"/>
      <c r="F136" s="47">
        <v>42</v>
      </c>
      <c r="I136" s="3"/>
    </row>
    <row r="137" spans="2:9" ht="15.75" customHeight="1" x14ac:dyDescent="0.25">
      <c r="B137" s="307"/>
      <c r="C137" s="297"/>
      <c r="D137" s="297"/>
      <c r="E137" s="297"/>
      <c r="F137" s="47"/>
      <c r="I137" s="3"/>
    </row>
    <row r="138" spans="2:9" ht="15.75" customHeight="1" x14ac:dyDescent="0.25">
      <c r="B138" s="56" t="s">
        <v>66</v>
      </c>
      <c r="C138" s="309" t="s">
        <v>68</v>
      </c>
      <c r="D138" s="47">
        <v>204.5</v>
      </c>
      <c r="E138" s="47"/>
      <c r="F138" s="47">
        <v>182</v>
      </c>
      <c r="I138" s="3"/>
    </row>
    <row r="139" spans="2:9" ht="15.75" customHeight="1" x14ac:dyDescent="0.25">
      <c r="B139" s="57" t="s">
        <v>69</v>
      </c>
      <c r="C139" s="300"/>
      <c r="D139" s="50">
        <v>277.7</v>
      </c>
      <c r="E139" s="50"/>
      <c r="F139" s="50">
        <v>256</v>
      </c>
      <c r="I139" s="3"/>
    </row>
    <row r="140" spans="2:9" ht="15.75" customHeight="1" x14ac:dyDescent="0.25">
      <c r="B140" s="350"/>
      <c r="C140" s="297"/>
      <c r="D140" s="297"/>
      <c r="E140" s="297"/>
      <c r="F140" s="306"/>
      <c r="I140" s="3"/>
    </row>
    <row r="141" spans="2:9" ht="15.75" customHeight="1" x14ac:dyDescent="0.25">
      <c r="B141" s="56" t="s">
        <v>69</v>
      </c>
      <c r="C141" s="303" t="s">
        <v>71</v>
      </c>
      <c r="D141" s="47">
        <v>10.283300000000001</v>
      </c>
      <c r="E141" s="47"/>
      <c r="F141" s="47">
        <v>11</v>
      </c>
      <c r="I141" s="3"/>
    </row>
    <row r="142" spans="2:9" ht="15.75" customHeight="1" x14ac:dyDescent="0.25">
      <c r="B142" s="56" t="s">
        <v>72</v>
      </c>
      <c r="C142" s="300"/>
      <c r="D142" s="47">
        <v>11.8833</v>
      </c>
      <c r="E142" s="47"/>
      <c r="F142" s="47">
        <v>13</v>
      </c>
      <c r="I142" s="3"/>
    </row>
    <row r="143" spans="2:9" ht="15.75" customHeight="1" x14ac:dyDescent="0.25">
      <c r="B143" s="56" t="s">
        <v>73</v>
      </c>
      <c r="C143" s="301"/>
      <c r="D143" s="47">
        <v>17.433299999999999</v>
      </c>
      <c r="E143" s="47"/>
      <c r="F143" s="47">
        <v>17</v>
      </c>
      <c r="I143" s="3"/>
    </row>
    <row r="144" spans="2:9" ht="15.75" customHeight="1" x14ac:dyDescent="0.25">
      <c r="B144" s="307"/>
      <c r="C144" s="297"/>
      <c r="D144" s="297"/>
      <c r="E144" s="297"/>
      <c r="F144" s="47"/>
      <c r="I144" s="3"/>
    </row>
    <row r="145" spans="2:9" ht="15.75" customHeight="1" x14ac:dyDescent="0.25">
      <c r="B145" s="56" t="s">
        <v>76</v>
      </c>
      <c r="C145" s="309" t="s">
        <v>77</v>
      </c>
      <c r="D145" s="47">
        <v>117.467</v>
      </c>
      <c r="E145" s="47"/>
      <c r="F145" s="47">
        <v>115</v>
      </c>
      <c r="I145" s="3"/>
    </row>
    <row r="146" spans="2:9" ht="15.75" customHeight="1" x14ac:dyDescent="0.25">
      <c r="B146" s="56" t="s">
        <v>78</v>
      </c>
      <c r="C146" s="300"/>
      <c r="D146" s="47">
        <v>187.833</v>
      </c>
      <c r="E146" s="47"/>
      <c r="F146" s="47">
        <v>182</v>
      </c>
      <c r="I146" s="3"/>
    </row>
    <row r="147" spans="2:9" ht="15.75" customHeight="1" x14ac:dyDescent="0.25">
      <c r="B147" s="56" t="s">
        <v>79</v>
      </c>
      <c r="C147" s="300"/>
      <c r="D147" s="47">
        <v>218.333</v>
      </c>
      <c r="E147" s="47"/>
      <c r="F147" s="47">
        <v>214</v>
      </c>
      <c r="I147" s="3"/>
    </row>
    <row r="148" spans="2:9" ht="15.75" customHeight="1" x14ac:dyDescent="0.25">
      <c r="B148" s="57" t="s">
        <v>80</v>
      </c>
      <c r="C148" s="300"/>
      <c r="D148" s="50">
        <v>238.5</v>
      </c>
      <c r="E148" s="50"/>
      <c r="F148" s="50">
        <v>238</v>
      </c>
      <c r="I148" s="3"/>
    </row>
    <row r="149" spans="2:9" ht="15.75" customHeight="1" x14ac:dyDescent="0.25">
      <c r="B149" s="350"/>
      <c r="C149" s="297"/>
      <c r="D149" s="297"/>
      <c r="E149" s="297"/>
      <c r="F149" s="306"/>
      <c r="I149" s="3"/>
    </row>
    <row r="150" spans="2:9" ht="15.75" customHeight="1" x14ac:dyDescent="0.25">
      <c r="B150" s="56" t="s">
        <v>81</v>
      </c>
      <c r="C150" s="303" t="s">
        <v>82</v>
      </c>
      <c r="D150" s="47">
        <v>2</v>
      </c>
      <c r="E150" s="47"/>
      <c r="F150" s="47">
        <v>1</v>
      </c>
      <c r="I150" s="3"/>
    </row>
    <row r="151" spans="2:9" ht="15.75" customHeight="1" x14ac:dyDescent="0.25">
      <c r="B151" s="56" t="s">
        <v>83</v>
      </c>
      <c r="C151" s="300"/>
      <c r="D151" s="47">
        <v>10</v>
      </c>
      <c r="E151" s="47"/>
      <c r="F151" s="47">
        <v>10</v>
      </c>
      <c r="I151" s="3"/>
    </row>
    <row r="152" spans="2:9" ht="15.75" customHeight="1" x14ac:dyDescent="0.25">
      <c r="B152" s="56" t="s">
        <v>84</v>
      </c>
      <c r="C152" s="301"/>
      <c r="D152" s="47">
        <v>2</v>
      </c>
      <c r="E152" s="47"/>
      <c r="F152" s="47">
        <v>2</v>
      </c>
      <c r="I152" s="3"/>
    </row>
    <row r="153" spans="2:9" ht="15.75" customHeight="1" x14ac:dyDescent="0.25">
      <c r="B153" s="307"/>
      <c r="C153" s="297"/>
      <c r="D153" s="297"/>
      <c r="E153" s="297"/>
      <c r="F153" s="47"/>
      <c r="I153" s="3"/>
    </row>
    <row r="154" spans="2:9" ht="15.75" customHeight="1" x14ac:dyDescent="0.25">
      <c r="B154" s="56" t="s">
        <v>86</v>
      </c>
      <c r="C154" s="309" t="s">
        <v>87</v>
      </c>
      <c r="D154" s="47">
        <v>19</v>
      </c>
      <c r="E154" s="47"/>
      <c r="F154" s="47">
        <v>18</v>
      </c>
      <c r="I154" s="3"/>
    </row>
    <row r="155" spans="2:9" ht="15.75" customHeight="1" x14ac:dyDescent="0.25">
      <c r="B155" s="57" t="s">
        <v>88</v>
      </c>
      <c r="C155" s="300"/>
      <c r="D155" s="50">
        <v>20.367000000000001</v>
      </c>
      <c r="E155" s="50"/>
      <c r="F155" s="50">
        <v>19</v>
      </c>
      <c r="I155" s="3"/>
    </row>
    <row r="156" spans="2:9" ht="15.75" customHeight="1" x14ac:dyDescent="0.25">
      <c r="B156" s="350"/>
      <c r="C156" s="297"/>
      <c r="D156" s="297"/>
      <c r="E156" s="297"/>
      <c r="F156" s="298"/>
      <c r="I156" s="3"/>
    </row>
    <row r="157" spans="2:9" ht="15.75" customHeight="1" x14ac:dyDescent="0.25">
      <c r="B157" s="56" t="s">
        <v>89</v>
      </c>
      <c r="C157" s="303" t="s">
        <v>90</v>
      </c>
      <c r="D157" s="47">
        <v>5.15</v>
      </c>
      <c r="E157" s="47"/>
      <c r="F157" s="47">
        <v>7</v>
      </c>
      <c r="I157" s="3"/>
    </row>
    <row r="158" spans="2:9" ht="15.75" customHeight="1" x14ac:dyDescent="0.25">
      <c r="B158" s="57" t="s">
        <v>91</v>
      </c>
      <c r="C158" s="300"/>
      <c r="D158" s="50">
        <v>16.2</v>
      </c>
      <c r="E158" s="50"/>
      <c r="F158" s="50">
        <v>27</v>
      </c>
      <c r="I158" s="3"/>
    </row>
    <row r="159" spans="2:9" ht="15.75" customHeight="1" x14ac:dyDescent="0.25">
      <c r="B159" s="307"/>
      <c r="C159" s="297"/>
      <c r="D159" s="297"/>
      <c r="E159" s="297"/>
      <c r="F159" s="298"/>
      <c r="I159" s="3"/>
    </row>
    <row r="160" spans="2:9" ht="15.75" customHeight="1" x14ac:dyDescent="0.25">
      <c r="B160" s="56" t="s">
        <v>94</v>
      </c>
      <c r="C160" s="303" t="s">
        <v>95</v>
      </c>
      <c r="D160" s="47">
        <v>50.082999999999998</v>
      </c>
      <c r="E160" s="47"/>
      <c r="F160" s="47">
        <v>93</v>
      </c>
      <c r="I160" s="3"/>
    </row>
    <row r="161" spans="2:9" ht="15.75" customHeight="1" x14ac:dyDescent="0.25">
      <c r="B161" s="56" t="s">
        <v>96</v>
      </c>
      <c r="C161" s="300"/>
      <c r="D161" s="47">
        <v>93.992999999999995</v>
      </c>
      <c r="E161" s="47"/>
      <c r="F161" s="47">
        <v>133</v>
      </c>
      <c r="I161" s="3"/>
    </row>
    <row r="162" spans="2:9" ht="15.75" customHeight="1" x14ac:dyDescent="0.25">
      <c r="B162" s="56" t="s">
        <v>97</v>
      </c>
      <c r="C162" s="300"/>
      <c r="D162" s="47">
        <v>95.516999999999996</v>
      </c>
      <c r="E162" s="47"/>
      <c r="F162" s="47">
        <v>132</v>
      </c>
      <c r="I162" s="3"/>
    </row>
    <row r="163" spans="2:9" ht="15.75" customHeight="1" x14ac:dyDescent="0.25">
      <c r="B163" s="56" t="s">
        <v>98</v>
      </c>
      <c r="C163" s="300"/>
      <c r="D163" s="47">
        <v>100.92</v>
      </c>
      <c r="E163" s="47"/>
      <c r="F163" s="47">
        <v>139</v>
      </c>
      <c r="I163" s="3"/>
    </row>
    <row r="164" spans="2:9" ht="15.75" customHeight="1" x14ac:dyDescent="0.25">
      <c r="B164" s="56" t="s">
        <v>99</v>
      </c>
      <c r="C164" s="301"/>
      <c r="D164" s="47">
        <v>115.37</v>
      </c>
      <c r="E164" s="47"/>
      <c r="F164" s="47">
        <v>147</v>
      </c>
      <c r="I164" s="3"/>
    </row>
    <row r="165" spans="2:9" ht="15.75" customHeight="1" x14ac:dyDescent="0.2"/>
    <row r="166" spans="2:9" ht="15.75" customHeight="1" x14ac:dyDescent="0.2"/>
    <row r="167" spans="2:9" ht="15.75" customHeight="1" x14ac:dyDescent="0.2"/>
    <row r="168" spans="2:9" ht="15.75" customHeight="1" x14ac:dyDescent="0.2"/>
    <row r="169" spans="2:9" ht="15.75" customHeight="1" x14ac:dyDescent="0.2"/>
    <row r="170" spans="2:9" ht="15.75" customHeight="1" x14ac:dyDescent="0.2"/>
    <row r="171" spans="2:9" ht="15.75" customHeight="1" x14ac:dyDescent="0.2"/>
    <row r="172" spans="2:9" ht="15.75" customHeight="1" x14ac:dyDescent="0.2"/>
    <row r="173" spans="2:9" ht="15.75" customHeight="1" x14ac:dyDescent="0.2"/>
    <row r="174" spans="2:9" ht="15.75" customHeight="1" x14ac:dyDescent="0.2"/>
    <row r="175" spans="2:9" ht="15.75" customHeight="1" x14ac:dyDescent="0.2"/>
    <row r="176" spans="2:9"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4">
    <mergeCell ref="B66:G66"/>
    <mergeCell ref="I67:L67"/>
    <mergeCell ref="B68:G68"/>
    <mergeCell ref="I68:L68"/>
    <mergeCell ref="I72:L72"/>
    <mergeCell ref="C46:C47"/>
    <mergeCell ref="C49:C50"/>
    <mergeCell ref="C52:C56"/>
    <mergeCell ref="C30:C31"/>
    <mergeCell ref="B32:F32"/>
    <mergeCell ref="C33:C35"/>
    <mergeCell ref="B36:E36"/>
    <mergeCell ref="C37:C40"/>
    <mergeCell ref="B41:F41"/>
    <mergeCell ref="B45:E45"/>
    <mergeCell ref="B48:F48"/>
    <mergeCell ref="B51:F51"/>
    <mergeCell ref="C20:C24"/>
    <mergeCell ref="B25:F25"/>
    <mergeCell ref="C26:C28"/>
    <mergeCell ref="B29:E29"/>
    <mergeCell ref="C42:C44"/>
    <mergeCell ref="B10:E10"/>
    <mergeCell ref="B16:F16"/>
    <mergeCell ref="C11:C15"/>
    <mergeCell ref="C17:C18"/>
    <mergeCell ref="B19:E19"/>
    <mergeCell ref="B3:F3"/>
    <mergeCell ref="H4:M4"/>
    <mergeCell ref="C5:C9"/>
    <mergeCell ref="H5:J5"/>
    <mergeCell ref="K5:M5"/>
    <mergeCell ref="C150:C152"/>
    <mergeCell ref="C154:C155"/>
    <mergeCell ref="C157:C158"/>
    <mergeCell ref="C160:C164"/>
    <mergeCell ref="B140:F140"/>
    <mergeCell ref="B144:E144"/>
    <mergeCell ref="B149:F149"/>
    <mergeCell ref="B153:E153"/>
    <mergeCell ref="B156:F156"/>
    <mergeCell ref="B159:F159"/>
    <mergeCell ref="B118:E118"/>
    <mergeCell ref="C134:C136"/>
    <mergeCell ref="C138:C139"/>
    <mergeCell ref="C141:C143"/>
    <mergeCell ref="C145:C148"/>
    <mergeCell ref="C119:C123"/>
    <mergeCell ref="B124:F124"/>
    <mergeCell ref="C125:C126"/>
    <mergeCell ref="B127:E127"/>
    <mergeCell ref="C128:C132"/>
    <mergeCell ref="B133:F133"/>
    <mergeCell ref="B137:E137"/>
    <mergeCell ref="A106:Z106"/>
    <mergeCell ref="B111:F111"/>
    <mergeCell ref="H112:M112"/>
    <mergeCell ref="C113:C117"/>
    <mergeCell ref="H113:J113"/>
    <mergeCell ref="K113:M113"/>
    <mergeCell ref="T94:X96"/>
    <mergeCell ref="M96:R97"/>
    <mergeCell ref="B73:G73"/>
    <mergeCell ref="A81:Z81"/>
    <mergeCell ref="Z82:Z105"/>
    <mergeCell ref="M86:R86"/>
    <mergeCell ref="T86:X86"/>
    <mergeCell ref="M87:R88"/>
    <mergeCell ref="T87:X87"/>
    <mergeCell ref="H87:K87"/>
    <mergeCell ref="B88:F88"/>
    <mergeCell ref="H88:K88"/>
    <mergeCell ref="H92:K92"/>
    <mergeCell ref="B93:F93"/>
  </mergeCell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baseColWidth="10" defaultColWidth="12.625" defaultRowHeight="15" customHeight="1" x14ac:dyDescent="0.2"/>
  <cols>
    <col min="1" max="1" width="28.125" customWidth="1"/>
    <col min="2" max="2" width="12.875" customWidth="1"/>
    <col min="3" max="5" width="10" customWidth="1"/>
    <col min="6" max="7" width="11.375" customWidth="1"/>
    <col min="8" max="18" width="10" customWidth="1"/>
    <col min="19" max="19" width="11" customWidth="1"/>
    <col min="20" max="26" width="10" customWidth="1"/>
  </cols>
  <sheetData>
    <row r="1" spans="2:12" x14ac:dyDescent="0.25">
      <c r="D1" s="184"/>
    </row>
    <row r="2" spans="2:12" x14ac:dyDescent="0.25">
      <c r="B2" s="28" t="s">
        <v>562</v>
      </c>
      <c r="C2" s="28"/>
      <c r="D2" s="184"/>
      <c r="E2" s="28"/>
      <c r="F2" s="28"/>
      <c r="G2" s="28"/>
      <c r="H2" s="28"/>
      <c r="I2" s="28"/>
      <c r="J2" s="28"/>
      <c r="K2" s="28"/>
      <c r="L2" s="28"/>
    </row>
    <row r="3" spans="2:12" x14ac:dyDescent="0.25">
      <c r="B3" s="28"/>
      <c r="C3" s="23"/>
      <c r="D3" s="185"/>
      <c r="E3" s="23"/>
      <c r="F3" s="23"/>
      <c r="G3" s="23"/>
      <c r="H3" s="28"/>
      <c r="I3" s="28"/>
      <c r="J3" s="28"/>
      <c r="K3" s="28"/>
      <c r="L3" s="28"/>
    </row>
    <row r="4" spans="2:12" x14ac:dyDescent="0.25">
      <c r="B4" s="332" t="s">
        <v>563</v>
      </c>
      <c r="C4" s="297"/>
      <c r="D4" s="297"/>
      <c r="E4" s="297"/>
      <c r="F4" s="297"/>
      <c r="G4" s="297"/>
    </row>
    <row r="5" spans="2:12" ht="24" x14ac:dyDescent="0.2">
      <c r="B5" s="4" t="s">
        <v>0</v>
      </c>
      <c r="C5" s="5" t="s">
        <v>1</v>
      </c>
      <c r="D5" s="186" t="s">
        <v>42</v>
      </c>
      <c r="E5" s="5" t="s">
        <v>43</v>
      </c>
      <c r="F5" s="5" t="s">
        <v>44</v>
      </c>
      <c r="G5" s="5"/>
      <c r="I5" s="296" t="s">
        <v>45</v>
      </c>
      <c r="J5" s="297"/>
      <c r="K5" s="297"/>
      <c r="L5" s="298"/>
    </row>
    <row r="6" spans="2:12" ht="14.25" x14ac:dyDescent="0.2">
      <c r="B6" s="310" t="s">
        <v>275</v>
      </c>
      <c r="C6" s="297"/>
      <c r="D6" s="297"/>
      <c r="E6" s="297"/>
      <c r="F6" s="297"/>
      <c r="G6" s="306"/>
      <c r="I6" s="305" t="s">
        <v>275</v>
      </c>
      <c r="J6" s="297"/>
      <c r="K6" s="297"/>
      <c r="L6" s="298"/>
    </row>
    <row r="7" spans="2:12" ht="14.25" x14ac:dyDescent="0.2">
      <c r="B7" s="9" t="s">
        <v>11</v>
      </c>
      <c r="C7" s="12" t="s">
        <v>12</v>
      </c>
      <c r="D7" s="187">
        <v>720</v>
      </c>
      <c r="E7" s="22">
        <v>716</v>
      </c>
      <c r="F7" s="11">
        <v>930</v>
      </c>
      <c r="G7" s="11"/>
      <c r="I7" s="12"/>
      <c r="J7" s="12" t="s">
        <v>52</v>
      </c>
      <c r="K7" s="12" t="s">
        <v>53</v>
      </c>
      <c r="L7" s="12"/>
    </row>
    <row r="8" spans="2:12" ht="14.25" x14ac:dyDescent="0.2">
      <c r="B8" s="9" t="s">
        <v>11</v>
      </c>
      <c r="C8" s="12" t="s">
        <v>18</v>
      </c>
      <c r="D8" s="187">
        <v>0</v>
      </c>
      <c r="E8" s="22">
        <v>0</v>
      </c>
      <c r="F8" s="11">
        <v>0</v>
      </c>
      <c r="G8" s="11"/>
      <c r="I8" s="12" t="s">
        <v>12</v>
      </c>
      <c r="J8" s="17">
        <v>720</v>
      </c>
      <c r="K8" s="11">
        <v>930</v>
      </c>
      <c r="L8" s="17" t="s">
        <v>566</v>
      </c>
    </row>
    <row r="9" spans="2:12" ht="25.5" x14ac:dyDescent="0.2">
      <c r="B9" s="9" t="s">
        <v>21</v>
      </c>
      <c r="C9" s="12" t="s">
        <v>59</v>
      </c>
      <c r="D9" s="187">
        <v>440</v>
      </c>
      <c r="E9" s="22">
        <v>355</v>
      </c>
      <c r="F9" s="11">
        <v>446</v>
      </c>
      <c r="G9" s="11"/>
      <c r="I9" s="12" t="s">
        <v>18</v>
      </c>
      <c r="J9" s="17">
        <v>0</v>
      </c>
      <c r="K9" s="11">
        <v>0</v>
      </c>
      <c r="L9" s="17" t="s">
        <v>567</v>
      </c>
    </row>
    <row r="10" spans="2:12" ht="25.5" x14ac:dyDescent="0.2">
      <c r="B10" s="9" t="s">
        <v>21</v>
      </c>
      <c r="C10" s="12" t="s">
        <v>63</v>
      </c>
      <c r="D10" s="187">
        <v>160</v>
      </c>
      <c r="E10" s="22">
        <v>114</v>
      </c>
      <c r="F10" s="11">
        <v>162</v>
      </c>
      <c r="G10" s="11"/>
      <c r="I10" s="305" t="s">
        <v>313</v>
      </c>
      <c r="J10" s="297"/>
      <c r="K10" s="297"/>
      <c r="L10" s="298"/>
    </row>
    <row r="11" spans="2:12" ht="14.25" x14ac:dyDescent="0.2">
      <c r="B11" s="310" t="s">
        <v>313</v>
      </c>
      <c r="C11" s="297"/>
      <c r="D11" s="297"/>
      <c r="E11" s="297"/>
      <c r="F11" s="297"/>
      <c r="G11" s="306"/>
      <c r="I11" s="12" t="s">
        <v>12</v>
      </c>
      <c r="J11" s="17">
        <v>650</v>
      </c>
      <c r="K11" s="11">
        <v>900</v>
      </c>
      <c r="L11" s="17" t="s">
        <v>568</v>
      </c>
    </row>
    <row r="12" spans="2:12" ht="14.25" x14ac:dyDescent="0.2">
      <c r="B12" s="9" t="s">
        <v>11</v>
      </c>
      <c r="C12" s="12" t="s">
        <v>12</v>
      </c>
      <c r="D12" s="187">
        <v>650</v>
      </c>
      <c r="E12" s="22">
        <v>648</v>
      </c>
      <c r="F12" s="22">
        <v>900</v>
      </c>
      <c r="G12" s="22"/>
      <c r="I12" s="12" t="s">
        <v>18</v>
      </c>
      <c r="J12" s="17">
        <v>0</v>
      </c>
      <c r="K12" s="11">
        <v>0</v>
      </c>
      <c r="L12" s="17" t="s">
        <v>569</v>
      </c>
    </row>
    <row r="13" spans="2:12" ht="14.25" x14ac:dyDescent="0.2">
      <c r="B13" s="9" t="s">
        <v>11</v>
      </c>
      <c r="C13" s="12" t="s">
        <v>18</v>
      </c>
      <c r="D13" s="187">
        <v>0</v>
      </c>
      <c r="E13" s="22">
        <v>0</v>
      </c>
      <c r="F13" s="22">
        <v>0</v>
      </c>
      <c r="G13" s="22"/>
    </row>
    <row r="14" spans="2:12" ht="25.5" x14ac:dyDescent="0.2">
      <c r="B14" s="9" t="s">
        <v>21</v>
      </c>
      <c r="C14" s="12" t="s">
        <v>59</v>
      </c>
      <c r="D14" s="187">
        <v>430</v>
      </c>
      <c r="E14" s="22">
        <v>320</v>
      </c>
      <c r="F14" s="22">
        <v>430</v>
      </c>
      <c r="G14" s="22"/>
    </row>
    <row r="15" spans="2:12" ht="25.5" x14ac:dyDescent="0.2">
      <c r="B15" s="9" t="s">
        <v>21</v>
      </c>
      <c r="C15" s="12" t="s">
        <v>63</v>
      </c>
      <c r="D15" s="187">
        <v>150</v>
      </c>
      <c r="E15" s="22">
        <v>84</v>
      </c>
      <c r="F15" s="22">
        <v>154</v>
      </c>
      <c r="G15" s="22"/>
    </row>
    <row r="16" spans="2:12" x14ac:dyDescent="0.2">
      <c r="C16" s="2"/>
      <c r="D16" s="188"/>
    </row>
    <row r="17" spans="2:13" x14ac:dyDescent="0.2">
      <c r="C17" s="2"/>
      <c r="D17" s="189"/>
    </row>
    <row r="18" spans="2:13" x14ac:dyDescent="0.2">
      <c r="C18" s="2"/>
      <c r="D18" s="189"/>
    </row>
    <row r="19" spans="2:13" x14ac:dyDescent="0.25">
      <c r="D19" s="184"/>
    </row>
    <row r="20" spans="2:13" x14ac:dyDescent="0.25">
      <c r="B20" s="21" t="s">
        <v>570</v>
      </c>
      <c r="D20" s="184"/>
    </row>
    <row r="21" spans="2:13" ht="15.75" customHeight="1" x14ac:dyDescent="0.25">
      <c r="D21" s="184"/>
    </row>
    <row r="22" spans="2:13" ht="15.75" customHeight="1" x14ac:dyDescent="0.25">
      <c r="B22" s="304" t="s">
        <v>563</v>
      </c>
      <c r="C22" s="297"/>
      <c r="D22" s="297"/>
      <c r="E22" s="297"/>
      <c r="F22" s="154"/>
      <c r="G22" s="137"/>
      <c r="I22" s="3"/>
    </row>
    <row r="23" spans="2:13" ht="15.75" customHeight="1" x14ac:dyDescent="0.2">
      <c r="B23" s="4" t="s">
        <v>0</v>
      </c>
      <c r="C23" s="5" t="s">
        <v>1</v>
      </c>
      <c r="D23" s="186" t="s">
        <v>2</v>
      </c>
      <c r="E23" s="5" t="s">
        <v>43</v>
      </c>
      <c r="F23" s="45" t="s">
        <v>125</v>
      </c>
      <c r="G23" s="190"/>
      <c r="H23" s="296" t="s">
        <v>6</v>
      </c>
      <c r="I23" s="297"/>
      <c r="J23" s="297"/>
      <c r="K23" s="297"/>
      <c r="L23" s="297"/>
      <c r="M23" s="298"/>
    </row>
    <row r="24" spans="2:13" ht="15.75" customHeight="1" x14ac:dyDescent="0.2">
      <c r="B24" s="9" t="s">
        <v>7</v>
      </c>
      <c r="C24" s="302" t="s">
        <v>9</v>
      </c>
      <c r="D24" s="47">
        <v>28.1</v>
      </c>
      <c r="E24" s="11">
        <v>34</v>
      </c>
      <c r="F24" s="11">
        <v>28</v>
      </c>
      <c r="G24" s="31"/>
      <c r="H24" s="296" t="s">
        <v>106</v>
      </c>
      <c r="I24" s="297"/>
      <c r="J24" s="298"/>
      <c r="K24" s="296" t="s">
        <v>107</v>
      </c>
      <c r="L24" s="297"/>
      <c r="M24" s="298"/>
    </row>
    <row r="25" spans="2:13" ht="15.75" customHeight="1" x14ac:dyDescent="0.2">
      <c r="B25" s="9" t="s">
        <v>17</v>
      </c>
      <c r="C25" s="300"/>
      <c r="D25" s="47">
        <v>63.911000000000001</v>
      </c>
      <c r="E25" s="11">
        <v>70</v>
      </c>
      <c r="F25" s="11">
        <v>32</v>
      </c>
      <c r="G25" s="31"/>
      <c r="H25" s="13" t="s">
        <v>13</v>
      </c>
      <c r="I25" s="14">
        <v>688</v>
      </c>
      <c r="J25" s="17" t="s">
        <v>571</v>
      </c>
      <c r="K25" s="13" t="s">
        <v>13</v>
      </c>
      <c r="L25" s="14">
        <f>L27+L27*0.05</f>
        <v>745.5</v>
      </c>
      <c r="M25" s="17" t="s">
        <v>572</v>
      </c>
    </row>
    <row r="26" spans="2:13" ht="15.75" customHeight="1" x14ac:dyDescent="0.2">
      <c r="B26" s="9" t="s">
        <v>26</v>
      </c>
      <c r="C26" s="300"/>
      <c r="D26" s="47">
        <v>69.921999999999997</v>
      </c>
      <c r="E26" s="11">
        <v>86</v>
      </c>
      <c r="F26" s="11">
        <v>34</v>
      </c>
      <c r="G26" s="31"/>
      <c r="H26" s="13" t="s">
        <v>19</v>
      </c>
      <c r="I26" s="18">
        <v>622</v>
      </c>
      <c r="J26" s="17" t="s">
        <v>573</v>
      </c>
      <c r="K26" s="13" t="s">
        <v>19</v>
      </c>
      <c r="L26" s="18">
        <f>L27-L27*0.05</f>
        <v>674.5</v>
      </c>
      <c r="M26" s="17" t="s">
        <v>575</v>
      </c>
    </row>
    <row r="27" spans="2:13" ht="15.75" customHeight="1" x14ac:dyDescent="0.2">
      <c r="B27" s="9" t="s">
        <v>32</v>
      </c>
      <c r="C27" s="300"/>
      <c r="D27" s="47">
        <v>96.744</v>
      </c>
      <c r="E27" s="11">
        <v>104</v>
      </c>
      <c r="F27" s="11">
        <v>95</v>
      </c>
      <c r="G27" s="31"/>
      <c r="H27" s="13" t="s">
        <v>27</v>
      </c>
      <c r="I27" s="20">
        <v>655</v>
      </c>
      <c r="J27" s="17" t="s">
        <v>576</v>
      </c>
      <c r="K27" s="13" t="s">
        <v>27</v>
      </c>
      <c r="L27" s="20">
        <v>710</v>
      </c>
      <c r="M27" s="17" t="s">
        <v>577</v>
      </c>
    </row>
    <row r="28" spans="2:13" ht="15.75" customHeight="1" x14ac:dyDescent="0.2">
      <c r="B28" s="9" t="s">
        <v>33</v>
      </c>
      <c r="C28" s="301"/>
      <c r="D28" s="47">
        <v>128.11000000000001</v>
      </c>
      <c r="E28" s="11">
        <v>102</v>
      </c>
      <c r="F28" s="11">
        <v>129</v>
      </c>
      <c r="G28" s="31"/>
      <c r="H28" s="13" t="s">
        <v>121</v>
      </c>
      <c r="I28" s="20">
        <v>704</v>
      </c>
      <c r="J28" s="17" t="s">
        <v>578</v>
      </c>
      <c r="K28" s="13" t="s">
        <v>121</v>
      </c>
      <c r="L28" s="20">
        <v>712</v>
      </c>
      <c r="M28" s="17" t="s">
        <v>579</v>
      </c>
    </row>
    <row r="29" spans="2:13" ht="15.75" customHeight="1" x14ac:dyDescent="0.25">
      <c r="B29" s="296"/>
      <c r="C29" s="297"/>
      <c r="D29" s="297"/>
      <c r="E29" s="297"/>
      <c r="F29" s="11"/>
      <c r="G29" s="31"/>
      <c r="I29" s="3"/>
    </row>
    <row r="30" spans="2:13" ht="15.75" customHeight="1" x14ac:dyDescent="0.25">
      <c r="B30" s="9" t="s">
        <v>35</v>
      </c>
      <c r="C30" s="302" t="s">
        <v>36</v>
      </c>
      <c r="D30" s="47">
        <v>207.78</v>
      </c>
      <c r="E30" s="11">
        <v>374</v>
      </c>
      <c r="F30" s="11">
        <v>202</v>
      </c>
      <c r="G30" s="31"/>
      <c r="I30" s="3"/>
    </row>
    <row r="31" spans="2:13" ht="15.75" customHeight="1" x14ac:dyDescent="0.25">
      <c r="B31" s="9" t="s">
        <v>37</v>
      </c>
      <c r="C31" s="300"/>
      <c r="D31" s="47">
        <v>444.11</v>
      </c>
      <c r="E31" s="11">
        <v>430</v>
      </c>
      <c r="F31" s="11">
        <v>404</v>
      </c>
      <c r="G31" s="31"/>
      <c r="I31" s="3"/>
    </row>
    <row r="32" spans="2:13" ht="15.75" customHeight="1" x14ac:dyDescent="0.25">
      <c r="B32" s="9" t="s">
        <v>38</v>
      </c>
      <c r="C32" s="300"/>
      <c r="D32" s="47">
        <v>579.55999999999995</v>
      </c>
      <c r="E32" s="11">
        <v>497</v>
      </c>
      <c r="F32" s="11">
        <v>462</v>
      </c>
      <c r="G32" s="31"/>
      <c r="I32" s="3"/>
    </row>
    <row r="33" spans="2:9" ht="15.75" customHeight="1" x14ac:dyDescent="0.25">
      <c r="B33" s="9" t="s">
        <v>39</v>
      </c>
      <c r="C33" s="300"/>
      <c r="D33" s="47">
        <v>746.22</v>
      </c>
      <c r="E33" s="11">
        <v>702</v>
      </c>
      <c r="F33" s="11">
        <v>647</v>
      </c>
      <c r="G33" s="31"/>
      <c r="I33" s="3"/>
    </row>
    <row r="34" spans="2:9" ht="15.75" customHeight="1" x14ac:dyDescent="0.25">
      <c r="B34" s="49" t="s">
        <v>41</v>
      </c>
      <c r="C34" s="300"/>
      <c r="D34" s="50">
        <v>869.5</v>
      </c>
      <c r="E34" s="51">
        <v>741</v>
      </c>
      <c r="F34" s="51">
        <v>748</v>
      </c>
      <c r="G34" s="31"/>
      <c r="I34" s="3"/>
    </row>
    <row r="35" spans="2:9" ht="15.75" customHeight="1" x14ac:dyDescent="0.25">
      <c r="B35" s="308"/>
      <c r="C35" s="297"/>
      <c r="D35" s="297"/>
      <c r="E35" s="297"/>
      <c r="F35" s="306"/>
      <c r="G35" s="191"/>
      <c r="I35" s="3"/>
    </row>
    <row r="36" spans="2:9" ht="15.75" customHeight="1" x14ac:dyDescent="0.25">
      <c r="B36" s="9" t="s">
        <v>46</v>
      </c>
      <c r="C36" s="299" t="s">
        <v>47</v>
      </c>
      <c r="D36" s="47">
        <v>88.4</v>
      </c>
      <c r="E36" s="11">
        <v>95</v>
      </c>
      <c r="F36" s="11">
        <v>79</v>
      </c>
      <c r="G36" s="31"/>
      <c r="I36" s="3"/>
    </row>
    <row r="37" spans="2:9" ht="15.75" customHeight="1" x14ac:dyDescent="0.25">
      <c r="B37" s="9" t="s">
        <v>48</v>
      </c>
      <c r="C37" s="300"/>
      <c r="D37" s="47">
        <v>94.6</v>
      </c>
      <c r="E37" s="11">
        <v>99</v>
      </c>
      <c r="F37" s="11">
        <v>80</v>
      </c>
      <c r="G37" s="31"/>
      <c r="I37" s="3"/>
    </row>
    <row r="38" spans="2:9" ht="15.75" customHeight="1" x14ac:dyDescent="0.25">
      <c r="B38" s="296"/>
      <c r="C38" s="297"/>
      <c r="D38" s="297"/>
      <c r="E38" s="297"/>
      <c r="F38" s="11"/>
      <c r="G38" s="31"/>
      <c r="I38" s="3"/>
    </row>
    <row r="39" spans="2:9" ht="15.75" customHeight="1" x14ac:dyDescent="0.25">
      <c r="B39" s="9" t="s">
        <v>50</v>
      </c>
      <c r="C39" s="302" t="s">
        <v>51</v>
      </c>
      <c r="D39" s="47">
        <v>271.44400000000002</v>
      </c>
      <c r="E39" s="11">
        <v>536</v>
      </c>
      <c r="F39" s="11">
        <v>263</v>
      </c>
      <c r="G39" s="31"/>
      <c r="I39" s="3"/>
    </row>
    <row r="40" spans="2:9" ht="15.75" customHeight="1" x14ac:dyDescent="0.25">
      <c r="B40" s="9" t="s">
        <v>54</v>
      </c>
      <c r="C40" s="300"/>
      <c r="D40" s="47">
        <v>550.22199999999998</v>
      </c>
      <c r="E40" s="11">
        <v>561</v>
      </c>
      <c r="F40" s="11">
        <v>560</v>
      </c>
      <c r="G40" s="31"/>
      <c r="I40" s="3"/>
    </row>
    <row r="41" spans="2:9" ht="15.75" customHeight="1" x14ac:dyDescent="0.25">
      <c r="B41" s="9" t="s">
        <v>55</v>
      </c>
      <c r="C41" s="300"/>
      <c r="D41" s="47">
        <v>609</v>
      </c>
      <c r="E41" s="11">
        <v>696</v>
      </c>
      <c r="F41" s="11">
        <v>660</v>
      </c>
      <c r="G41" s="31"/>
      <c r="I41" s="3"/>
    </row>
    <row r="42" spans="2:9" ht="15.75" customHeight="1" x14ac:dyDescent="0.25">
      <c r="B42" s="9" t="s">
        <v>56</v>
      </c>
      <c r="C42" s="300"/>
      <c r="D42" s="47">
        <v>739.11099999999999</v>
      </c>
      <c r="E42" s="11">
        <v>794</v>
      </c>
      <c r="F42" s="11">
        <v>752</v>
      </c>
      <c r="G42" s="31"/>
      <c r="I42" s="3"/>
    </row>
    <row r="43" spans="2:9" ht="15.75" customHeight="1" x14ac:dyDescent="0.25">
      <c r="B43" s="49" t="s">
        <v>57</v>
      </c>
      <c r="C43" s="300"/>
      <c r="D43" s="50">
        <v>746.88900000000001</v>
      </c>
      <c r="E43" s="51">
        <v>634</v>
      </c>
      <c r="F43" s="51">
        <v>597</v>
      </c>
      <c r="G43" s="31"/>
      <c r="I43" s="3"/>
    </row>
    <row r="44" spans="2:9" ht="15.75" customHeight="1" x14ac:dyDescent="0.25">
      <c r="B44" s="308"/>
      <c r="C44" s="297"/>
      <c r="D44" s="297"/>
      <c r="E44" s="297"/>
      <c r="F44" s="306"/>
      <c r="G44" s="191"/>
      <c r="I44" s="3"/>
    </row>
    <row r="45" spans="2:9" ht="15.75" customHeight="1" x14ac:dyDescent="0.25">
      <c r="B45" s="9" t="s">
        <v>60</v>
      </c>
      <c r="C45" s="299" t="s">
        <v>62</v>
      </c>
      <c r="D45" s="47">
        <v>19.36</v>
      </c>
      <c r="E45" s="11">
        <v>19</v>
      </c>
      <c r="F45" s="11">
        <v>14</v>
      </c>
      <c r="G45" s="31"/>
      <c r="I45" s="3"/>
    </row>
    <row r="46" spans="2:9" ht="15.75" customHeight="1" x14ac:dyDescent="0.25">
      <c r="B46" s="9" t="s">
        <v>64</v>
      </c>
      <c r="C46" s="300"/>
      <c r="D46" s="47">
        <v>33.31</v>
      </c>
      <c r="E46" s="11">
        <v>37</v>
      </c>
      <c r="F46" s="11">
        <v>32</v>
      </c>
      <c r="G46" s="31"/>
      <c r="I46" s="3"/>
    </row>
    <row r="47" spans="2:9" ht="15.75" customHeight="1" x14ac:dyDescent="0.25">
      <c r="B47" s="9" t="s">
        <v>65</v>
      </c>
      <c r="C47" s="301"/>
      <c r="D47" s="47">
        <v>41.74</v>
      </c>
      <c r="E47" s="11">
        <v>20</v>
      </c>
      <c r="F47" s="11">
        <v>17</v>
      </c>
      <c r="G47" s="31"/>
      <c r="I47" s="3"/>
    </row>
    <row r="48" spans="2:9" ht="15.75" customHeight="1" x14ac:dyDescent="0.25">
      <c r="B48" s="296"/>
      <c r="C48" s="297"/>
      <c r="D48" s="297"/>
      <c r="E48" s="297"/>
      <c r="F48" s="11"/>
      <c r="G48" s="31"/>
      <c r="I48" s="3"/>
    </row>
    <row r="49" spans="2:9" ht="15.75" customHeight="1" x14ac:dyDescent="0.25">
      <c r="B49" s="9" t="s">
        <v>66</v>
      </c>
      <c r="C49" s="302" t="s">
        <v>68</v>
      </c>
      <c r="D49" s="47">
        <v>204.5</v>
      </c>
      <c r="E49" s="11">
        <v>233</v>
      </c>
      <c r="F49" s="11">
        <v>201</v>
      </c>
      <c r="G49" s="31"/>
      <c r="I49" s="3"/>
    </row>
    <row r="50" spans="2:9" ht="15.75" customHeight="1" x14ac:dyDescent="0.25">
      <c r="B50" s="49" t="s">
        <v>69</v>
      </c>
      <c r="C50" s="300"/>
      <c r="D50" s="50">
        <v>277.7</v>
      </c>
      <c r="E50" s="51">
        <v>325</v>
      </c>
      <c r="F50" s="51">
        <v>288</v>
      </c>
      <c r="G50" s="31"/>
      <c r="I50" s="3"/>
    </row>
    <row r="51" spans="2:9" ht="15.75" customHeight="1" x14ac:dyDescent="0.25">
      <c r="B51" s="305"/>
      <c r="C51" s="297"/>
      <c r="D51" s="297"/>
      <c r="E51" s="297"/>
      <c r="F51" s="306"/>
      <c r="G51" s="33"/>
      <c r="I51" s="3"/>
    </row>
    <row r="52" spans="2:9" ht="15.75" customHeight="1" x14ac:dyDescent="0.25">
      <c r="B52" s="9" t="s">
        <v>69</v>
      </c>
      <c r="C52" s="299" t="s">
        <v>71</v>
      </c>
      <c r="D52" s="47">
        <v>10.283300000000001</v>
      </c>
      <c r="E52" s="11">
        <v>8</v>
      </c>
      <c r="F52" s="11">
        <v>17</v>
      </c>
      <c r="G52" s="31"/>
      <c r="I52" s="3"/>
    </row>
    <row r="53" spans="2:9" ht="15.75" customHeight="1" x14ac:dyDescent="0.25">
      <c r="B53" s="9" t="s">
        <v>72</v>
      </c>
      <c r="C53" s="300"/>
      <c r="D53" s="47">
        <v>11.8833</v>
      </c>
      <c r="E53" s="11">
        <v>19</v>
      </c>
      <c r="F53" s="11">
        <v>18</v>
      </c>
      <c r="G53" s="31"/>
      <c r="I53" s="3"/>
    </row>
    <row r="54" spans="2:9" ht="15.75" customHeight="1" x14ac:dyDescent="0.25">
      <c r="B54" s="9" t="s">
        <v>73</v>
      </c>
      <c r="C54" s="301"/>
      <c r="D54" s="47">
        <v>17.433299999999999</v>
      </c>
      <c r="E54" s="11">
        <v>25</v>
      </c>
      <c r="F54" s="11">
        <v>23</v>
      </c>
      <c r="G54" s="31"/>
      <c r="I54" s="3"/>
    </row>
    <row r="55" spans="2:9" ht="15.75" customHeight="1" x14ac:dyDescent="0.25">
      <c r="B55" s="296"/>
      <c r="C55" s="297"/>
      <c r="D55" s="297"/>
      <c r="E55" s="297"/>
      <c r="F55" s="11"/>
      <c r="G55" s="31"/>
      <c r="I55" s="3"/>
    </row>
    <row r="56" spans="2:9" ht="15.75" customHeight="1" x14ac:dyDescent="0.25">
      <c r="B56" s="9" t="s">
        <v>76</v>
      </c>
      <c r="C56" s="302" t="s">
        <v>77</v>
      </c>
      <c r="D56" s="47">
        <v>117.467</v>
      </c>
      <c r="E56" s="11">
        <v>211</v>
      </c>
      <c r="F56" s="11">
        <v>212</v>
      </c>
      <c r="G56" s="31"/>
      <c r="I56" s="3"/>
    </row>
    <row r="57" spans="2:9" ht="15.75" customHeight="1" x14ac:dyDescent="0.25">
      <c r="B57" s="9" t="s">
        <v>78</v>
      </c>
      <c r="C57" s="300"/>
      <c r="D57" s="47">
        <v>187.833</v>
      </c>
      <c r="E57" s="11">
        <v>147</v>
      </c>
      <c r="F57" s="11">
        <v>150</v>
      </c>
      <c r="G57" s="31"/>
      <c r="I57" s="3"/>
    </row>
    <row r="58" spans="2:9" ht="15.75" customHeight="1" x14ac:dyDescent="0.25">
      <c r="B58" s="9" t="s">
        <v>79</v>
      </c>
      <c r="C58" s="300"/>
      <c r="D58" s="47">
        <v>218.333</v>
      </c>
      <c r="E58" s="11">
        <v>288</v>
      </c>
      <c r="F58" s="11">
        <v>291</v>
      </c>
      <c r="G58" s="31"/>
      <c r="I58" s="3"/>
    </row>
    <row r="59" spans="2:9" ht="15.75" customHeight="1" x14ac:dyDescent="0.25">
      <c r="B59" s="49" t="s">
        <v>80</v>
      </c>
      <c r="C59" s="300"/>
      <c r="D59" s="50">
        <v>238.5</v>
      </c>
      <c r="E59" s="51">
        <v>110</v>
      </c>
      <c r="F59" s="51">
        <v>115</v>
      </c>
      <c r="G59" s="31"/>
      <c r="I59" s="3"/>
    </row>
    <row r="60" spans="2:9" ht="15.75" customHeight="1" x14ac:dyDescent="0.25">
      <c r="B60" s="305"/>
      <c r="C60" s="297"/>
      <c r="D60" s="297"/>
      <c r="E60" s="297"/>
      <c r="F60" s="306"/>
      <c r="G60" s="33"/>
      <c r="I60" s="3"/>
    </row>
    <row r="61" spans="2:9" ht="15.75" customHeight="1" x14ac:dyDescent="0.25">
      <c r="B61" s="9" t="s">
        <v>81</v>
      </c>
      <c r="C61" s="299" t="s">
        <v>82</v>
      </c>
      <c r="D61" s="47">
        <v>2</v>
      </c>
      <c r="E61" s="11">
        <v>2</v>
      </c>
      <c r="F61" s="11">
        <v>2</v>
      </c>
      <c r="G61" s="31"/>
      <c r="I61" s="3"/>
    </row>
    <row r="62" spans="2:9" ht="15.75" customHeight="1" x14ac:dyDescent="0.25">
      <c r="B62" s="9" t="s">
        <v>83</v>
      </c>
      <c r="C62" s="300"/>
      <c r="D62" s="47">
        <v>7.133</v>
      </c>
      <c r="E62" s="11">
        <v>8</v>
      </c>
      <c r="F62" s="11">
        <v>9</v>
      </c>
      <c r="G62" s="31"/>
      <c r="I62" s="3"/>
    </row>
    <row r="63" spans="2:9" ht="15.75" customHeight="1" x14ac:dyDescent="0.25">
      <c r="B63" s="9" t="s">
        <v>84</v>
      </c>
      <c r="C63" s="301"/>
      <c r="D63" s="47">
        <v>10.72</v>
      </c>
      <c r="E63" s="11">
        <v>6</v>
      </c>
      <c r="F63" s="11">
        <v>6</v>
      </c>
      <c r="G63" s="31"/>
      <c r="I63" s="3"/>
    </row>
    <row r="64" spans="2:9" ht="15.75" customHeight="1" x14ac:dyDescent="0.25">
      <c r="B64" s="296"/>
      <c r="C64" s="297"/>
      <c r="D64" s="297"/>
      <c r="E64" s="297"/>
      <c r="F64" s="11"/>
      <c r="G64" s="31"/>
      <c r="I64" s="3"/>
    </row>
    <row r="65" spans="1:26" ht="15.75" customHeight="1" x14ac:dyDescent="0.25">
      <c r="B65" s="9" t="s">
        <v>86</v>
      </c>
      <c r="C65" s="302" t="s">
        <v>87</v>
      </c>
      <c r="D65" s="47">
        <v>20.466999999999999</v>
      </c>
      <c r="E65" s="11">
        <v>22</v>
      </c>
      <c r="F65" s="11">
        <v>22</v>
      </c>
      <c r="G65" s="31"/>
      <c r="I65" s="3"/>
    </row>
    <row r="66" spans="1:26" ht="15.75" customHeight="1" x14ac:dyDescent="0.25">
      <c r="B66" s="49" t="s">
        <v>88</v>
      </c>
      <c r="C66" s="300"/>
      <c r="D66" s="50">
        <v>20.367000000000001</v>
      </c>
      <c r="E66" s="51">
        <v>22</v>
      </c>
      <c r="F66" s="51">
        <v>22</v>
      </c>
      <c r="G66" s="31"/>
      <c r="I66" s="3"/>
    </row>
    <row r="67" spans="1:26" ht="15.75" customHeight="1" x14ac:dyDescent="0.25">
      <c r="B67" s="305"/>
      <c r="C67" s="297"/>
      <c r="D67" s="297"/>
      <c r="E67" s="297"/>
      <c r="F67" s="306"/>
      <c r="G67" s="33"/>
      <c r="I67" s="3"/>
    </row>
    <row r="68" spans="1:26" ht="15.75" customHeight="1" x14ac:dyDescent="0.25">
      <c r="B68" s="9" t="s">
        <v>89</v>
      </c>
      <c r="C68" s="299" t="s">
        <v>90</v>
      </c>
      <c r="D68" s="47">
        <v>5.15</v>
      </c>
      <c r="E68" s="11">
        <v>20</v>
      </c>
      <c r="F68" s="11">
        <v>20</v>
      </c>
      <c r="G68" s="31"/>
      <c r="I68" s="3"/>
    </row>
    <row r="69" spans="1:26" ht="15.75" customHeight="1" x14ac:dyDescent="0.25">
      <c r="B69" s="49" t="s">
        <v>91</v>
      </c>
      <c r="C69" s="300"/>
      <c r="D69" s="50">
        <v>16.2</v>
      </c>
      <c r="E69" s="51">
        <v>19</v>
      </c>
      <c r="F69" s="51">
        <v>19</v>
      </c>
      <c r="G69" s="31"/>
      <c r="I69" s="3"/>
    </row>
    <row r="70" spans="1:26" ht="15.75" customHeight="1" x14ac:dyDescent="0.25">
      <c r="B70" s="296"/>
      <c r="C70" s="297"/>
      <c r="D70" s="297"/>
      <c r="E70" s="297"/>
      <c r="F70" s="298"/>
      <c r="G70" s="27"/>
      <c r="I70" s="3"/>
    </row>
    <row r="71" spans="1:26" ht="15.75" customHeight="1" x14ac:dyDescent="0.25">
      <c r="B71" s="9" t="s">
        <v>94</v>
      </c>
      <c r="C71" s="299" t="s">
        <v>95</v>
      </c>
      <c r="D71" s="47">
        <v>50.082999999999998</v>
      </c>
      <c r="E71" s="11">
        <v>96</v>
      </c>
      <c r="F71" s="11">
        <v>95</v>
      </c>
      <c r="G71" s="31"/>
      <c r="I71" s="3"/>
    </row>
    <row r="72" spans="1:26" ht="15.75" customHeight="1" x14ac:dyDescent="0.25">
      <c r="B72" s="9" t="s">
        <v>96</v>
      </c>
      <c r="C72" s="300"/>
      <c r="D72" s="47">
        <v>93.992999999999995</v>
      </c>
      <c r="E72" s="11">
        <v>105</v>
      </c>
      <c r="F72" s="11">
        <v>106</v>
      </c>
      <c r="G72" s="31"/>
      <c r="I72" s="3"/>
    </row>
    <row r="73" spans="1:26" ht="15.75" customHeight="1" x14ac:dyDescent="0.25">
      <c r="B73" s="9" t="s">
        <v>97</v>
      </c>
      <c r="C73" s="300"/>
      <c r="D73" s="47">
        <v>95.516999999999996</v>
      </c>
      <c r="E73" s="11">
        <v>97</v>
      </c>
      <c r="F73" s="11">
        <v>98</v>
      </c>
      <c r="G73" s="31"/>
      <c r="I73" s="3"/>
    </row>
    <row r="74" spans="1:26" ht="15.75" customHeight="1" x14ac:dyDescent="0.25">
      <c r="B74" s="9" t="s">
        <v>98</v>
      </c>
      <c r="C74" s="300"/>
      <c r="D74" s="47">
        <v>100.92</v>
      </c>
      <c r="E74" s="11">
        <v>108</v>
      </c>
      <c r="F74" s="11">
        <v>108</v>
      </c>
      <c r="G74" s="31"/>
      <c r="I74" s="3"/>
    </row>
    <row r="75" spans="1:26" ht="15.75" customHeight="1" x14ac:dyDescent="0.25">
      <c r="B75" s="9" t="s">
        <v>99</v>
      </c>
      <c r="C75" s="301"/>
      <c r="D75" s="47">
        <v>115.37</v>
      </c>
      <c r="E75" s="11">
        <v>106</v>
      </c>
      <c r="F75" s="11">
        <v>109</v>
      </c>
      <c r="G75" s="31"/>
      <c r="I75" s="3"/>
    </row>
    <row r="76" spans="1:26" ht="15.75" customHeight="1" x14ac:dyDescent="0.25">
      <c r="B76" s="1"/>
      <c r="C76" s="1"/>
      <c r="D76" s="189"/>
      <c r="E76" s="2"/>
      <c r="F76" s="146"/>
      <c r="G76" s="146"/>
      <c r="I76" s="3"/>
    </row>
    <row r="77" spans="1:26" ht="15.75" customHeight="1" x14ac:dyDescent="0.25">
      <c r="A77" s="29"/>
      <c r="B77" s="30"/>
      <c r="C77" s="30"/>
      <c r="D77" s="192"/>
      <c r="E77" s="32"/>
      <c r="F77" s="159"/>
      <c r="G77" s="159"/>
      <c r="H77" s="29"/>
      <c r="I77" s="34"/>
      <c r="J77" s="29"/>
      <c r="K77" s="29"/>
      <c r="L77" s="29"/>
      <c r="M77" s="29"/>
      <c r="N77" s="29"/>
      <c r="O77" s="29"/>
      <c r="P77" s="29"/>
      <c r="Q77" s="29"/>
      <c r="R77" s="29"/>
      <c r="S77" s="29"/>
      <c r="T77" s="29"/>
      <c r="U77" s="29"/>
      <c r="V77" s="29"/>
      <c r="W77" s="29"/>
      <c r="X77" s="29"/>
      <c r="Y77" s="29"/>
      <c r="Z77" s="29"/>
    </row>
    <row r="78" spans="1:26" ht="15.75" customHeight="1" x14ac:dyDescent="0.25">
      <c r="D78" s="184"/>
    </row>
    <row r="79" spans="1:26" ht="15.75" customHeight="1" x14ac:dyDescent="0.25">
      <c r="B79" s="28" t="s">
        <v>562</v>
      </c>
      <c r="C79" s="28"/>
      <c r="D79" s="184"/>
      <c r="E79" s="28"/>
      <c r="F79" s="28"/>
      <c r="G79" s="28"/>
      <c r="H79" s="28"/>
      <c r="I79" s="28"/>
      <c r="J79" s="28"/>
      <c r="K79" s="28"/>
      <c r="L79" s="28"/>
    </row>
    <row r="80" spans="1:26" ht="15.75" customHeight="1" x14ac:dyDescent="0.25">
      <c r="B80" s="28"/>
      <c r="C80" s="23"/>
      <c r="D80" s="185"/>
      <c r="E80" s="23"/>
      <c r="F80" s="23"/>
      <c r="G80" s="23"/>
      <c r="H80" s="28"/>
      <c r="I80" s="28"/>
      <c r="J80" s="28"/>
      <c r="K80" s="28"/>
      <c r="L80" s="28"/>
    </row>
    <row r="81" spans="1:26" ht="15.75" customHeight="1" x14ac:dyDescent="0.25">
      <c r="B81" s="332" t="s">
        <v>597</v>
      </c>
      <c r="C81" s="297"/>
      <c r="D81" s="297"/>
      <c r="E81" s="297"/>
      <c r="F81" s="297"/>
      <c r="G81" s="193"/>
      <c r="I81" s="345" t="s">
        <v>598</v>
      </c>
      <c r="J81" s="297"/>
      <c r="K81" s="297"/>
      <c r="L81" s="298"/>
    </row>
    <row r="82" spans="1:26" ht="15.75" customHeight="1" x14ac:dyDescent="0.2">
      <c r="B82" s="4" t="s">
        <v>0</v>
      </c>
      <c r="C82" s="5" t="s">
        <v>1</v>
      </c>
      <c r="D82" s="186" t="s">
        <v>42</v>
      </c>
      <c r="E82" s="5" t="s">
        <v>43</v>
      </c>
      <c r="F82" s="5" t="s">
        <v>44</v>
      </c>
      <c r="G82" s="5"/>
      <c r="I82" s="348" t="s">
        <v>45</v>
      </c>
      <c r="J82" s="318"/>
      <c r="K82" s="318"/>
      <c r="L82" s="319"/>
    </row>
    <row r="83" spans="1:26" ht="15.75" customHeight="1" x14ac:dyDescent="0.2">
      <c r="B83" s="310" t="s">
        <v>275</v>
      </c>
      <c r="C83" s="297"/>
      <c r="D83" s="297"/>
      <c r="E83" s="297"/>
      <c r="F83" s="306"/>
      <c r="G83" s="162"/>
      <c r="I83" s="342" t="s">
        <v>275</v>
      </c>
      <c r="J83" s="343"/>
      <c r="K83" s="343"/>
      <c r="L83" s="344"/>
    </row>
    <row r="84" spans="1:26" ht="15.75" customHeight="1" x14ac:dyDescent="0.2">
      <c r="B84" s="9" t="s">
        <v>11</v>
      </c>
      <c r="C84" s="12" t="s">
        <v>12</v>
      </c>
      <c r="D84" s="187">
        <v>930</v>
      </c>
      <c r="E84" s="22">
        <v>938</v>
      </c>
      <c r="F84" s="22">
        <v>933</v>
      </c>
      <c r="G84" s="22"/>
      <c r="I84" s="12"/>
      <c r="J84" s="12" t="s">
        <v>52</v>
      </c>
      <c r="K84" s="12" t="s">
        <v>53</v>
      </c>
      <c r="L84" s="12"/>
    </row>
    <row r="85" spans="1:26" ht="15.75" customHeight="1" x14ac:dyDescent="0.2">
      <c r="B85" s="9" t="s">
        <v>11</v>
      </c>
      <c r="C85" s="12" t="s">
        <v>18</v>
      </c>
      <c r="D85" s="187">
        <v>0</v>
      </c>
      <c r="E85" s="22">
        <v>0</v>
      </c>
      <c r="F85" s="22">
        <v>0</v>
      </c>
      <c r="G85" s="22"/>
      <c r="I85" s="12" t="s">
        <v>12</v>
      </c>
      <c r="J85" s="17">
        <v>930</v>
      </c>
      <c r="K85" s="17">
        <v>930</v>
      </c>
      <c r="L85" s="17" t="s">
        <v>599</v>
      </c>
    </row>
    <row r="86" spans="1:26" ht="15.75" customHeight="1" x14ac:dyDescent="0.2">
      <c r="B86" s="9" t="s">
        <v>21</v>
      </c>
      <c r="C86" s="12" t="s">
        <v>59</v>
      </c>
      <c r="D86" s="187">
        <v>440</v>
      </c>
      <c r="E86" s="22">
        <v>450</v>
      </c>
      <c r="F86" s="22">
        <v>437</v>
      </c>
      <c r="G86" s="22"/>
      <c r="I86" s="12" t="s">
        <v>18</v>
      </c>
      <c r="J86" s="17">
        <v>0</v>
      </c>
      <c r="K86" s="17">
        <v>0</v>
      </c>
      <c r="L86" s="17" t="s">
        <v>600</v>
      </c>
    </row>
    <row r="87" spans="1:26" ht="15.75" customHeight="1" x14ac:dyDescent="0.2">
      <c r="B87" s="9" t="s">
        <v>21</v>
      </c>
      <c r="C87" s="12" t="s">
        <v>63</v>
      </c>
      <c r="D87" s="187">
        <v>160</v>
      </c>
      <c r="E87" s="22">
        <v>175</v>
      </c>
      <c r="F87" s="22">
        <v>159</v>
      </c>
      <c r="G87" s="22"/>
      <c r="I87" s="305" t="s">
        <v>313</v>
      </c>
      <c r="J87" s="297"/>
      <c r="K87" s="297"/>
      <c r="L87" s="298"/>
    </row>
    <row r="88" spans="1:26" ht="15.75" customHeight="1" x14ac:dyDescent="0.25">
      <c r="B88" s="310" t="s">
        <v>313</v>
      </c>
      <c r="C88" s="297"/>
      <c r="D88" s="297"/>
      <c r="E88" s="297"/>
      <c r="F88" s="306"/>
      <c r="G88" s="194"/>
      <c r="H88" s="195"/>
      <c r="I88" s="9" t="s">
        <v>12</v>
      </c>
      <c r="J88" s="17">
        <v>900</v>
      </c>
      <c r="K88" s="17">
        <v>900</v>
      </c>
      <c r="L88" s="17" t="s">
        <v>602</v>
      </c>
    </row>
    <row r="89" spans="1:26" ht="15.75" customHeight="1" x14ac:dyDescent="0.2">
      <c r="B89" s="9" t="s">
        <v>11</v>
      </c>
      <c r="C89" s="12" t="s">
        <v>12</v>
      </c>
      <c r="D89" s="187">
        <v>900</v>
      </c>
      <c r="E89" s="22">
        <v>901</v>
      </c>
      <c r="F89" s="22">
        <v>901</v>
      </c>
      <c r="G89" s="22"/>
      <c r="I89" s="12" t="s">
        <v>18</v>
      </c>
      <c r="J89" s="17">
        <v>0</v>
      </c>
      <c r="K89" s="17">
        <v>0</v>
      </c>
      <c r="L89" s="17" t="s">
        <v>604</v>
      </c>
    </row>
    <row r="90" spans="1:26" ht="15.75" customHeight="1" x14ac:dyDescent="0.2">
      <c r="B90" s="9" t="s">
        <v>11</v>
      </c>
      <c r="C90" s="12" t="s">
        <v>18</v>
      </c>
      <c r="D90" s="187">
        <v>0</v>
      </c>
      <c r="E90" s="22">
        <v>0</v>
      </c>
      <c r="F90" s="22">
        <v>0</v>
      </c>
      <c r="G90" s="22"/>
    </row>
    <row r="91" spans="1:26" ht="15.75" customHeight="1" x14ac:dyDescent="0.2">
      <c r="B91" s="9" t="s">
        <v>21</v>
      </c>
      <c r="C91" s="12" t="s">
        <v>59</v>
      </c>
      <c r="D91" s="187">
        <v>430</v>
      </c>
      <c r="E91" s="22">
        <v>410</v>
      </c>
      <c r="F91" s="22">
        <v>425</v>
      </c>
      <c r="G91" s="22"/>
    </row>
    <row r="92" spans="1:26" ht="15.75" customHeight="1" x14ac:dyDescent="0.2">
      <c r="B92" s="9" t="s">
        <v>21</v>
      </c>
      <c r="C92" s="12" t="s">
        <v>63</v>
      </c>
      <c r="D92" s="187">
        <v>150</v>
      </c>
      <c r="E92" s="22">
        <v>140</v>
      </c>
      <c r="F92" s="22">
        <v>150</v>
      </c>
      <c r="G92" s="22"/>
    </row>
    <row r="93" spans="1:26" ht="15.75" customHeight="1" x14ac:dyDescent="0.25">
      <c r="D93" s="184"/>
    </row>
    <row r="94" spans="1:26" ht="15.75" customHeight="1" x14ac:dyDescent="0.25">
      <c r="D94" s="184"/>
    </row>
    <row r="95" spans="1:26" ht="15.75" customHeight="1" x14ac:dyDescent="0.25">
      <c r="A95" s="29"/>
      <c r="B95" s="29"/>
      <c r="C95" s="29"/>
      <c r="D95" s="196"/>
      <c r="E95" s="29"/>
      <c r="F95" s="29"/>
      <c r="G95" s="29"/>
      <c r="H95" s="29"/>
      <c r="I95" s="29"/>
      <c r="J95" s="29"/>
      <c r="K95" s="29"/>
      <c r="L95" s="29"/>
      <c r="M95" s="29"/>
      <c r="N95" s="29"/>
      <c r="O95" s="29"/>
      <c r="P95" s="29"/>
      <c r="Q95" s="29"/>
      <c r="R95" s="29"/>
      <c r="S95" s="29"/>
      <c r="T95" s="29"/>
      <c r="U95" s="29"/>
      <c r="V95" s="29"/>
      <c r="W95" s="29"/>
      <c r="X95" s="29"/>
      <c r="Y95" s="29"/>
      <c r="Z95" s="29"/>
    </row>
    <row r="96" spans="1:26" ht="15.75" customHeight="1" x14ac:dyDescent="0.25">
      <c r="D96" s="184"/>
    </row>
    <row r="97" spans="2:13" ht="15.75" customHeight="1" x14ac:dyDescent="0.25">
      <c r="D97" s="184"/>
    </row>
    <row r="98" spans="2:13" ht="15.75" customHeight="1" x14ac:dyDescent="0.25">
      <c r="B98" s="21" t="s">
        <v>570</v>
      </c>
      <c r="D98" s="184"/>
    </row>
    <row r="99" spans="2:13" ht="15.75" customHeight="1" x14ac:dyDescent="0.25">
      <c r="D99" s="184"/>
    </row>
    <row r="100" spans="2:13" ht="15.75" customHeight="1" x14ac:dyDescent="0.25">
      <c r="B100" s="304" t="s">
        <v>607</v>
      </c>
      <c r="C100" s="297"/>
      <c r="D100" s="297"/>
      <c r="E100" s="297"/>
      <c r="F100" s="154"/>
      <c r="G100" s="137"/>
      <c r="I100" s="3"/>
    </row>
    <row r="101" spans="2:13" ht="15.75" customHeight="1" x14ac:dyDescent="0.2">
      <c r="B101" s="4" t="s">
        <v>0</v>
      </c>
      <c r="C101" s="5" t="s">
        <v>1</v>
      </c>
      <c r="D101" s="186" t="s">
        <v>2</v>
      </c>
      <c r="E101" s="5" t="s">
        <v>43</v>
      </c>
      <c r="F101" s="45" t="s">
        <v>125</v>
      </c>
      <c r="G101" s="190"/>
      <c r="H101" s="296" t="s">
        <v>6</v>
      </c>
      <c r="I101" s="297"/>
      <c r="J101" s="297"/>
      <c r="K101" s="297"/>
      <c r="L101" s="297"/>
      <c r="M101" s="298"/>
    </row>
    <row r="102" spans="2:13" ht="15.75" customHeight="1" x14ac:dyDescent="0.2">
      <c r="B102" s="9" t="s">
        <v>7</v>
      </c>
      <c r="C102" s="302" t="s">
        <v>9</v>
      </c>
      <c r="D102" s="47">
        <v>28.1</v>
      </c>
      <c r="E102" s="11">
        <v>28</v>
      </c>
      <c r="F102" s="11">
        <v>30</v>
      </c>
      <c r="G102" s="31"/>
      <c r="H102" s="296" t="s">
        <v>106</v>
      </c>
      <c r="I102" s="297"/>
      <c r="J102" s="298"/>
      <c r="K102" s="296" t="s">
        <v>107</v>
      </c>
      <c r="L102" s="297"/>
      <c r="M102" s="298"/>
    </row>
    <row r="103" spans="2:13" ht="15.75" customHeight="1" x14ac:dyDescent="0.2">
      <c r="B103" s="9" t="s">
        <v>17</v>
      </c>
      <c r="C103" s="300"/>
      <c r="D103" s="47">
        <v>63.911000000000001</v>
      </c>
      <c r="E103" s="11">
        <v>32</v>
      </c>
      <c r="F103" s="11">
        <v>39</v>
      </c>
      <c r="G103" s="31"/>
      <c r="H103" s="13" t="s">
        <v>13</v>
      </c>
      <c r="I103" s="39">
        <f>I105+I105*0.05</f>
        <v>745.5</v>
      </c>
      <c r="J103" s="17" t="s">
        <v>608</v>
      </c>
      <c r="K103" s="13" t="s">
        <v>13</v>
      </c>
      <c r="L103" s="39">
        <f>L105+L105*0.05</f>
        <v>724.5</v>
      </c>
      <c r="M103" s="17" t="s">
        <v>611</v>
      </c>
    </row>
    <row r="104" spans="2:13" ht="15.75" customHeight="1" x14ac:dyDescent="0.2">
      <c r="B104" s="9" t="s">
        <v>26</v>
      </c>
      <c r="C104" s="300"/>
      <c r="D104" s="47">
        <v>69.921999999999997</v>
      </c>
      <c r="E104" s="11">
        <v>34</v>
      </c>
      <c r="F104" s="11">
        <v>39</v>
      </c>
      <c r="G104" s="31"/>
      <c r="H104" s="13" t="s">
        <v>19</v>
      </c>
      <c r="I104" s="40">
        <f>I105-I105*0.05</f>
        <v>674.5</v>
      </c>
      <c r="J104" s="17" t="s">
        <v>613</v>
      </c>
      <c r="K104" s="13" t="s">
        <v>19</v>
      </c>
      <c r="L104" s="40">
        <f>L105-L105*0.05</f>
        <v>655.5</v>
      </c>
      <c r="M104" s="17" t="s">
        <v>614</v>
      </c>
    </row>
    <row r="105" spans="2:13" ht="15.75" customHeight="1" x14ac:dyDescent="0.2">
      <c r="B105" s="9" t="s">
        <v>32</v>
      </c>
      <c r="C105" s="300"/>
      <c r="D105" s="47">
        <v>96.744</v>
      </c>
      <c r="E105" s="11">
        <v>95</v>
      </c>
      <c r="F105" s="11">
        <v>102</v>
      </c>
      <c r="G105" s="31"/>
      <c r="H105" s="13" t="s">
        <v>27</v>
      </c>
      <c r="I105" s="182">
        <v>710</v>
      </c>
      <c r="J105" s="17" t="s">
        <v>615</v>
      </c>
      <c r="K105" s="13" t="s">
        <v>27</v>
      </c>
      <c r="L105" s="182">
        <v>690</v>
      </c>
      <c r="M105" s="17" t="s">
        <v>616</v>
      </c>
    </row>
    <row r="106" spans="2:13" ht="15.75" customHeight="1" x14ac:dyDescent="0.2">
      <c r="B106" s="9" t="s">
        <v>33</v>
      </c>
      <c r="C106" s="301"/>
      <c r="D106" s="47">
        <v>128.11000000000001</v>
      </c>
      <c r="E106" s="11">
        <v>129</v>
      </c>
      <c r="F106" s="11">
        <v>97</v>
      </c>
      <c r="G106" s="31"/>
      <c r="H106" s="13" t="s">
        <v>121</v>
      </c>
      <c r="I106" s="182">
        <v>712</v>
      </c>
      <c r="J106" s="17" t="s">
        <v>617</v>
      </c>
      <c r="K106" s="13" t="s">
        <v>121</v>
      </c>
      <c r="L106" s="182">
        <v>697</v>
      </c>
      <c r="M106" s="17" t="s">
        <v>618</v>
      </c>
    </row>
    <row r="107" spans="2:13" ht="15.75" customHeight="1" x14ac:dyDescent="0.25">
      <c r="B107" s="41"/>
      <c r="C107" s="42"/>
      <c r="D107" s="69"/>
      <c r="E107" s="11"/>
      <c r="F107" s="11"/>
      <c r="G107" s="31"/>
      <c r="I107" s="3"/>
    </row>
    <row r="108" spans="2:13" ht="15.75" customHeight="1" x14ac:dyDescent="0.25">
      <c r="B108" s="9" t="s">
        <v>35</v>
      </c>
      <c r="C108" s="302" t="s">
        <v>36</v>
      </c>
      <c r="D108" s="47">
        <v>207.78</v>
      </c>
      <c r="E108" s="11">
        <v>202</v>
      </c>
      <c r="F108" s="11">
        <v>358</v>
      </c>
      <c r="G108" s="31"/>
      <c r="I108" s="3"/>
    </row>
    <row r="109" spans="2:13" ht="15.75" customHeight="1" x14ac:dyDescent="0.25">
      <c r="B109" s="9" t="s">
        <v>37</v>
      </c>
      <c r="C109" s="300"/>
      <c r="D109" s="47">
        <v>444.11</v>
      </c>
      <c r="E109" s="11">
        <v>404</v>
      </c>
      <c r="F109" s="11">
        <v>408</v>
      </c>
      <c r="G109" s="31"/>
      <c r="I109" s="3"/>
    </row>
    <row r="110" spans="2:13" ht="15.75" customHeight="1" x14ac:dyDescent="0.25">
      <c r="B110" s="9" t="s">
        <v>38</v>
      </c>
      <c r="C110" s="300"/>
      <c r="D110" s="47">
        <v>579.55999999999995</v>
      </c>
      <c r="E110" s="11">
        <v>462</v>
      </c>
      <c r="F110" s="11">
        <v>483</v>
      </c>
      <c r="G110" s="31"/>
      <c r="I110" s="3"/>
    </row>
    <row r="111" spans="2:13" ht="15.75" customHeight="1" x14ac:dyDescent="0.25">
      <c r="B111" s="9" t="s">
        <v>39</v>
      </c>
      <c r="C111" s="300"/>
      <c r="D111" s="47">
        <v>746.22</v>
      </c>
      <c r="E111" s="11">
        <v>647</v>
      </c>
      <c r="F111" s="11">
        <v>693</v>
      </c>
      <c r="G111" s="31"/>
      <c r="I111" s="3"/>
    </row>
    <row r="112" spans="2:13" ht="15.75" customHeight="1" x14ac:dyDescent="0.25">
      <c r="B112" s="49" t="s">
        <v>41</v>
      </c>
      <c r="C112" s="300"/>
      <c r="D112" s="50">
        <v>869.5</v>
      </c>
      <c r="E112" s="51">
        <v>748</v>
      </c>
      <c r="F112" s="51">
        <v>695</v>
      </c>
      <c r="G112" s="31"/>
      <c r="I112" s="3"/>
    </row>
    <row r="113" spans="2:9" ht="15.75" customHeight="1" x14ac:dyDescent="0.25">
      <c r="B113" s="308"/>
      <c r="C113" s="297"/>
      <c r="D113" s="297"/>
      <c r="E113" s="297"/>
      <c r="F113" s="306"/>
      <c r="G113" s="191"/>
      <c r="I113" s="3"/>
    </row>
    <row r="114" spans="2:9" ht="15.75" customHeight="1" x14ac:dyDescent="0.25">
      <c r="B114" s="9" t="s">
        <v>46</v>
      </c>
      <c r="C114" s="299" t="s">
        <v>47</v>
      </c>
      <c r="D114" s="47">
        <v>88.4</v>
      </c>
      <c r="E114" s="11">
        <v>79</v>
      </c>
      <c r="F114" s="11">
        <v>90</v>
      </c>
      <c r="G114" s="31"/>
      <c r="I114" s="3"/>
    </row>
    <row r="115" spans="2:9" ht="15.75" customHeight="1" x14ac:dyDescent="0.25">
      <c r="B115" s="9" t="s">
        <v>48</v>
      </c>
      <c r="C115" s="300"/>
      <c r="D115" s="47">
        <v>94.6</v>
      </c>
      <c r="E115" s="11">
        <v>80</v>
      </c>
      <c r="F115" s="11">
        <v>95</v>
      </c>
      <c r="G115" s="31"/>
      <c r="I115" s="3"/>
    </row>
    <row r="116" spans="2:9" ht="15.75" customHeight="1" x14ac:dyDescent="0.25">
      <c r="B116" s="41"/>
      <c r="C116" s="42"/>
      <c r="D116" s="69"/>
      <c r="E116" s="11"/>
      <c r="F116" s="11"/>
      <c r="G116" s="31"/>
      <c r="I116" s="3"/>
    </row>
    <row r="117" spans="2:9" ht="15.75" customHeight="1" x14ac:dyDescent="0.25">
      <c r="B117" s="9" t="s">
        <v>50</v>
      </c>
      <c r="C117" s="302" t="s">
        <v>51</v>
      </c>
      <c r="D117" s="47">
        <v>271.44400000000002</v>
      </c>
      <c r="E117" s="11">
        <v>263</v>
      </c>
      <c r="F117" s="11">
        <v>523</v>
      </c>
      <c r="G117" s="31"/>
      <c r="I117" s="3"/>
    </row>
    <row r="118" spans="2:9" ht="15.75" customHeight="1" x14ac:dyDescent="0.25">
      <c r="B118" s="9" t="s">
        <v>54</v>
      </c>
      <c r="C118" s="300"/>
      <c r="D118" s="47">
        <v>550.22199999999998</v>
      </c>
      <c r="E118" s="11">
        <v>560</v>
      </c>
      <c r="F118" s="11">
        <v>534</v>
      </c>
      <c r="G118" s="31"/>
      <c r="I118" s="3"/>
    </row>
    <row r="119" spans="2:9" ht="15.75" customHeight="1" x14ac:dyDescent="0.25">
      <c r="B119" s="9" t="s">
        <v>55</v>
      </c>
      <c r="C119" s="300"/>
      <c r="D119" s="47">
        <v>609</v>
      </c>
      <c r="E119" s="11">
        <v>660</v>
      </c>
      <c r="F119" s="11">
        <v>695</v>
      </c>
      <c r="G119" s="31"/>
      <c r="I119" s="3"/>
    </row>
    <row r="120" spans="2:9" ht="15.75" customHeight="1" x14ac:dyDescent="0.25">
      <c r="B120" s="9" t="s">
        <v>56</v>
      </c>
      <c r="C120" s="300"/>
      <c r="D120" s="47">
        <v>739.11099999999999</v>
      </c>
      <c r="E120" s="11">
        <v>752</v>
      </c>
      <c r="F120" s="11">
        <v>778</v>
      </c>
      <c r="G120" s="31"/>
      <c r="I120" s="3"/>
    </row>
    <row r="121" spans="2:9" ht="15.75" customHeight="1" x14ac:dyDescent="0.25">
      <c r="B121" s="49" t="s">
        <v>57</v>
      </c>
      <c r="C121" s="300"/>
      <c r="D121" s="50">
        <v>746.88900000000001</v>
      </c>
      <c r="E121" s="51">
        <v>597</v>
      </c>
      <c r="F121" s="51">
        <v>623</v>
      </c>
      <c r="G121" s="31"/>
      <c r="I121" s="3"/>
    </row>
    <row r="122" spans="2:9" ht="15.75" customHeight="1" x14ac:dyDescent="0.2">
      <c r="B122" s="308"/>
      <c r="C122" s="297"/>
      <c r="D122" s="297"/>
      <c r="E122" s="297"/>
      <c r="F122" s="306"/>
      <c r="G122" s="191"/>
    </row>
    <row r="123" spans="2:9" ht="15.75" customHeight="1" x14ac:dyDescent="0.2">
      <c r="B123" s="9" t="s">
        <v>60</v>
      </c>
      <c r="C123" s="299" t="s">
        <v>62</v>
      </c>
      <c r="D123" s="47">
        <v>19.36</v>
      </c>
      <c r="E123" s="11">
        <v>14</v>
      </c>
      <c r="F123" s="11">
        <v>18</v>
      </c>
      <c r="G123" s="31"/>
    </row>
    <row r="124" spans="2:9" ht="15.75" customHeight="1" x14ac:dyDescent="0.2">
      <c r="B124" s="9" t="s">
        <v>64</v>
      </c>
      <c r="C124" s="300"/>
      <c r="D124" s="47">
        <v>33.31</v>
      </c>
      <c r="E124" s="11">
        <v>32</v>
      </c>
      <c r="F124" s="11">
        <v>36</v>
      </c>
      <c r="G124" s="31"/>
    </row>
    <row r="125" spans="2:9" ht="15.75" customHeight="1" x14ac:dyDescent="0.2">
      <c r="B125" s="9" t="s">
        <v>65</v>
      </c>
      <c r="C125" s="301"/>
      <c r="D125" s="47">
        <v>41.74</v>
      </c>
      <c r="E125" s="11">
        <v>17</v>
      </c>
      <c r="F125" s="11">
        <v>20</v>
      </c>
      <c r="G125" s="31"/>
    </row>
    <row r="126" spans="2:9" ht="15.75" customHeight="1" x14ac:dyDescent="0.2">
      <c r="B126" s="41"/>
      <c r="C126" s="42"/>
      <c r="D126" s="69"/>
      <c r="E126" s="11"/>
      <c r="F126" s="11"/>
      <c r="G126" s="31"/>
    </row>
    <row r="127" spans="2:9" ht="15.75" customHeight="1" x14ac:dyDescent="0.25">
      <c r="B127" s="9" t="s">
        <v>66</v>
      </c>
      <c r="C127" s="302" t="s">
        <v>68</v>
      </c>
      <c r="D127" s="47">
        <v>204.5</v>
      </c>
      <c r="E127" s="11">
        <v>201</v>
      </c>
      <c r="F127" s="11">
        <v>225</v>
      </c>
      <c r="G127" s="31"/>
      <c r="I127" s="3"/>
    </row>
    <row r="128" spans="2:9" ht="15.75" customHeight="1" x14ac:dyDescent="0.25">
      <c r="B128" s="49" t="s">
        <v>69</v>
      </c>
      <c r="C128" s="300"/>
      <c r="D128" s="50">
        <v>277.7</v>
      </c>
      <c r="E128" s="51">
        <v>288</v>
      </c>
      <c r="F128" s="51">
        <v>318</v>
      </c>
      <c r="G128" s="31"/>
      <c r="I128" s="3"/>
    </row>
    <row r="129" spans="2:9" ht="15.75" customHeight="1" x14ac:dyDescent="0.25">
      <c r="B129" s="305"/>
      <c r="C129" s="297"/>
      <c r="D129" s="297"/>
      <c r="E129" s="297"/>
      <c r="F129" s="306"/>
      <c r="G129" s="33"/>
      <c r="I129" s="3"/>
    </row>
    <row r="130" spans="2:9" ht="15.75" customHeight="1" x14ac:dyDescent="0.25">
      <c r="B130" s="9" t="s">
        <v>69</v>
      </c>
      <c r="C130" s="299" t="s">
        <v>71</v>
      </c>
      <c r="D130" s="47">
        <v>10.283300000000001</v>
      </c>
      <c r="E130" s="11">
        <v>17</v>
      </c>
      <c r="F130" s="11">
        <v>7</v>
      </c>
      <c r="G130" s="31"/>
      <c r="I130" s="3"/>
    </row>
    <row r="131" spans="2:9" ht="15.75" customHeight="1" x14ac:dyDescent="0.25">
      <c r="B131" s="9" t="s">
        <v>72</v>
      </c>
      <c r="C131" s="300"/>
      <c r="D131" s="47">
        <v>11.8833</v>
      </c>
      <c r="E131" s="11">
        <v>18</v>
      </c>
      <c r="F131" s="11">
        <v>17</v>
      </c>
      <c r="G131" s="31"/>
      <c r="I131" s="3"/>
    </row>
    <row r="132" spans="2:9" ht="15.75" customHeight="1" x14ac:dyDescent="0.25">
      <c r="B132" s="9" t="s">
        <v>73</v>
      </c>
      <c r="C132" s="301"/>
      <c r="D132" s="47">
        <v>17.433299999999999</v>
      </c>
      <c r="E132" s="11">
        <v>23</v>
      </c>
      <c r="F132" s="11">
        <v>22</v>
      </c>
      <c r="G132" s="31"/>
      <c r="I132" s="3"/>
    </row>
    <row r="133" spans="2:9" ht="15.75" customHeight="1" x14ac:dyDescent="0.25">
      <c r="B133" s="41"/>
      <c r="C133" s="42"/>
      <c r="D133" s="69"/>
      <c r="E133" s="11"/>
      <c r="F133" s="11"/>
      <c r="G133" s="31"/>
      <c r="I133" s="3"/>
    </row>
    <row r="134" spans="2:9" ht="15.75" customHeight="1" x14ac:dyDescent="0.25">
      <c r="B134" s="9" t="s">
        <v>76</v>
      </c>
      <c r="C134" s="302" t="s">
        <v>77</v>
      </c>
      <c r="D134" s="47">
        <v>117.467</v>
      </c>
      <c r="E134" s="11">
        <v>212</v>
      </c>
      <c r="F134" s="11">
        <v>188</v>
      </c>
      <c r="G134" s="31"/>
      <c r="I134" s="3"/>
    </row>
    <row r="135" spans="2:9" ht="15.75" customHeight="1" x14ac:dyDescent="0.25">
      <c r="B135" s="9" t="s">
        <v>78</v>
      </c>
      <c r="C135" s="300"/>
      <c r="D135" s="47">
        <v>187.833</v>
      </c>
      <c r="E135" s="11">
        <v>150</v>
      </c>
      <c r="F135" s="11">
        <v>136</v>
      </c>
      <c r="G135" s="31"/>
      <c r="I135" s="3"/>
    </row>
    <row r="136" spans="2:9" ht="15.75" customHeight="1" x14ac:dyDescent="0.25">
      <c r="B136" s="9" t="s">
        <v>79</v>
      </c>
      <c r="C136" s="300"/>
      <c r="D136" s="47">
        <v>218.333</v>
      </c>
      <c r="E136" s="11">
        <v>291</v>
      </c>
      <c r="F136" s="11">
        <v>279</v>
      </c>
      <c r="G136" s="31"/>
      <c r="I136" s="3"/>
    </row>
    <row r="137" spans="2:9" ht="15.75" customHeight="1" x14ac:dyDescent="0.25">
      <c r="B137" s="49" t="s">
        <v>80</v>
      </c>
      <c r="C137" s="300"/>
      <c r="D137" s="50">
        <v>238.5</v>
      </c>
      <c r="E137" s="51">
        <v>115</v>
      </c>
      <c r="F137" s="51">
        <v>99</v>
      </c>
      <c r="G137" s="31"/>
      <c r="I137" s="3"/>
    </row>
    <row r="138" spans="2:9" ht="15.75" customHeight="1" x14ac:dyDescent="0.25">
      <c r="B138" s="305"/>
      <c r="C138" s="297"/>
      <c r="D138" s="297"/>
      <c r="E138" s="297"/>
      <c r="F138" s="306"/>
      <c r="G138" s="33"/>
      <c r="I138" s="3"/>
    </row>
    <row r="139" spans="2:9" ht="15.75" customHeight="1" x14ac:dyDescent="0.25">
      <c r="B139" s="9" t="s">
        <v>81</v>
      </c>
      <c r="C139" s="299" t="s">
        <v>82</v>
      </c>
      <c r="D139" s="47">
        <v>2</v>
      </c>
      <c r="E139" s="11">
        <v>2</v>
      </c>
      <c r="F139" s="11">
        <v>2</v>
      </c>
      <c r="G139" s="31"/>
      <c r="I139" s="3"/>
    </row>
    <row r="140" spans="2:9" ht="15.75" customHeight="1" x14ac:dyDescent="0.25">
      <c r="B140" s="9" t="s">
        <v>83</v>
      </c>
      <c r="C140" s="300"/>
      <c r="D140" s="47">
        <v>7.133</v>
      </c>
      <c r="E140" s="11">
        <v>9</v>
      </c>
      <c r="F140" s="11">
        <v>7</v>
      </c>
      <c r="G140" s="31"/>
      <c r="I140" s="3"/>
    </row>
    <row r="141" spans="2:9" ht="15.75" customHeight="1" x14ac:dyDescent="0.25">
      <c r="B141" s="9" t="s">
        <v>84</v>
      </c>
      <c r="C141" s="301"/>
      <c r="D141" s="47">
        <v>10.72</v>
      </c>
      <c r="E141" s="11">
        <v>6</v>
      </c>
      <c r="F141" s="11">
        <v>2</v>
      </c>
      <c r="G141" s="31"/>
      <c r="I141" s="3"/>
    </row>
    <row r="142" spans="2:9" ht="15.75" customHeight="1" x14ac:dyDescent="0.25">
      <c r="B142" s="41"/>
      <c r="C142" s="42"/>
      <c r="D142" s="69"/>
      <c r="E142" s="11"/>
      <c r="F142" s="11"/>
      <c r="G142" s="31"/>
      <c r="I142" s="3"/>
    </row>
    <row r="143" spans="2:9" ht="15.75" customHeight="1" x14ac:dyDescent="0.25">
      <c r="B143" s="9" t="s">
        <v>86</v>
      </c>
      <c r="C143" s="302" t="s">
        <v>87</v>
      </c>
      <c r="D143" s="47">
        <v>20.466999999999999</v>
      </c>
      <c r="E143" s="11">
        <v>22</v>
      </c>
      <c r="F143" s="11">
        <v>21</v>
      </c>
      <c r="G143" s="31"/>
      <c r="I143" s="3"/>
    </row>
    <row r="144" spans="2:9" ht="15.75" customHeight="1" x14ac:dyDescent="0.25">
      <c r="B144" s="49" t="s">
        <v>88</v>
      </c>
      <c r="C144" s="300"/>
      <c r="D144" s="50">
        <v>20.367000000000001</v>
      </c>
      <c r="E144" s="51">
        <v>22</v>
      </c>
      <c r="F144" s="51">
        <v>21</v>
      </c>
      <c r="G144" s="31"/>
      <c r="I144" s="3"/>
    </row>
    <row r="145" spans="1:25" ht="15.75" customHeight="1" x14ac:dyDescent="0.25">
      <c r="B145" s="305"/>
      <c r="C145" s="297"/>
      <c r="D145" s="297"/>
      <c r="E145" s="297"/>
      <c r="F145" s="306"/>
      <c r="G145" s="33"/>
      <c r="I145" s="3"/>
    </row>
    <row r="146" spans="1:25" ht="15.75" customHeight="1" x14ac:dyDescent="0.25">
      <c r="B146" s="9" t="s">
        <v>89</v>
      </c>
      <c r="C146" s="299" t="s">
        <v>90</v>
      </c>
      <c r="D146" s="47">
        <v>5.15</v>
      </c>
      <c r="E146" s="11">
        <v>20</v>
      </c>
      <c r="F146" s="11">
        <v>18</v>
      </c>
      <c r="G146" s="31"/>
      <c r="I146" s="3"/>
    </row>
    <row r="147" spans="1:25" ht="15.75" customHeight="1" x14ac:dyDescent="0.25">
      <c r="B147" s="49" t="s">
        <v>91</v>
      </c>
      <c r="C147" s="300"/>
      <c r="D147" s="50">
        <v>16.2</v>
      </c>
      <c r="E147" s="51">
        <v>19</v>
      </c>
      <c r="F147" s="51">
        <v>18</v>
      </c>
      <c r="G147" s="31"/>
      <c r="I147" s="3"/>
    </row>
    <row r="148" spans="1:25" ht="15.75" customHeight="1" x14ac:dyDescent="0.25">
      <c r="B148" s="41"/>
      <c r="C148" s="42"/>
      <c r="D148" s="69"/>
      <c r="E148" s="42"/>
      <c r="F148" s="201"/>
      <c r="G148" s="202"/>
      <c r="I148" s="3"/>
    </row>
    <row r="149" spans="1:25" ht="15.75" customHeight="1" x14ac:dyDescent="0.25">
      <c r="B149" s="9" t="s">
        <v>94</v>
      </c>
      <c r="C149" s="299" t="s">
        <v>95</v>
      </c>
      <c r="D149" s="47">
        <v>50.082999999999998</v>
      </c>
      <c r="E149" s="11">
        <v>96</v>
      </c>
      <c r="F149" s="11">
        <v>96</v>
      </c>
      <c r="G149" s="31"/>
      <c r="I149" s="3"/>
    </row>
    <row r="150" spans="1:25" ht="15.75" customHeight="1" x14ac:dyDescent="0.25">
      <c r="B150" s="9" t="s">
        <v>96</v>
      </c>
      <c r="C150" s="300"/>
      <c r="D150" s="47">
        <v>93.992999999999995</v>
      </c>
      <c r="E150" s="11">
        <v>105</v>
      </c>
      <c r="F150" s="11">
        <v>104</v>
      </c>
      <c r="G150" s="31"/>
      <c r="I150" s="3"/>
    </row>
    <row r="151" spans="1:25" ht="15.75" customHeight="1" x14ac:dyDescent="0.25">
      <c r="B151" s="9" t="s">
        <v>97</v>
      </c>
      <c r="C151" s="300"/>
      <c r="D151" s="47">
        <v>95.516999999999996</v>
      </c>
      <c r="E151" s="11">
        <v>97</v>
      </c>
      <c r="F151" s="11">
        <v>95</v>
      </c>
      <c r="G151" s="31"/>
      <c r="I151" s="3"/>
    </row>
    <row r="152" spans="1:25" ht="15.75" customHeight="1" x14ac:dyDescent="0.25">
      <c r="B152" s="9" t="s">
        <v>98</v>
      </c>
      <c r="C152" s="300"/>
      <c r="D152" s="47">
        <v>100.92</v>
      </c>
      <c r="E152" s="11">
        <v>108</v>
      </c>
      <c r="F152" s="11">
        <v>104</v>
      </c>
      <c r="G152" s="31"/>
      <c r="I152" s="3"/>
    </row>
    <row r="153" spans="1:25" ht="15.75" customHeight="1" x14ac:dyDescent="0.25">
      <c r="B153" s="9" t="s">
        <v>99</v>
      </c>
      <c r="C153" s="301"/>
      <c r="D153" s="47">
        <v>115.37</v>
      </c>
      <c r="E153" s="11">
        <v>106</v>
      </c>
      <c r="F153" s="11">
        <v>105</v>
      </c>
      <c r="G153" s="31"/>
      <c r="I153" s="3"/>
    </row>
    <row r="154" spans="1:25" ht="15.75" customHeight="1" x14ac:dyDescent="0.25">
      <c r="D154" s="184"/>
    </row>
    <row r="155" spans="1:25" ht="15.75" customHeight="1" x14ac:dyDescent="0.25">
      <c r="D155" s="184"/>
    </row>
    <row r="156" spans="1:25" ht="15.75" customHeight="1" x14ac:dyDescent="0.25">
      <c r="A156" s="345"/>
      <c r="B156" s="297"/>
      <c r="C156" s="297"/>
      <c r="D156" s="297"/>
      <c r="E156" s="297"/>
      <c r="F156" s="297"/>
      <c r="G156" s="297"/>
      <c r="H156" s="297"/>
      <c r="I156" s="297"/>
      <c r="J156" s="297"/>
      <c r="K156" s="297"/>
      <c r="L156" s="297"/>
      <c r="M156" s="297"/>
      <c r="N156" s="297"/>
      <c r="O156" s="297"/>
      <c r="P156" s="297"/>
      <c r="Q156" s="297"/>
      <c r="R156" s="297"/>
      <c r="S156" s="297"/>
      <c r="T156" s="297"/>
      <c r="U156" s="297"/>
      <c r="V156" s="297"/>
      <c r="W156" s="297"/>
      <c r="X156" s="297"/>
      <c r="Y156" s="298"/>
    </row>
    <row r="157" spans="1:25" ht="15.75" customHeight="1" x14ac:dyDescent="0.3">
      <c r="A157" s="161" t="s">
        <v>353</v>
      </c>
      <c r="B157" s="163" t="s">
        <v>562</v>
      </c>
      <c r="Y157" s="346"/>
    </row>
    <row r="158" spans="1:25" ht="15.75" customHeight="1" x14ac:dyDescent="0.3">
      <c r="A158" s="164" t="s">
        <v>360</v>
      </c>
      <c r="B158" s="165">
        <v>43200</v>
      </c>
      <c r="Y158" s="300"/>
    </row>
    <row r="159" spans="1:25" ht="15.75" customHeight="1" x14ac:dyDescent="0.3">
      <c r="L159" s="320" t="s">
        <v>153</v>
      </c>
      <c r="M159" s="297"/>
      <c r="N159" s="297"/>
      <c r="O159" s="297"/>
      <c r="P159" s="297"/>
      <c r="Q159" s="298"/>
      <c r="S159" s="321" t="s">
        <v>154</v>
      </c>
      <c r="T159" s="322"/>
      <c r="U159" s="322"/>
      <c r="V159" s="322"/>
      <c r="W159" s="323"/>
      <c r="Y159" s="300"/>
    </row>
    <row r="160" spans="1:25" ht="15.75" customHeight="1" x14ac:dyDescent="0.2">
      <c r="A160" s="156" t="s">
        <v>0</v>
      </c>
      <c r="B160" s="157" t="s">
        <v>1</v>
      </c>
      <c r="C160" s="157" t="s">
        <v>42</v>
      </c>
      <c r="D160" s="157" t="s">
        <v>43</v>
      </c>
      <c r="E160" s="157" t="s">
        <v>44</v>
      </c>
      <c r="G160" s="296" t="s">
        <v>45</v>
      </c>
      <c r="H160" s="297"/>
      <c r="I160" s="297"/>
      <c r="J160" s="298"/>
      <c r="L160" s="311" t="s">
        <v>157</v>
      </c>
      <c r="M160" s="312"/>
      <c r="N160" s="312"/>
      <c r="O160" s="312"/>
      <c r="P160" s="312"/>
      <c r="Q160" s="313"/>
      <c r="S160" s="325" t="s">
        <v>157</v>
      </c>
      <c r="T160" s="297"/>
      <c r="U160" s="297"/>
      <c r="V160" s="297"/>
      <c r="W160" s="298"/>
      <c r="Y160" s="300"/>
    </row>
    <row r="161" spans="1:25" ht="15.75" customHeight="1" x14ac:dyDescent="0.2">
      <c r="A161" s="310" t="s">
        <v>8</v>
      </c>
      <c r="B161" s="297"/>
      <c r="C161" s="297"/>
      <c r="D161" s="297"/>
      <c r="E161" s="298"/>
      <c r="G161" s="305" t="s">
        <v>10</v>
      </c>
      <c r="H161" s="297"/>
      <c r="I161" s="297"/>
      <c r="J161" s="298"/>
      <c r="L161" s="317"/>
      <c r="M161" s="318"/>
      <c r="N161" s="318"/>
      <c r="O161" s="318"/>
      <c r="P161" s="318"/>
      <c r="Q161" s="319"/>
      <c r="S161" s="58" t="s">
        <v>160</v>
      </c>
      <c r="T161" s="59" t="s">
        <v>161</v>
      </c>
      <c r="U161" s="59" t="s">
        <v>162</v>
      </c>
      <c r="V161" s="61" t="s">
        <v>163</v>
      </c>
      <c r="W161" s="62" t="s">
        <v>165</v>
      </c>
      <c r="Y161" s="300"/>
    </row>
    <row r="162" spans="1:25" ht="15.75" customHeight="1" x14ac:dyDescent="0.25">
      <c r="A162" s="9" t="s">
        <v>11</v>
      </c>
      <c r="B162" s="9" t="s">
        <v>12</v>
      </c>
      <c r="C162" s="11"/>
      <c r="D162" s="22">
        <v>929</v>
      </c>
      <c r="E162" s="11">
        <v>890</v>
      </c>
      <c r="G162" s="12"/>
      <c r="H162" s="12" t="s">
        <v>52</v>
      </c>
      <c r="I162" s="12" t="s">
        <v>53</v>
      </c>
      <c r="J162" s="12"/>
      <c r="L162" s="63" t="s">
        <v>168</v>
      </c>
      <c r="M162" s="64" t="s">
        <v>169</v>
      </c>
      <c r="N162" s="64" t="s">
        <v>171</v>
      </c>
      <c r="O162" s="64" t="s">
        <v>172</v>
      </c>
      <c r="P162" s="65" t="s">
        <v>173</v>
      </c>
      <c r="Q162" s="66" t="s">
        <v>175</v>
      </c>
      <c r="S162" s="63" t="s">
        <v>176</v>
      </c>
      <c r="T162" s="67">
        <v>0.32100000000000001</v>
      </c>
      <c r="U162" s="68">
        <v>2.6185</v>
      </c>
      <c r="V162" s="70">
        <f t="shared" ref="V162:V166" si="0">+U162/T162</f>
        <v>8.157320872274143</v>
      </c>
      <c r="W162" s="72"/>
      <c r="Y162" s="300"/>
    </row>
    <row r="163" spans="1:25" ht="15.75" customHeight="1" x14ac:dyDescent="0.25">
      <c r="A163" s="9" t="s">
        <v>11</v>
      </c>
      <c r="B163" s="12" t="s">
        <v>18</v>
      </c>
      <c r="C163" s="11">
        <v>0</v>
      </c>
      <c r="D163" s="22">
        <v>0</v>
      </c>
      <c r="E163" s="11">
        <v>0</v>
      </c>
      <c r="G163" s="12" t="s">
        <v>12</v>
      </c>
      <c r="H163" s="17">
        <v>930</v>
      </c>
      <c r="I163" s="11">
        <v>890</v>
      </c>
      <c r="J163" s="17" t="s">
        <v>638</v>
      </c>
      <c r="L163" s="73">
        <v>440</v>
      </c>
      <c r="M163" s="74">
        <v>20</v>
      </c>
      <c r="N163" s="74">
        <f>+U162</f>
        <v>2.6185</v>
      </c>
      <c r="O163" s="76">
        <f>+U165</f>
        <v>0</v>
      </c>
      <c r="P163" s="77">
        <f>+U163</f>
        <v>2.1779999999999999</v>
      </c>
      <c r="Q163" s="78">
        <f>(L163-M163)*(N163-O163)/(P163-O163)+M163</f>
        <v>524.94490358126723</v>
      </c>
      <c r="S163" s="80" t="s">
        <v>188</v>
      </c>
      <c r="T163" s="74"/>
      <c r="U163" s="82">
        <v>2.1779999999999999</v>
      </c>
      <c r="V163" s="84" t="e">
        <f t="shared" si="0"/>
        <v>#DIV/0!</v>
      </c>
      <c r="W163" s="86">
        <f>(U163-U165)/(U162-U165)</f>
        <v>0.83177391636433073</v>
      </c>
      <c r="Y163" s="300"/>
    </row>
    <row r="164" spans="1:25" ht="15.75" customHeight="1" x14ac:dyDescent="0.25">
      <c r="A164" s="9" t="s">
        <v>21</v>
      </c>
      <c r="B164" s="12" t="s">
        <v>59</v>
      </c>
      <c r="C164" s="11">
        <v>440</v>
      </c>
      <c r="D164" s="22">
        <v>246</v>
      </c>
      <c r="E164" s="11">
        <v>446</v>
      </c>
      <c r="G164" s="12" t="s">
        <v>18</v>
      </c>
      <c r="H164" s="17">
        <v>0</v>
      </c>
      <c r="I164" s="11">
        <v>0</v>
      </c>
      <c r="J164" s="17" t="s">
        <v>645</v>
      </c>
      <c r="L164" s="73" t="s">
        <v>168</v>
      </c>
      <c r="M164" s="74" t="s">
        <v>171</v>
      </c>
      <c r="N164" s="74" t="s">
        <v>190</v>
      </c>
      <c r="O164" s="74" t="s">
        <v>191</v>
      </c>
      <c r="P164" s="77" t="s">
        <v>173</v>
      </c>
      <c r="Q164" s="87" t="s">
        <v>192</v>
      </c>
      <c r="S164" s="80" t="s">
        <v>193</v>
      </c>
      <c r="T164" s="74"/>
      <c r="U164" s="82">
        <v>1.0209999999999999</v>
      </c>
      <c r="V164" s="84" t="e">
        <f t="shared" si="0"/>
        <v>#DIV/0!</v>
      </c>
      <c r="W164" s="86">
        <f>(U164-U165)/(U162-U165)</f>
        <v>0.38991789192285653</v>
      </c>
      <c r="Y164" s="300"/>
    </row>
    <row r="165" spans="1:25" ht="15.75" customHeight="1" x14ac:dyDescent="0.25">
      <c r="A165" s="49" t="s">
        <v>21</v>
      </c>
      <c r="B165" s="10" t="s">
        <v>63</v>
      </c>
      <c r="C165" s="51">
        <v>160</v>
      </c>
      <c r="D165" s="169">
        <v>0</v>
      </c>
      <c r="E165" s="51">
        <v>153</v>
      </c>
      <c r="G165" s="305" t="s">
        <v>23</v>
      </c>
      <c r="H165" s="297"/>
      <c r="I165" s="297"/>
      <c r="J165" s="298"/>
      <c r="L165" s="73">
        <v>160</v>
      </c>
      <c r="M165" s="74">
        <f>+U162</f>
        <v>2.6185</v>
      </c>
      <c r="N165" s="76">
        <f>+U165</f>
        <v>0</v>
      </c>
      <c r="O165" s="89">
        <f>+Q163</f>
        <v>524.94490358126723</v>
      </c>
      <c r="P165" s="77">
        <f>+U164</f>
        <v>1.0209999999999999</v>
      </c>
      <c r="Q165" s="90">
        <f>(L165*(M165-N165)-O165*(P165-N165))/(M165-P165)</f>
        <v>-73.244911772440517</v>
      </c>
      <c r="S165" s="80" t="s">
        <v>194</v>
      </c>
      <c r="T165" s="74">
        <v>0.14399999999999999</v>
      </c>
      <c r="U165" s="91">
        <v>0</v>
      </c>
      <c r="V165" s="84">
        <f t="shared" si="0"/>
        <v>0</v>
      </c>
      <c r="W165" s="86"/>
      <c r="Y165" s="300"/>
    </row>
    <row r="166" spans="1:25" ht="15.75" customHeight="1" x14ac:dyDescent="0.25">
      <c r="A166" s="310" t="s">
        <v>29</v>
      </c>
      <c r="B166" s="297"/>
      <c r="C166" s="297"/>
      <c r="D166" s="297"/>
      <c r="E166" s="298"/>
      <c r="G166" s="12" t="s">
        <v>12</v>
      </c>
      <c r="H166" s="17">
        <v>900</v>
      </c>
      <c r="I166" s="11">
        <v>860</v>
      </c>
      <c r="J166" s="17" t="s">
        <v>654</v>
      </c>
      <c r="L166" s="80" t="s">
        <v>196</v>
      </c>
      <c r="M166" s="93"/>
      <c r="N166" s="93"/>
      <c r="O166" s="93"/>
      <c r="P166" s="94"/>
      <c r="Q166" s="95"/>
      <c r="S166" s="96" t="s">
        <v>197</v>
      </c>
      <c r="T166" s="97"/>
      <c r="U166" s="99">
        <v>0.43</v>
      </c>
      <c r="V166" s="100" t="e">
        <f t="shared" si="0"/>
        <v>#DIV/0!</v>
      </c>
      <c r="W166" s="101">
        <f>+(U166-U165)/(U162-U165)</f>
        <v>0.16421615428680542</v>
      </c>
      <c r="Y166" s="300"/>
    </row>
    <row r="167" spans="1:25" ht="15.75" customHeight="1" x14ac:dyDescent="0.2">
      <c r="A167" s="9" t="s">
        <v>11</v>
      </c>
      <c r="B167" s="9" t="s">
        <v>12</v>
      </c>
      <c r="C167" s="11" t="s">
        <v>540</v>
      </c>
      <c r="D167" s="22">
        <v>899</v>
      </c>
      <c r="E167" s="22">
        <v>860</v>
      </c>
      <c r="G167" s="12" t="s">
        <v>18</v>
      </c>
      <c r="H167" s="17">
        <v>0</v>
      </c>
      <c r="I167" s="11">
        <v>0</v>
      </c>
      <c r="J167" s="17" t="s">
        <v>656</v>
      </c>
      <c r="L167" s="80" t="s">
        <v>199</v>
      </c>
      <c r="M167" s="93" t="s">
        <v>169</v>
      </c>
      <c r="N167" s="93" t="s">
        <v>200</v>
      </c>
      <c r="O167" s="93" t="s">
        <v>201</v>
      </c>
      <c r="P167" s="94" t="s">
        <v>191</v>
      </c>
      <c r="Q167" s="87" t="s">
        <v>202</v>
      </c>
      <c r="S167" s="311" t="s">
        <v>203</v>
      </c>
      <c r="T167" s="312"/>
      <c r="U167" s="312"/>
      <c r="V167" s="312"/>
      <c r="W167" s="313"/>
      <c r="Y167" s="300"/>
    </row>
    <row r="168" spans="1:25" ht="15.75" customHeight="1" x14ac:dyDescent="0.2">
      <c r="A168" s="9" t="s">
        <v>11</v>
      </c>
      <c r="B168" s="12" t="s">
        <v>18</v>
      </c>
      <c r="C168" s="11">
        <v>0</v>
      </c>
      <c r="D168" s="22">
        <v>0</v>
      </c>
      <c r="E168" s="22">
        <v>0</v>
      </c>
      <c r="L168" s="102">
        <f>+U166</f>
        <v>0.43</v>
      </c>
      <c r="M168" s="103">
        <f>+Q165</f>
        <v>-73.244911772440517</v>
      </c>
      <c r="N168" s="97">
        <f>+U162</f>
        <v>2.6185</v>
      </c>
      <c r="O168" s="104">
        <f>+U165</f>
        <v>0</v>
      </c>
      <c r="P168" s="105">
        <f>+Q163</f>
        <v>524.94490358126723</v>
      </c>
      <c r="Q168" s="106">
        <f>M168+(P168-M168)*(L168-O168)/(N168-O168)</f>
        <v>24.987519238479607</v>
      </c>
      <c r="S168" s="314"/>
      <c r="T168" s="315"/>
      <c r="U168" s="315"/>
      <c r="V168" s="315"/>
      <c r="W168" s="316"/>
      <c r="Y168" s="300"/>
    </row>
    <row r="169" spans="1:25" ht="15.75" customHeight="1" x14ac:dyDescent="0.2">
      <c r="A169" s="9" t="s">
        <v>21</v>
      </c>
      <c r="B169" s="12" t="s">
        <v>59</v>
      </c>
      <c r="C169" s="11">
        <v>420</v>
      </c>
      <c r="D169" s="22">
        <v>237</v>
      </c>
      <c r="E169" s="22">
        <v>428</v>
      </c>
      <c r="L169" s="311" t="s">
        <v>204</v>
      </c>
      <c r="M169" s="312"/>
      <c r="N169" s="312"/>
      <c r="O169" s="312"/>
      <c r="P169" s="312"/>
      <c r="Q169" s="313"/>
      <c r="S169" s="317"/>
      <c r="T169" s="318"/>
      <c r="U169" s="318"/>
      <c r="V169" s="318"/>
      <c r="W169" s="319"/>
      <c r="Y169" s="300"/>
    </row>
    <row r="170" spans="1:25" ht="15.75" customHeight="1" x14ac:dyDescent="0.2">
      <c r="A170" s="9" t="s">
        <v>21</v>
      </c>
      <c r="B170" s="12" t="s">
        <v>63</v>
      </c>
      <c r="C170" s="11">
        <v>130</v>
      </c>
      <c r="D170" s="22">
        <v>0</v>
      </c>
      <c r="E170" s="22">
        <v>133</v>
      </c>
      <c r="L170" s="317"/>
      <c r="M170" s="318"/>
      <c r="N170" s="318"/>
      <c r="O170" s="318"/>
      <c r="P170" s="318"/>
      <c r="Q170" s="319"/>
      <c r="S170" s="58" t="s">
        <v>160</v>
      </c>
      <c r="T170" s="59" t="s">
        <v>161</v>
      </c>
      <c r="U170" s="59" t="s">
        <v>162</v>
      </c>
      <c r="V170" s="61" t="s">
        <v>163</v>
      </c>
      <c r="W170" s="62" t="s">
        <v>165</v>
      </c>
      <c r="Y170" s="300"/>
    </row>
    <row r="171" spans="1:25" ht="15.75" customHeight="1" x14ac:dyDescent="0.25">
      <c r="L171" s="63" t="s">
        <v>168</v>
      </c>
      <c r="M171" s="64" t="s">
        <v>169</v>
      </c>
      <c r="N171" s="64" t="s">
        <v>171</v>
      </c>
      <c r="O171" s="64" t="s">
        <v>172</v>
      </c>
      <c r="P171" s="65" t="s">
        <v>173</v>
      </c>
      <c r="Q171" s="66" t="s">
        <v>175</v>
      </c>
      <c r="S171" s="63" t="s">
        <v>176</v>
      </c>
      <c r="T171" s="67">
        <v>0.314</v>
      </c>
      <c r="U171" s="68">
        <v>0.13300000000000001</v>
      </c>
      <c r="V171" s="70">
        <f t="shared" ref="V171:V175" si="1">+U171/T171</f>
        <v>0.42356687898089174</v>
      </c>
      <c r="W171" s="107"/>
      <c r="Y171" s="300"/>
    </row>
    <row r="172" spans="1:25" ht="15.75" customHeight="1" x14ac:dyDescent="0.25">
      <c r="L172" s="73">
        <v>420</v>
      </c>
      <c r="M172" s="74">
        <v>-22.5</v>
      </c>
      <c r="N172" s="74">
        <f>+U171</f>
        <v>0.13300000000000001</v>
      </c>
      <c r="O172" s="76">
        <f>+U174</f>
        <v>0</v>
      </c>
      <c r="P172" s="77">
        <f>+U172</f>
        <v>1.474</v>
      </c>
      <c r="Q172" s="108">
        <f>(L172-M172)*(N172-O172)/(P172-O172)+M172</f>
        <v>17.427069199457264</v>
      </c>
      <c r="S172" s="80" t="s">
        <v>188</v>
      </c>
      <c r="T172" s="74"/>
      <c r="U172" s="82">
        <v>1.474</v>
      </c>
      <c r="V172" s="84" t="e">
        <f t="shared" si="1"/>
        <v>#DIV/0!</v>
      </c>
      <c r="W172" s="86">
        <f>(U172-U174)/(U171-U174)</f>
        <v>11.082706766917292</v>
      </c>
      <c r="Y172" s="300"/>
    </row>
    <row r="173" spans="1:25" ht="15.75" customHeight="1" x14ac:dyDescent="0.25">
      <c r="L173" s="73" t="s">
        <v>168</v>
      </c>
      <c r="M173" s="74" t="s">
        <v>171</v>
      </c>
      <c r="N173" s="74" t="s">
        <v>190</v>
      </c>
      <c r="O173" s="74" t="s">
        <v>191</v>
      </c>
      <c r="P173" s="77" t="s">
        <v>173</v>
      </c>
      <c r="Q173" s="87" t="s">
        <v>192</v>
      </c>
      <c r="S173" s="80" t="s">
        <v>193</v>
      </c>
      <c r="T173" s="74"/>
      <c r="U173" s="91">
        <v>0.53800000000000003</v>
      </c>
      <c r="V173" s="84" t="e">
        <f t="shared" si="1"/>
        <v>#DIV/0!</v>
      </c>
      <c r="W173" s="86">
        <f>(U173-U174)/(U171-U174)</f>
        <v>4.0451127819548871</v>
      </c>
      <c r="Y173" s="300"/>
    </row>
    <row r="174" spans="1:25" ht="15.75" customHeight="1" x14ac:dyDescent="0.25">
      <c r="L174" s="73">
        <v>140</v>
      </c>
      <c r="M174" s="74">
        <f>+U171</f>
        <v>0.13300000000000001</v>
      </c>
      <c r="N174" s="76">
        <f>+U174</f>
        <v>0</v>
      </c>
      <c r="O174" s="74">
        <f>+Q172</f>
        <v>17.427069199457264</v>
      </c>
      <c r="P174" s="109">
        <f>+U173</f>
        <v>0.53800000000000003</v>
      </c>
      <c r="Q174" s="78">
        <f>(L174*(M174-N174)-O174*(P174-N174))/(M174-P174)</f>
        <v>-22.825275977017263</v>
      </c>
      <c r="S174" s="80" t="s">
        <v>194</v>
      </c>
      <c r="T174" s="74">
        <v>0.30199999999999999</v>
      </c>
      <c r="U174" s="91">
        <v>0</v>
      </c>
      <c r="V174" s="84">
        <f t="shared" si="1"/>
        <v>0</v>
      </c>
      <c r="W174" s="86"/>
      <c r="Y174" s="300"/>
    </row>
    <row r="175" spans="1:25" ht="15.75" customHeight="1" x14ac:dyDescent="0.25">
      <c r="L175" s="80" t="s">
        <v>196</v>
      </c>
      <c r="M175" s="93"/>
      <c r="N175" s="93"/>
      <c r="O175" s="93"/>
      <c r="P175" s="94"/>
      <c r="Q175" s="95"/>
      <c r="S175" s="111" t="s">
        <v>197</v>
      </c>
      <c r="T175" s="112"/>
      <c r="U175" s="113">
        <v>0.155</v>
      </c>
      <c r="V175" s="114" t="e">
        <f t="shared" si="1"/>
        <v>#DIV/0!</v>
      </c>
      <c r="W175" s="115">
        <f>+(U175-U174)/(U171-U174)</f>
        <v>1.1654135338345863</v>
      </c>
      <c r="Y175" s="300"/>
    </row>
    <row r="176" spans="1:25" ht="15.75" customHeight="1" x14ac:dyDescent="0.2">
      <c r="L176" s="80" t="s">
        <v>199</v>
      </c>
      <c r="M176" s="93" t="s">
        <v>169</v>
      </c>
      <c r="N176" s="93" t="s">
        <v>200</v>
      </c>
      <c r="O176" s="93" t="s">
        <v>201</v>
      </c>
      <c r="P176" s="94" t="s">
        <v>191</v>
      </c>
      <c r="Q176" s="87" t="s">
        <v>202</v>
      </c>
      <c r="Y176" s="300"/>
    </row>
    <row r="177" spans="1:26" ht="15.75" customHeight="1" x14ac:dyDescent="0.2">
      <c r="L177" s="116">
        <f>+U175</f>
        <v>0.155</v>
      </c>
      <c r="M177" s="117">
        <f>+Q174</f>
        <v>-22.825275977017263</v>
      </c>
      <c r="N177" s="112">
        <f>+U171</f>
        <v>0.13300000000000001</v>
      </c>
      <c r="O177" s="118">
        <f>+U174</f>
        <v>0</v>
      </c>
      <c r="P177" s="119">
        <f>+Q172</f>
        <v>17.427069199457264</v>
      </c>
      <c r="Q177" s="78">
        <f>M177+(P177-M177)*(L177-O177)/(N177-O177)</f>
        <v>24.085351860227483</v>
      </c>
      <c r="T177" s="121"/>
      <c r="Y177" s="300"/>
    </row>
    <row r="178" spans="1:26" ht="15.75" customHeight="1" x14ac:dyDescent="0.2">
      <c r="Y178" s="301"/>
    </row>
    <row r="179" spans="1:26" ht="15.75" customHeight="1" x14ac:dyDescent="0.25">
      <c r="D179" s="184"/>
    </row>
    <row r="180" spans="1:26" ht="15.75" customHeight="1" x14ac:dyDescent="0.25">
      <c r="A180" s="29"/>
      <c r="B180" s="29"/>
      <c r="C180" s="29"/>
      <c r="D180" s="196"/>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5.75" customHeight="1" x14ac:dyDescent="0.25">
      <c r="D181" s="184"/>
    </row>
    <row r="182" spans="1:26" ht="15.75" customHeight="1" x14ac:dyDescent="0.25">
      <c r="A182" s="28"/>
      <c r="B182" s="28"/>
      <c r="C182" s="28"/>
      <c r="D182" s="184"/>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5.75" customHeight="1" x14ac:dyDescent="0.25">
      <c r="A183" s="28" t="s">
        <v>668</v>
      </c>
      <c r="B183" s="28" t="s">
        <v>570</v>
      </c>
      <c r="C183" s="28"/>
      <c r="D183" s="184"/>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5.75" customHeight="1" x14ac:dyDescent="0.25">
      <c r="A184" s="28"/>
      <c r="B184" s="28"/>
      <c r="C184" s="28"/>
      <c r="D184" s="184"/>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5.75" customHeight="1" x14ac:dyDescent="0.25">
      <c r="A185" s="28"/>
      <c r="B185" s="304" t="s">
        <v>671</v>
      </c>
      <c r="C185" s="297"/>
      <c r="D185" s="297"/>
      <c r="E185" s="297"/>
      <c r="F185" s="154"/>
      <c r="G185" s="137"/>
      <c r="H185" s="28"/>
      <c r="I185" s="3"/>
      <c r="J185" s="28"/>
      <c r="K185" s="28"/>
      <c r="L185" s="28"/>
      <c r="M185" s="28"/>
      <c r="N185" s="28"/>
      <c r="O185" s="28"/>
      <c r="P185" s="28"/>
      <c r="Q185" s="28"/>
      <c r="R185" s="28"/>
      <c r="S185" s="28"/>
      <c r="T185" s="28"/>
      <c r="U185" s="28"/>
      <c r="V185" s="28"/>
      <c r="W185" s="28"/>
      <c r="X185" s="28"/>
      <c r="Y185" s="28"/>
      <c r="Z185" s="28"/>
    </row>
    <row r="186" spans="1:26" ht="15.75" customHeight="1" x14ac:dyDescent="0.25">
      <c r="A186" s="28"/>
      <c r="B186" s="4" t="s">
        <v>0</v>
      </c>
      <c r="C186" s="5" t="s">
        <v>1</v>
      </c>
      <c r="D186" s="186" t="s">
        <v>2</v>
      </c>
      <c r="E186" s="5" t="s">
        <v>43</v>
      </c>
      <c r="F186" s="45" t="s">
        <v>125</v>
      </c>
      <c r="G186" s="190"/>
      <c r="H186" s="296" t="s">
        <v>6</v>
      </c>
      <c r="I186" s="297"/>
      <c r="J186" s="297"/>
      <c r="K186" s="297"/>
      <c r="L186" s="297"/>
      <c r="M186" s="298"/>
      <c r="N186" s="28"/>
      <c r="O186" s="28"/>
      <c r="P186" s="28"/>
      <c r="Q186" s="28"/>
      <c r="R186" s="28"/>
      <c r="S186" s="28"/>
      <c r="T186" s="28"/>
      <c r="U186" s="28"/>
      <c r="V186" s="28"/>
      <c r="W186" s="28"/>
      <c r="X186" s="28"/>
      <c r="Y186" s="28"/>
      <c r="Z186" s="28"/>
    </row>
    <row r="187" spans="1:26" ht="15.75" customHeight="1" x14ac:dyDescent="0.25">
      <c r="A187" s="28"/>
      <c r="B187" s="9" t="s">
        <v>7</v>
      </c>
      <c r="C187" s="302" t="s">
        <v>9</v>
      </c>
      <c r="D187" s="47">
        <v>28.1</v>
      </c>
      <c r="E187" s="11" t="s">
        <v>673</v>
      </c>
      <c r="F187" s="11">
        <v>30</v>
      </c>
      <c r="G187" s="31"/>
      <c r="H187" s="296" t="s">
        <v>106</v>
      </c>
      <c r="I187" s="297"/>
      <c r="J187" s="298"/>
      <c r="K187" s="296" t="s">
        <v>107</v>
      </c>
      <c r="L187" s="297"/>
      <c r="M187" s="298"/>
      <c r="N187" s="28"/>
      <c r="O187" s="28"/>
      <c r="P187" s="28"/>
      <c r="Q187" s="28"/>
      <c r="R187" s="28"/>
      <c r="S187" s="28"/>
      <c r="T187" s="28"/>
      <c r="U187" s="28"/>
      <c r="V187" s="28"/>
      <c r="W187" s="28"/>
      <c r="X187" s="28"/>
      <c r="Y187" s="28"/>
      <c r="Z187" s="28"/>
    </row>
    <row r="188" spans="1:26" ht="15.75" customHeight="1" x14ac:dyDescent="0.25">
      <c r="A188" s="28"/>
      <c r="B188" s="9" t="s">
        <v>17</v>
      </c>
      <c r="C188" s="300"/>
      <c r="D188" s="47">
        <v>63.911000000000001</v>
      </c>
      <c r="E188" s="11">
        <v>39</v>
      </c>
      <c r="F188" s="11">
        <v>37</v>
      </c>
      <c r="G188" s="31"/>
      <c r="H188" s="13" t="s">
        <v>13</v>
      </c>
      <c r="I188" s="39">
        <f>I190+I190*0.05</f>
        <v>724.5</v>
      </c>
      <c r="J188" s="17" t="s">
        <v>676</v>
      </c>
      <c r="K188" s="13" t="s">
        <v>13</v>
      </c>
      <c r="L188" s="39">
        <f>L190+L190*0.05</f>
        <v>708.75</v>
      </c>
      <c r="M188" s="17" t="s">
        <v>677</v>
      </c>
      <c r="N188" s="28"/>
      <c r="O188" s="28"/>
      <c r="P188" s="28"/>
      <c r="Q188" s="28"/>
      <c r="R188" s="28"/>
      <c r="S188" s="28"/>
      <c r="T188" s="28"/>
      <c r="U188" s="28"/>
      <c r="V188" s="28"/>
      <c r="W188" s="28"/>
      <c r="X188" s="28"/>
      <c r="Y188" s="28"/>
      <c r="Z188" s="28"/>
    </row>
    <row r="189" spans="1:26" ht="15.75" customHeight="1" x14ac:dyDescent="0.25">
      <c r="A189" s="28"/>
      <c r="B189" s="9" t="s">
        <v>26</v>
      </c>
      <c r="C189" s="300"/>
      <c r="D189" s="47">
        <v>69.921999999999997</v>
      </c>
      <c r="E189" s="11">
        <v>39</v>
      </c>
      <c r="F189" s="11">
        <v>38</v>
      </c>
      <c r="G189" s="31"/>
      <c r="H189" s="13" t="s">
        <v>19</v>
      </c>
      <c r="I189" s="40">
        <f>I190-I190*0.05</f>
        <v>655.5</v>
      </c>
      <c r="J189" s="17" t="s">
        <v>681</v>
      </c>
      <c r="K189" s="13" t="s">
        <v>19</v>
      </c>
      <c r="L189" s="40">
        <f>L190-L190*0.05</f>
        <v>641.25</v>
      </c>
      <c r="M189" s="17" t="s">
        <v>684</v>
      </c>
      <c r="N189" s="28"/>
      <c r="O189" s="28"/>
      <c r="P189" s="28"/>
      <c r="Q189" s="28"/>
      <c r="R189" s="28"/>
      <c r="S189" s="28"/>
      <c r="T189" s="28"/>
      <c r="U189" s="28"/>
      <c r="V189" s="28"/>
      <c r="W189" s="28"/>
      <c r="X189" s="28"/>
      <c r="Y189" s="28"/>
      <c r="Z189" s="28"/>
    </row>
    <row r="190" spans="1:26" ht="15.75" customHeight="1" x14ac:dyDescent="0.25">
      <c r="A190" s="28"/>
      <c r="B190" s="9" t="s">
        <v>32</v>
      </c>
      <c r="C190" s="300"/>
      <c r="D190" s="47">
        <v>96.744</v>
      </c>
      <c r="E190" s="11">
        <v>102</v>
      </c>
      <c r="F190" s="11">
        <v>100</v>
      </c>
      <c r="G190" s="31"/>
      <c r="H190" s="13" t="s">
        <v>27</v>
      </c>
      <c r="I190" s="182">
        <v>690</v>
      </c>
      <c r="J190" s="17" t="s">
        <v>688</v>
      </c>
      <c r="K190" s="13" t="s">
        <v>27</v>
      </c>
      <c r="L190" s="182">
        <v>675</v>
      </c>
      <c r="M190" s="17" t="s">
        <v>690</v>
      </c>
      <c r="N190" s="28"/>
      <c r="O190" s="28"/>
      <c r="P190" s="28"/>
      <c r="Q190" s="28"/>
      <c r="R190" s="28"/>
      <c r="S190" s="28"/>
      <c r="T190" s="28"/>
      <c r="U190" s="28"/>
      <c r="V190" s="28"/>
      <c r="W190" s="28"/>
      <c r="X190" s="28"/>
      <c r="Y190" s="28"/>
      <c r="Z190" s="28"/>
    </row>
    <row r="191" spans="1:26" ht="15.75" customHeight="1" x14ac:dyDescent="0.25">
      <c r="A191" s="28"/>
      <c r="B191" s="9" t="s">
        <v>33</v>
      </c>
      <c r="C191" s="301"/>
      <c r="D191" s="47">
        <v>128.11000000000001</v>
      </c>
      <c r="E191" s="11">
        <v>97</v>
      </c>
      <c r="F191" s="11">
        <v>94</v>
      </c>
      <c r="G191" s="31"/>
      <c r="H191" s="13" t="s">
        <v>121</v>
      </c>
      <c r="I191" s="182">
        <v>680</v>
      </c>
      <c r="J191" s="17" t="s">
        <v>694</v>
      </c>
      <c r="K191" s="13" t="s">
        <v>121</v>
      </c>
      <c r="L191" s="182">
        <v>673</v>
      </c>
      <c r="M191" s="17" t="s">
        <v>695</v>
      </c>
      <c r="N191" s="28"/>
      <c r="O191" s="28"/>
      <c r="P191" s="28"/>
      <c r="Q191" s="28"/>
      <c r="R191" s="28"/>
      <c r="S191" s="28"/>
      <c r="T191" s="28"/>
      <c r="U191" s="28"/>
      <c r="V191" s="28"/>
      <c r="W191" s="28"/>
      <c r="X191" s="28"/>
      <c r="Y191" s="28"/>
      <c r="Z191" s="28"/>
    </row>
    <row r="192" spans="1:26" ht="15.75" customHeight="1" x14ac:dyDescent="0.25">
      <c r="A192" s="28"/>
      <c r="B192" s="41"/>
      <c r="C192" s="42"/>
      <c r="D192" s="69"/>
      <c r="E192" s="11"/>
      <c r="F192" s="11"/>
      <c r="G192" s="31"/>
      <c r="H192" s="28"/>
      <c r="I192" s="3"/>
      <c r="J192" s="28"/>
      <c r="K192" s="28"/>
      <c r="L192" s="28"/>
      <c r="M192" s="28"/>
      <c r="N192" s="28"/>
      <c r="O192" s="28"/>
      <c r="P192" s="28"/>
      <c r="Q192" s="28"/>
      <c r="R192" s="28"/>
      <c r="S192" s="28"/>
      <c r="T192" s="28"/>
      <c r="U192" s="28"/>
      <c r="V192" s="28"/>
      <c r="W192" s="28"/>
      <c r="X192" s="28"/>
      <c r="Y192" s="28"/>
      <c r="Z192" s="28"/>
    </row>
    <row r="193" spans="1:26" ht="15.75" customHeight="1" x14ac:dyDescent="0.25">
      <c r="A193" s="28"/>
      <c r="B193" s="9" t="s">
        <v>35</v>
      </c>
      <c r="C193" s="302" t="s">
        <v>36</v>
      </c>
      <c r="D193" s="47">
        <v>207.78</v>
      </c>
      <c r="E193" s="11">
        <v>358</v>
      </c>
      <c r="F193" s="11">
        <v>358</v>
      </c>
      <c r="G193" s="31"/>
      <c r="H193" s="28"/>
      <c r="I193" s="3"/>
      <c r="J193" s="28"/>
      <c r="K193" s="28"/>
      <c r="L193" s="28"/>
      <c r="M193" s="28"/>
      <c r="N193" s="28"/>
      <c r="O193" s="28"/>
      <c r="P193" s="28"/>
      <c r="Q193" s="28"/>
      <c r="R193" s="28"/>
      <c r="S193" s="28"/>
      <c r="T193" s="28"/>
      <c r="U193" s="28"/>
      <c r="V193" s="28"/>
      <c r="W193" s="28"/>
      <c r="X193" s="28"/>
      <c r="Y193" s="28"/>
      <c r="Z193" s="28"/>
    </row>
    <row r="194" spans="1:26" ht="15.75" customHeight="1" x14ac:dyDescent="0.25">
      <c r="A194" s="28"/>
      <c r="B194" s="9" t="s">
        <v>37</v>
      </c>
      <c r="C194" s="300"/>
      <c r="D194" s="47">
        <v>444.11</v>
      </c>
      <c r="E194" s="11">
        <v>408</v>
      </c>
      <c r="F194" s="11">
        <v>387</v>
      </c>
      <c r="G194" s="31"/>
      <c r="H194" s="28"/>
      <c r="I194" s="3"/>
      <c r="J194" s="28"/>
      <c r="K194" s="28"/>
      <c r="L194" s="28"/>
      <c r="M194" s="28"/>
      <c r="N194" s="28"/>
      <c r="O194" s="28"/>
      <c r="P194" s="28"/>
      <c r="Q194" s="28"/>
      <c r="R194" s="28"/>
      <c r="S194" s="28"/>
      <c r="T194" s="28"/>
      <c r="U194" s="28"/>
      <c r="V194" s="28"/>
      <c r="W194" s="28"/>
      <c r="X194" s="28"/>
      <c r="Y194" s="28"/>
      <c r="Z194" s="28"/>
    </row>
    <row r="195" spans="1:26" ht="15.75" customHeight="1" x14ac:dyDescent="0.25">
      <c r="A195" s="28"/>
      <c r="B195" s="9" t="s">
        <v>38</v>
      </c>
      <c r="C195" s="300"/>
      <c r="D195" s="47">
        <v>579.55999999999995</v>
      </c>
      <c r="E195" s="11">
        <v>483</v>
      </c>
      <c r="F195" s="11">
        <v>464</v>
      </c>
      <c r="G195" s="31"/>
      <c r="H195" s="28"/>
      <c r="I195" s="3"/>
      <c r="J195" s="28"/>
      <c r="K195" s="28"/>
      <c r="L195" s="28"/>
      <c r="M195" s="28"/>
      <c r="N195" s="28"/>
      <c r="O195" s="28"/>
      <c r="P195" s="28"/>
      <c r="Q195" s="28"/>
      <c r="R195" s="28"/>
      <c r="S195" s="28"/>
      <c r="T195" s="28"/>
      <c r="U195" s="28"/>
      <c r="V195" s="28"/>
      <c r="W195" s="28"/>
      <c r="X195" s="28"/>
      <c r="Y195" s="28"/>
      <c r="Z195" s="28"/>
    </row>
    <row r="196" spans="1:26" ht="15.75" customHeight="1" x14ac:dyDescent="0.25">
      <c r="A196" s="28"/>
      <c r="B196" s="9" t="s">
        <v>39</v>
      </c>
      <c r="C196" s="300"/>
      <c r="D196" s="47">
        <v>746.22</v>
      </c>
      <c r="E196" s="11">
        <v>693</v>
      </c>
      <c r="F196" s="11">
        <v>650</v>
      </c>
      <c r="G196" s="31"/>
      <c r="H196" s="28"/>
      <c r="I196" s="3"/>
      <c r="J196" s="28"/>
      <c r="K196" s="28"/>
      <c r="L196" s="28"/>
      <c r="M196" s="28"/>
      <c r="N196" s="28"/>
      <c r="O196" s="28"/>
      <c r="P196" s="28"/>
      <c r="Q196" s="28"/>
      <c r="R196" s="28"/>
      <c r="S196" s="28"/>
      <c r="T196" s="28"/>
      <c r="U196" s="28"/>
      <c r="V196" s="28"/>
      <c r="W196" s="28"/>
      <c r="X196" s="28"/>
      <c r="Y196" s="28"/>
      <c r="Z196" s="28"/>
    </row>
    <row r="197" spans="1:26" ht="15.75" customHeight="1" x14ac:dyDescent="0.25">
      <c r="A197" s="28"/>
      <c r="B197" s="49" t="s">
        <v>41</v>
      </c>
      <c r="C197" s="300"/>
      <c r="D197" s="50">
        <v>869.5</v>
      </c>
      <c r="E197" s="51">
        <v>695</v>
      </c>
      <c r="F197" s="51">
        <v>719</v>
      </c>
      <c r="G197" s="31"/>
      <c r="H197" s="28"/>
      <c r="I197" s="3"/>
      <c r="J197" s="28"/>
      <c r="K197" s="28"/>
      <c r="L197" s="28"/>
      <c r="M197" s="28"/>
      <c r="N197" s="28"/>
      <c r="O197" s="28"/>
      <c r="P197" s="28"/>
      <c r="Q197" s="28"/>
      <c r="R197" s="28"/>
      <c r="S197" s="28"/>
      <c r="T197" s="28"/>
      <c r="U197" s="28"/>
      <c r="V197" s="28"/>
      <c r="W197" s="28"/>
      <c r="X197" s="28"/>
      <c r="Y197" s="28"/>
      <c r="Z197" s="28"/>
    </row>
    <row r="198" spans="1:26" ht="15.75" customHeight="1" x14ac:dyDescent="0.25">
      <c r="A198" s="28"/>
      <c r="B198" s="79"/>
      <c r="C198" s="81"/>
      <c r="D198" s="81"/>
      <c r="E198" s="81"/>
      <c r="F198" s="81"/>
      <c r="G198" s="191"/>
      <c r="H198" s="28"/>
      <c r="I198" s="3"/>
      <c r="J198" s="28"/>
      <c r="K198" s="28"/>
      <c r="L198" s="28"/>
      <c r="M198" s="28"/>
      <c r="N198" s="28"/>
      <c r="O198" s="28"/>
      <c r="P198" s="28"/>
      <c r="Q198" s="28"/>
      <c r="R198" s="28"/>
      <c r="S198" s="28"/>
      <c r="T198" s="28"/>
      <c r="U198" s="28"/>
      <c r="V198" s="28"/>
      <c r="W198" s="28"/>
      <c r="X198" s="28"/>
      <c r="Y198" s="28"/>
      <c r="Z198" s="28"/>
    </row>
    <row r="199" spans="1:26" ht="15.75" customHeight="1" x14ac:dyDescent="0.25">
      <c r="A199" s="28"/>
      <c r="B199" s="9" t="s">
        <v>46</v>
      </c>
      <c r="C199" s="299" t="s">
        <v>47</v>
      </c>
      <c r="D199" s="47">
        <v>88.4</v>
      </c>
      <c r="E199" s="11">
        <v>90</v>
      </c>
      <c r="F199" s="11">
        <v>87</v>
      </c>
      <c r="G199" s="31"/>
      <c r="H199" s="28"/>
      <c r="I199" s="3"/>
      <c r="J199" s="28"/>
      <c r="K199" s="28"/>
      <c r="L199" s="28"/>
      <c r="M199" s="28"/>
      <c r="N199" s="28"/>
      <c r="O199" s="28"/>
      <c r="P199" s="28"/>
      <c r="Q199" s="28"/>
      <c r="R199" s="28"/>
      <c r="S199" s="28"/>
      <c r="T199" s="28"/>
      <c r="U199" s="28"/>
      <c r="V199" s="28"/>
      <c r="W199" s="28"/>
      <c r="X199" s="28"/>
      <c r="Y199" s="28"/>
      <c r="Z199" s="28"/>
    </row>
    <row r="200" spans="1:26" ht="15.75" customHeight="1" x14ac:dyDescent="0.25">
      <c r="A200" s="28"/>
      <c r="B200" s="9" t="s">
        <v>48</v>
      </c>
      <c r="C200" s="300"/>
      <c r="D200" s="47">
        <v>94.6</v>
      </c>
      <c r="E200" s="11">
        <v>95</v>
      </c>
      <c r="F200" s="11">
        <v>93</v>
      </c>
      <c r="G200" s="31"/>
      <c r="H200" s="28"/>
      <c r="I200" s="3"/>
      <c r="J200" s="28"/>
      <c r="K200" s="28"/>
      <c r="L200" s="28"/>
      <c r="M200" s="28"/>
      <c r="N200" s="28"/>
      <c r="O200" s="28"/>
      <c r="P200" s="28"/>
      <c r="Q200" s="28"/>
      <c r="R200" s="28"/>
      <c r="S200" s="28"/>
      <c r="T200" s="28"/>
      <c r="U200" s="28"/>
      <c r="V200" s="28"/>
      <c r="W200" s="28"/>
      <c r="X200" s="28"/>
      <c r="Y200" s="28"/>
      <c r="Z200" s="28"/>
    </row>
    <row r="201" spans="1:26" ht="15.75" customHeight="1" x14ac:dyDescent="0.25">
      <c r="A201" s="28"/>
      <c r="B201" s="41"/>
      <c r="C201" s="42"/>
      <c r="D201" s="69"/>
      <c r="E201" s="11"/>
      <c r="F201" s="11"/>
      <c r="G201" s="31"/>
      <c r="H201" s="28"/>
      <c r="I201" s="3"/>
      <c r="J201" s="28"/>
      <c r="K201" s="28"/>
      <c r="L201" s="28"/>
      <c r="M201" s="28"/>
      <c r="N201" s="28"/>
      <c r="O201" s="28"/>
      <c r="P201" s="28"/>
      <c r="Q201" s="28"/>
      <c r="R201" s="28"/>
      <c r="S201" s="28"/>
      <c r="T201" s="28"/>
      <c r="U201" s="28"/>
      <c r="V201" s="28"/>
      <c r="W201" s="28"/>
      <c r="X201" s="28"/>
      <c r="Y201" s="28"/>
      <c r="Z201" s="28"/>
    </row>
    <row r="202" spans="1:26" ht="15.75" customHeight="1" x14ac:dyDescent="0.25">
      <c r="A202" s="28"/>
      <c r="B202" s="9" t="s">
        <v>50</v>
      </c>
      <c r="C202" s="302" t="s">
        <v>51</v>
      </c>
      <c r="D202" s="47">
        <v>271.44400000000002</v>
      </c>
      <c r="E202" s="11">
        <v>523</v>
      </c>
      <c r="F202" s="11">
        <v>520</v>
      </c>
      <c r="G202" s="31"/>
      <c r="H202" s="28"/>
      <c r="I202" s="3"/>
      <c r="J202" s="28"/>
      <c r="K202" s="28"/>
      <c r="L202" s="28"/>
      <c r="M202" s="28"/>
      <c r="N202" s="28"/>
      <c r="O202" s="28"/>
      <c r="P202" s="28"/>
      <c r="Q202" s="28"/>
      <c r="R202" s="28"/>
      <c r="S202" s="28"/>
      <c r="T202" s="28"/>
      <c r="U202" s="28"/>
      <c r="V202" s="28"/>
      <c r="W202" s="28"/>
      <c r="X202" s="28"/>
      <c r="Y202" s="28"/>
      <c r="Z202" s="28"/>
    </row>
    <row r="203" spans="1:26" ht="15.75" customHeight="1" x14ac:dyDescent="0.25">
      <c r="A203" s="28"/>
      <c r="B203" s="9" t="s">
        <v>54</v>
      </c>
      <c r="C203" s="300"/>
      <c r="D203" s="47">
        <v>550.22199999999998</v>
      </c>
      <c r="E203" s="11">
        <v>534</v>
      </c>
      <c r="F203" s="11">
        <v>536</v>
      </c>
      <c r="G203" s="31"/>
      <c r="H203" s="28"/>
      <c r="I203" s="3"/>
      <c r="J203" s="28"/>
      <c r="K203" s="28"/>
      <c r="L203" s="28"/>
      <c r="M203" s="28"/>
      <c r="N203" s="28"/>
      <c r="O203" s="28"/>
      <c r="P203" s="28"/>
      <c r="Q203" s="28"/>
      <c r="R203" s="28"/>
      <c r="S203" s="28"/>
      <c r="T203" s="28"/>
      <c r="U203" s="28"/>
      <c r="V203" s="28"/>
      <c r="W203" s="28"/>
      <c r="X203" s="28"/>
      <c r="Y203" s="28"/>
      <c r="Z203" s="28"/>
    </row>
    <row r="204" spans="1:26" ht="15.75" customHeight="1" x14ac:dyDescent="0.25">
      <c r="A204" s="28"/>
      <c r="B204" s="9" t="s">
        <v>55</v>
      </c>
      <c r="C204" s="300"/>
      <c r="D204" s="47">
        <v>609</v>
      </c>
      <c r="E204" s="11">
        <v>601</v>
      </c>
      <c r="F204" s="11">
        <v>674</v>
      </c>
      <c r="G204" s="31"/>
      <c r="H204" s="28"/>
      <c r="I204" s="3"/>
      <c r="J204" s="28"/>
      <c r="K204" s="28"/>
      <c r="L204" s="28"/>
      <c r="M204" s="28"/>
      <c r="N204" s="28"/>
      <c r="O204" s="28"/>
      <c r="P204" s="28"/>
      <c r="Q204" s="28"/>
      <c r="R204" s="28"/>
      <c r="S204" s="28"/>
      <c r="T204" s="28"/>
      <c r="U204" s="28"/>
      <c r="V204" s="28"/>
      <c r="W204" s="28"/>
      <c r="X204" s="28"/>
      <c r="Y204" s="28"/>
      <c r="Z204" s="28"/>
    </row>
    <row r="205" spans="1:26" ht="15.75" customHeight="1" x14ac:dyDescent="0.25">
      <c r="A205" s="28"/>
      <c r="B205" s="9" t="s">
        <v>56</v>
      </c>
      <c r="C205" s="300"/>
      <c r="D205" s="47">
        <v>739.11099999999999</v>
      </c>
      <c r="E205" s="11">
        <v>778</v>
      </c>
      <c r="F205" s="11">
        <v>774</v>
      </c>
      <c r="G205" s="31"/>
      <c r="H205" s="28"/>
      <c r="I205" s="3"/>
      <c r="J205" s="28"/>
      <c r="K205" s="28"/>
      <c r="L205" s="28"/>
      <c r="M205" s="28"/>
      <c r="N205" s="28"/>
      <c r="O205" s="28"/>
      <c r="P205" s="28"/>
      <c r="Q205" s="28"/>
      <c r="R205" s="28"/>
      <c r="S205" s="28"/>
      <c r="T205" s="28"/>
      <c r="U205" s="28"/>
      <c r="V205" s="28"/>
      <c r="W205" s="28"/>
      <c r="X205" s="28"/>
      <c r="Y205" s="28"/>
      <c r="Z205" s="28"/>
    </row>
    <row r="206" spans="1:26" ht="15.75" customHeight="1" x14ac:dyDescent="0.25">
      <c r="A206" s="28"/>
      <c r="B206" s="49" t="s">
        <v>57</v>
      </c>
      <c r="C206" s="300"/>
      <c r="D206" s="50">
        <v>746.88900000000001</v>
      </c>
      <c r="E206" s="51">
        <v>623</v>
      </c>
      <c r="F206" s="51">
        <v>614</v>
      </c>
      <c r="G206" s="31"/>
      <c r="H206" s="28"/>
      <c r="I206" s="3"/>
      <c r="J206" s="28"/>
      <c r="K206" s="28"/>
      <c r="L206" s="28"/>
      <c r="M206" s="28"/>
      <c r="N206" s="28"/>
      <c r="O206" s="28"/>
      <c r="P206" s="28"/>
      <c r="Q206" s="28"/>
      <c r="R206" s="28"/>
      <c r="S206" s="28"/>
      <c r="T206" s="28"/>
      <c r="U206" s="28"/>
      <c r="V206" s="28"/>
      <c r="W206" s="28"/>
      <c r="X206" s="28"/>
      <c r="Y206" s="28"/>
      <c r="Z206" s="28"/>
    </row>
    <row r="207" spans="1:26" ht="15.75" customHeight="1" x14ac:dyDescent="0.25">
      <c r="A207" s="28"/>
      <c r="B207" s="79"/>
      <c r="C207" s="81"/>
      <c r="D207" s="81"/>
      <c r="E207" s="81"/>
      <c r="F207" s="81"/>
      <c r="G207" s="191"/>
      <c r="H207" s="28"/>
      <c r="I207" s="28"/>
      <c r="J207" s="28"/>
      <c r="K207" s="28"/>
      <c r="L207" s="28"/>
      <c r="M207" s="28"/>
      <c r="N207" s="28"/>
      <c r="O207" s="28"/>
      <c r="P207" s="28"/>
      <c r="Q207" s="28"/>
      <c r="R207" s="28"/>
      <c r="S207" s="28"/>
      <c r="T207" s="28"/>
      <c r="U207" s="28"/>
      <c r="V207" s="28"/>
      <c r="W207" s="28"/>
      <c r="X207" s="28"/>
      <c r="Y207" s="28"/>
      <c r="Z207" s="28"/>
    </row>
    <row r="208" spans="1:26" ht="15.75" customHeight="1" x14ac:dyDescent="0.25">
      <c r="A208" s="28"/>
      <c r="B208" s="9" t="s">
        <v>60</v>
      </c>
      <c r="C208" s="299" t="s">
        <v>62</v>
      </c>
      <c r="D208" s="47">
        <v>19.36</v>
      </c>
      <c r="E208" s="11">
        <v>18</v>
      </c>
      <c r="F208" s="11">
        <v>15</v>
      </c>
      <c r="G208" s="31"/>
      <c r="H208" s="28"/>
      <c r="I208" s="28"/>
      <c r="J208" s="28"/>
      <c r="K208" s="28"/>
      <c r="L208" s="28"/>
      <c r="M208" s="28"/>
      <c r="N208" s="28"/>
      <c r="O208" s="28"/>
      <c r="P208" s="28"/>
      <c r="Q208" s="28"/>
      <c r="R208" s="28"/>
      <c r="S208" s="28"/>
      <c r="T208" s="28"/>
      <c r="U208" s="28"/>
      <c r="V208" s="28"/>
      <c r="W208" s="28"/>
      <c r="X208" s="28"/>
      <c r="Y208" s="28"/>
      <c r="Z208" s="28"/>
    </row>
    <row r="209" spans="1:26" ht="15.75" customHeight="1" x14ac:dyDescent="0.25">
      <c r="A209" s="28"/>
      <c r="B209" s="9" t="s">
        <v>64</v>
      </c>
      <c r="C209" s="300"/>
      <c r="D209" s="47">
        <v>33.31</v>
      </c>
      <c r="E209" s="11">
        <v>36</v>
      </c>
      <c r="F209" s="11">
        <v>32</v>
      </c>
      <c r="G209" s="31"/>
      <c r="H209" s="28"/>
      <c r="I209" s="28"/>
      <c r="J209" s="28"/>
      <c r="K209" s="28"/>
      <c r="L209" s="28"/>
      <c r="M209" s="28"/>
      <c r="N209" s="28"/>
      <c r="O209" s="28"/>
      <c r="P209" s="28"/>
      <c r="Q209" s="28"/>
      <c r="R209" s="28"/>
      <c r="S209" s="28"/>
      <c r="T209" s="28"/>
      <c r="U209" s="28"/>
      <c r="V209" s="28"/>
      <c r="W209" s="28"/>
      <c r="X209" s="28"/>
      <c r="Y209" s="28"/>
      <c r="Z209" s="28"/>
    </row>
    <row r="210" spans="1:26" ht="15.75" customHeight="1" x14ac:dyDescent="0.25">
      <c r="A210" s="28"/>
      <c r="B210" s="9" t="s">
        <v>65</v>
      </c>
      <c r="C210" s="301"/>
      <c r="D210" s="47">
        <v>41.74</v>
      </c>
      <c r="E210" s="11">
        <v>20</v>
      </c>
      <c r="F210" s="11">
        <v>17</v>
      </c>
      <c r="G210" s="31"/>
      <c r="H210" s="28"/>
      <c r="I210" s="28"/>
      <c r="J210" s="28"/>
      <c r="K210" s="28"/>
      <c r="L210" s="28"/>
      <c r="M210" s="28"/>
      <c r="N210" s="28"/>
      <c r="O210" s="28"/>
      <c r="P210" s="28"/>
      <c r="Q210" s="28"/>
      <c r="R210" s="28"/>
      <c r="S210" s="28"/>
      <c r="T210" s="28"/>
      <c r="U210" s="28"/>
      <c r="V210" s="28"/>
      <c r="W210" s="28"/>
      <c r="X210" s="28"/>
      <c r="Y210" s="28"/>
      <c r="Z210" s="28"/>
    </row>
    <row r="211" spans="1:26" ht="15.75" customHeight="1" x14ac:dyDescent="0.25">
      <c r="A211" s="28"/>
      <c r="B211" s="41"/>
      <c r="C211" s="42"/>
      <c r="D211" s="69"/>
      <c r="E211" s="11"/>
      <c r="F211" s="11"/>
      <c r="G211" s="31"/>
      <c r="H211" s="28"/>
      <c r="I211" s="28"/>
      <c r="J211" s="28"/>
      <c r="K211" s="28"/>
      <c r="L211" s="28"/>
      <c r="M211" s="28"/>
      <c r="N211" s="28"/>
      <c r="O211" s="28"/>
      <c r="P211" s="28"/>
      <c r="Q211" s="28"/>
      <c r="R211" s="28"/>
      <c r="S211" s="28"/>
      <c r="T211" s="28"/>
      <c r="U211" s="28"/>
      <c r="V211" s="28"/>
      <c r="W211" s="28"/>
      <c r="X211" s="28"/>
      <c r="Y211" s="28"/>
      <c r="Z211" s="28"/>
    </row>
    <row r="212" spans="1:26" ht="15.75" customHeight="1" x14ac:dyDescent="0.25">
      <c r="A212" s="28"/>
      <c r="B212" s="9" t="s">
        <v>66</v>
      </c>
      <c r="C212" s="302" t="s">
        <v>68</v>
      </c>
      <c r="D212" s="47">
        <v>204.5</v>
      </c>
      <c r="E212" s="11">
        <v>225</v>
      </c>
      <c r="F212" s="11">
        <v>214</v>
      </c>
      <c r="G212" s="31"/>
      <c r="H212" s="28"/>
      <c r="I212" s="3"/>
      <c r="J212" s="28"/>
      <c r="K212" s="28"/>
      <c r="L212" s="28"/>
      <c r="M212" s="28"/>
      <c r="N212" s="28"/>
      <c r="O212" s="28"/>
      <c r="P212" s="28"/>
      <c r="Q212" s="28"/>
      <c r="R212" s="28"/>
      <c r="S212" s="28"/>
      <c r="T212" s="28"/>
      <c r="U212" s="28"/>
      <c r="V212" s="28"/>
      <c r="W212" s="28"/>
      <c r="X212" s="28"/>
      <c r="Y212" s="28"/>
      <c r="Z212" s="28"/>
    </row>
    <row r="213" spans="1:26" ht="15.75" customHeight="1" x14ac:dyDescent="0.25">
      <c r="A213" s="28"/>
      <c r="B213" s="49" t="s">
        <v>69</v>
      </c>
      <c r="C213" s="300"/>
      <c r="D213" s="50">
        <v>277.7</v>
      </c>
      <c r="E213" s="51">
        <v>318</v>
      </c>
      <c r="F213" s="51">
        <v>299</v>
      </c>
      <c r="G213" s="31"/>
      <c r="H213" s="28"/>
      <c r="I213" s="3"/>
      <c r="J213" s="28"/>
      <c r="K213" s="28"/>
      <c r="L213" s="28"/>
      <c r="M213" s="28"/>
      <c r="N213" s="28"/>
      <c r="O213" s="28"/>
      <c r="P213" s="28"/>
      <c r="Q213" s="28"/>
      <c r="R213" s="28"/>
      <c r="S213" s="28"/>
      <c r="T213" s="28"/>
      <c r="U213" s="28"/>
      <c r="V213" s="28"/>
      <c r="W213" s="28"/>
      <c r="X213" s="28"/>
      <c r="Y213" s="28"/>
      <c r="Z213" s="28"/>
    </row>
    <row r="214" spans="1:26" ht="15.75" customHeight="1" x14ac:dyDescent="0.25">
      <c r="A214" s="28"/>
      <c r="B214" s="44"/>
      <c r="C214" s="46"/>
      <c r="D214" s="46"/>
      <c r="E214" s="46"/>
      <c r="F214" s="46"/>
      <c r="G214" s="33"/>
      <c r="H214" s="28"/>
      <c r="I214" s="3"/>
      <c r="J214" s="28"/>
      <c r="K214" s="28"/>
      <c r="L214" s="28"/>
      <c r="M214" s="28"/>
      <c r="N214" s="28"/>
      <c r="O214" s="28"/>
      <c r="P214" s="28"/>
      <c r="Q214" s="28"/>
      <c r="R214" s="28"/>
      <c r="S214" s="28"/>
      <c r="T214" s="28"/>
      <c r="U214" s="28"/>
      <c r="V214" s="28"/>
      <c r="W214" s="28"/>
      <c r="X214" s="28"/>
      <c r="Y214" s="28"/>
      <c r="Z214" s="28"/>
    </row>
    <row r="215" spans="1:26" ht="15.75" customHeight="1" x14ac:dyDescent="0.25">
      <c r="A215" s="28"/>
      <c r="B215" s="9" t="s">
        <v>69</v>
      </c>
      <c r="C215" s="299" t="s">
        <v>71</v>
      </c>
      <c r="D215" s="47">
        <v>10.283300000000001</v>
      </c>
      <c r="E215" s="11">
        <v>7</v>
      </c>
      <c r="F215" s="11">
        <v>3</v>
      </c>
      <c r="G215" s="31"/>
      <c r="H215" s="28"/>
      <c r="I215" s="3"/>
      <c r="J215" s="28"/>
      <c r="K215" s="28"/>
      <c r="L215" s="28"/>
      <c r="M215" s="28"/>
      <c r="N215" s="28"/>
      <c r="O215" s="28"/>
      <c r="P215" s="28"/>
      <c r="Q215" s="28"/>
      <c r="R215" s="28"/>
      <c r="S215" s="28"/>
      <c r="T215" s="28"/>
      <c r="U215" s="28"/>
      <c r="V215" s="28"/>
      <c r="W215" s="28"/>
      <c r="X215" s="28"/>
      <c r="Y215" s="28"/>
      <c r="Z215" s="28"/>
    </row>
    <row r="216" spans="1:26" ht="15.75" customHeight="1" x14ac:dyDescent="0.25">
      <c r="A216" s="28"/>
      <c r="B216" s="9" t="s">
        <v>72</v>
      </c>
      <c r="C216" s="300"/>
      <c r="D216" s="47">
        <v>11.8833</v>
      </c>
      <c r="E216" s="11">
        <v>17</v>
      </c>
      <c r="F216" s="11">
        <v>8</v>
      </c>
      <c r="G216" s="31"/>
      <c r="H216" s="28"/>
      <c r="I216" s="3"/>
      <c r="J216" s="28"/>
      <c r="K216" s="28"/>
      <c r="L216" s="28"/>
      <c r="M216" s="28"/>
      <c r="N216" s="28"/>
      <c r="O216" s="28"/>
      <c r="P216" s="28"/>
      <c r="Q216" s="28"/>
      <c r="R216" s="28"/>
      <c r="S216" s="28"/>
      <c r="T216" s="28"/>
      <c r="U216" s="28"/>
      <c r="V216" s="28"/>
      <c r="W216" s="28"/>
      <c r="X216" s="28"/>
      <c r="Y216" s="28"/>
      <c r="Z216" s="28"/>
    </row>
    <row r="217" spans="1:26" ht="15.75" customHeight="1" x14ac:dyDescent="0.25">
      <c r="A217" s="28"/>
      <c r="B217" s="9" t="s">
        <v>73</v>
      </c>
      <c r="C217" s="301"/>
      <c r="D217" s="47">
        <v>17.433299999999999</v>
      </c>
      <c r="E217" s="11">
        <v>22</v>
      </c>
      <c r="F217" s="11">
        <v>22</v>
      </c>
      <c r="G217" s="31"/>
      <c r="H217" s="28"/>
      <c r="I217" s="3"/>
      <c r="J217" s="28"/>
      <c r="K217" s="28"/>
      <c r="L217" s="28"/>
      <c r="M217" s="28"/>
      <c r="N217" s="28"/>
      <c r="O217" s="28"/>
      <c r="P217" s="28"/>
      <c r="Q217" s="28"/>
      <c r="R217" s="28"/>
      <c r="S217" s="28"/>
      <c r="T217" s="28"/>
      <c r="U217" s="28"/>
      <c r="V217" s="28"/>
      <c r="W217" s="28"/>
      <c r="X217" s="28"/>
      <c r="Y217" s="28"/>
      <c r="Z217" s="28"/>
    </row>
    <row r="218" spans="1:26" ht="15.75" customHeight="1" x14ac:dyDescent="0.25">
      <c r="A218" s="28"/>
      <c r="B218" s="41"/>
      <c r="C218" s="42"/>
      <c r="D218" s="69"/>
      <c r="E218" s="11"/>
      <c r="F218" s="11"/>
      <c r="G218" s="31"/>
      <c r="H218" s="28"/>
      <c r="I218" s="3"/>
      <c r="J218" s="28"/>
      <c r="K218" s="28"/>
      <c r="L218" s="28"/>
      <c r="M218" s="28"/>
      <c r="N218" s="28"/>
      <c r="O218" s="28"/>
      <c r="P218" s="28"/>
      <c r="Q218" s="28"/>
      <c r="R218" s="28"/>
      <c r="S218" s="28"/>
      <c r="T218" s="28"/>
      <c r="U218" s="28"/>
      <c r="V218" s="28"/>
      <c r="W218" s="28"/>
      <c r="X218" s="28"/>
      <c r="Y218" s="28"/>
      <c r="Z218" s="28"/>
    </row>
    <row r="219" spans="1:26" ht="15.75" customHeight="1" x14ac:dyDescent="0.25">
      <c r="A219" s="28"/>
      <c r="B219" s="9" t="s">
        <v>76</v>
      </c>
      <c r="C219" s="302" t="s">
        <v>77</v>
      </c>
      <c r="D219" s="47">
        <v>117.467</v>
      </c>
      <c r="E219" s="11">
        <v>188</v>
      </c>
      <c r="F219" s="11">
        <v>184</v>
      </c>
      <c r="G219" s="31"/>
      <c r="H219" s="28"/>
      <c r="I219" s="3"/>
      <c r="J219" s="28"/>
      <c r="K219" s="28"/>
      <c r="L219" s="28"/>
      <c r="M219" s="28"/>
      <c r="N219" s="28"/>
      <c r="O219" s="28"/>
      <c r="P219" s="28"/>
      <c r="Q219" s="28"/>
      <c r="R219" s="28"/>
      <c r="S219" s="28"/>
      <c r="T219" s="28"/>
      <c r="U219" s="28"/>
      <c r="V219" s="28"/>
      <c r="W219" s="28"/>
      <c r="X219" s="28"/>
      <c r="Y219" s="28"/>
      <c r="Z219" s="28"/>
    </row>
    <row r="220" spans="1:26" ht="15.75" customHeight="1" x14ac:dyDescent="0.25">
      <c r="A220" s="28"/>
      <c r="B220" s="9" t="s">
        <v>78</v>
      </c>
      <c r="C220" s="300"/>
      <c r="D220" s="47">
        <v>187.833</v>
      </c>
      <c r="E220" s="11">
        <v>136</v>
      </c>
      <c r="F220" s="11">
        <v>136</v>
      </c>
      <c r="G220" s="31"/>
      <c r="H220" s="28"/>
      <c r="I220" s="3"/>
      <c r="J220" s="28"/>
      <c r="K220" s="28"/>
      <c r="L220" s="28"/>
      <c r="M220" s="28"/>
      <c r="N220" s="28"/>
      <c r="O220" s="28"/>
      <c r="P220" s="28"/>
      <c r="Q220" s="28"/>
      <c r="R220" s="28"/>
      <c r="S220" s="28"/>
      <c r="T220" s="28"/>
      <c r="U220" s="28"/>
      <c r="V220" s="28"/>
      <c r="W220" s="28"/>
      <c r="X220" s="28"/>
      <c r="Y220" s="28"/>
      <c r="Z220" s="28"/>
    </row>
    <row r="221" spans="1:26" ht="15.75" customHeight="1" x14ac:dyDescent="0.25">
      <c r="A221" s="28"/>
      <c r="B221" s="9" t="s">
        <v>79</v>
      </c>
      <c r="C221" s="300"/>
      <c r="D221" s="47">
        <v>218.333</v>
      </c>
      <c r="E221" s="11">
        <v>279</v>
      </c>
      <c r="F221" s="11">
        <v>276</v>
      </c>
      <c r="G221" s="31"/>
      <c r="H221" s="28"/>
      <c r="I221" s="3"/>
      <c r="J221" s="28"/>
      <c r="K221" s="28"/>
      <c r="L221" s="28"/>
      <c r="M221" s="28"/>
      <c r="N221" s="28"/>
      <c r="O221" s="28"/>
      <c r="P221" s="28"/>
      <c r="Q221" s="28"/>
      <c r="R221" s="28"/>
      <c r="S221" s="28"/>
      <c r="T221" s="28"/>
      <c r="U221" s="28"/>
      <c r="V221" s="28"/>
      <c r="W221" s="28"/>
      <c r="X221" s="28"/>
      <c r="Y221" s="28"/>
      <c r="Z221" s="28"/>
    </row>
    <row r="222" spans="1:26" ht="15.75" customHeight="1" x14ac:dyDescent="0.25">
      <c r="A222" s="28"/>
      <c r="B222" s="49" t="s">
        <v>80</v>
      </c>
      <c r="C222" s="300"/>
      <c r="D222" s="50">
        <v>238.5</v>
      </c>
      <c r="E222" s="51">
        <v>99</v>
      </c>
      <c r="F222" s="51">
        <v>93</v>
      </c>
      <c r="G222" s="31"/>
      <c r="H222" s="28"/>
      <c r="I222" s="3"/>
      <c r="J222" s="28"/>
      <c r="K222" s="28"/>
      <c r="L222" s="28"/>
      <c r="M222" s="28"/>
      <c r="N222" s="28"/>
      <c r="O222" s="28"/>
      <c r="P222" s="28"/>
      <c r="Q222" s="28"/>
      <c r="R222" s="28"/>
      <c r="S222" s="28"/>
      <c r="T222" s="28"/>
      <c r="U222" s="28"/>
      <c r="V222" s="28"/>
      <c r="W222" s="28"/>
      <c r="X222" s="28"/>
      <c r="Y222" s="28"/>
      <c r="Z222" s="28"/>
    </row>
    <row r="223" spans="1:26" ht="15.75" customHeight="1" x14ac:dyDescent="0.25">
      <c r="A223" s="28"/>
      <c r="B223" s="44"/>
      <c r="C223" s="46"/>
      <c r="D223" s="46"/>
      <c r="E223" s="46"/>
      <c r="F223" s="46"/>
      <c r="G223" s="33"/>
      <c r="H223" s="28"/>
      <c r="I223" s="3"/>
      <c r="J223" s="28"/>
      <c r="K223" s="28"/>
      <c r="L223" s="28"/>
      <c r="M223" s="28"/>
      <c r="N223" s="28"/>
      <c r="O223" s="28"/>
      <c r="P223" s="28"/>
      <c r="Q223" s="28"/>
      <c r="R223" s="28"/>
      <c r="S223" s="28"/>
      <c r="T223" s="28"/>
      <c r="U223" s="28"/>
      <c r="V223" s="28"/>
      <c r="W223" s="28"/>
      <c r="X223" s="28"/>
      <c r="Y223" s="28"/>
      <c r="Z223" s="28"/>
    </row>
    <row r="224" spans="1:26" ht="15.75" customHeight="1" x14ac:dyDescent="0.25">
      <c r="A224" s="28"/>
      <c r="B224" s="9" t="s">
        <v>81</v>
      </c>
      <c r="C224" s="299" t="s">
        <v>82</v>
      </c>
      <c r="D224" s="47">
        <v>2</v>
      </c>
      <c r="E224" s="11">
        <v>2</v>
      </c>
      <c r="F224" s="11">
        <v>1</v>
      </c>
      <c r="G224" s="31"/>
      <c r="H224" s="28"/>
      <c r="I224" s="3"/>
      <c r="J224" s="28"/>
      <c r="K224" s="28"/>
      <c r="L224" s="28"/>
      <c r="M224" s="28"/>
      <c r="N224" s="28"/>
      <c r="O224" s="28"/>
      <c r="P224" s="28"/>
      <c r="Q224" s="28"/>
      <c r="R224" s="28"/>
      <c r="S224" s="28"/>
      <c r="T224" s="28"/>
      <c r="U224" s="28"/>
      <c r="V224" s="28"/>
      <c r="W224" s="28"/>
      <c r="X224" s="28"/>
      <c r="Y224" s="28"/>
      <c r="Z224" s="28"/>
    </row>
    <row r="225" spans="1:26" ht="15.75" customHeight="1" x14ac:dyDescent="0.25">
      <c r="A225" s="28"/>
      <c r="B225" s="9" t="s">
        <v>83</v>
      </c>
      <c r="C225" s="300"/>
      <c r="D225" s="47">
        <v>7.133</v>
      </c>
      <c r="E225" s="11">
        <v>7</v>
      </c>
      <c r="F225" s="11">
        <v>6</v>
      </c>
      <c r="G225" s="31"/>
      <c r="H225" s="28"/>
      <c r="I225" s="3"/>
      <c r="J225" s="28"/>
      <c r="K225" s="28"/>
      <c r="L225" s="28"/>
      <c r="M225" s="28"/>
      <c r="N225" s="28"/>
      <c r="O225" s="28"/>
      <c r="P225" s="28"/>
      <c r="Q225" s="28"/>
      <c r="R225" s="28"/>
      <c r="S225" s="28"/>
      <c r="T225" s="28"/>
      <c r="U225" s="28"/>
      <c r="V225" s="28"/>
      <c r="W225" s="28"/>
      <c r="X225" s="28"/>
      <c r="Y225" s="28"/>
      <c r="Z225" s="28"/>
    </row>
    <row r="226" spans="1:26" ht="15.75" customHeight="1" x14ac:dyDescent="0.25">
      <c r="A226" s="28"/>
      <c r="B226" s="9" t="s">
        <v>84</v>
      </c>
      <c r="C226" s="301"/>
      <c r="D226" s="47">
        <v>10.72</v>
      </c>
      <c r="E226" s="11">
        <v>2</v>
      </c>
      <c r="F226" s="11">
        <v>2</v>
      </c>
      <c r="G226" s="31"/>
      <c r="H226" s="28"/>
      <c r="I226" s="3"/>
      <c r="J226" s="28"/>
      <c r="K226" s="28"/>
      <c r="L226" s="28"/>
      <c r="M226" s="28"/>
      <c r="N226" s="28"/>
      <c r="O226" s="28"/>
      <c r="P226" s="28"/>
      <c r="Q226" s="28"/>
      <c r="R226" s="28"/>
      <c r="S226" s="28"/>
      <c r="T226" s="28"/>
      <c r="U226" s="28"/>
      <c r="V226" s="28"/>
      <c r="W226" s="28"/>
      <c r="X226" s="28"/>
      <c r="Y226" s="28"/>
      <c r="Z226" s="28"/>
    </row>
    <row r="227" spans="1:26" ht="15.75" customHeight="1" x14ac:dyDescent="0.25">
      <c r="A227" s="28"/>
      <c r="B227" s="41"/>
      <c r="C227" s="42"/>
      <c r="D227" s="69"/>
      <c r="E227" s="11"/>
      <c r="F227" s="11"/>
      <c r="G227" s="31"/>
      <c r="H227" s="28"/>
      <c r="I227" s="3"/>
      <c r="J227" s="28"/>
      <c r="K227" s="28"/>
      <c r="L227" s="28"/>
      <c r="M227" s="28"/>
      <c r="N227" s="28"/>
      <c r="O227" s="28"/>
      <c r="P227" s="28"/>
      <c r="Q227" s="28"/>
      <c r="R227" s="28"/>
      <c r="S227" s="28"/>
      <c r="T227" s="28"/>
      <c r="U227" s="28"/>
      <c r="V227" s="28"/>
      <c r="W227" s="28"/>
      <c r="X227" s="28"/>
      <c r="Y227" s="28"/>
      <c r="Z227" s="28"/>
    </row>
    <row r="228" spans="1:26" ht="15.75" customHeight="1" x14ac:dyDescent="0.25">
      <c r="A228" s="28"/>
      <c r="B228" s="9" t="s">
        <v>86</v>
      </c>
      <c r="C228" s="302" t="s">
        <v>87</v>
      </c>
      <c r="D228" s="47">
        <v>20.466999999999999</v>
      </c>
      <c r="E228" s="11">
        <v>21</v>
      </c>
      <c r="F228" s="11">
        <v>20</v>
      </c>
      <c r="G228" s="31"/>
      <c r="H228" s="28"/>
      <c r="I228" s="3"/>
      <c r="J228" s="28"/>
      <c r="K228" s="28"/>
      <c r="L228" s="28"/>
      <c r="M228" s="28"/>
      <c r="N228" s="28"/>
      <c r="O228" s="28"/>
      <c r="P228" s="28"/>
      <c r="Q228" s="28"/>
      <c r="R228" s="28"/>
      <c r="S228" s="28"/>
      <c r="T228" s="28"/>
      <c r="U228" s="28"/>
      <c r="V228" s="28"/>
      <c r="W228" s="28"/>
      <c r="X228" s="28"/>
      <c r="Y228" s="28"/>
      <c r="Z228" s="28"/>
    </row>
    <row r="229" spans="1:26" ht="15.75" customHeight="1" x14ac:dyDescent="0.25">
      <c r="A229" s="28"/>
      <c r="B229" s="49" t="s">
        <v>88</v>
      </c>
      <c r="C229" s="300"/>
      <c r="D229" s="50">
        <v>20.367000000000001</v>
      </c>
      <c r="E229" s="51">
        <v>21</v>
      </c>
      <c r="F229" s="51">
        <v>20</v>
      </c>
      <c r="G229" s="31"/>
      <c r="H229" s="28"/>
      <c r="I229" s="3"/>
      <c r="J229" s="28"/>
      <c r="K229" s="28"/>
      <c r="L229" s="28"/>
      <c r="M229" s="28"/>
      <c r="N229" s="28"/>
      <c r="O229" s="28"/>
      <c r="P229" s="28"/>
      <c r="Q229" s="28"/>
      <c r="R229" s="28"/>
      <c r="S229" s="28"/>
      <c r="T229" s="28"/>
      <c r="U229" s="28"/>
      <c r="V229" s="28"/>
      <c r="W229" s="28"/>
      <c r="X229" s="28"/>
      <c r="Y229" s="28"/>
      <c r="Z229" s="28"/>
    </row>
    <row r="230" spans="1:26" ht="15.75" customHeight="1" x14ac:dyDescent="0.25">
      <c r="A230" s="28"/>
      <c r="B230" s="44"/>
      <c r="C230" s="46"/>
      <c r="D230" s="46"/>
      <c r="E230" s="46"/>
      <c r="F230" s="46"/>
      <c r="G230" s="33"/>
      <c r="H230" s="28"/>
      <c r="I230" s="3"/>
      <c r="J230" s="28"/>
      <c r="K230" s="28"/>
      <c r="L230" s="28"/>
      <c r="M230" s="28"/>
      <c r="N230" s="28"/>
      <c r="O230" s="28"/>
      <c r="P230" s="28"/>
      <c r="Q230" s="28"/>
      <c r="R230" s="28"/>
      <c r="S230" s="28"/>
      <c r="T230" s="28"/>
      <c r="U230" s="28"/>
      <c r="V230" s="28"/>
      <c r="W230" s="28"/>
      <c r="X230" s="28"/>
      <c r="Y230" s="28"/>
      <c r="Z230" s="28"/>
    </row>
    <row r="231" spans="1:26" ht="15.75" customHeight="1" x14ac:dyDescent="0.25">
      <c r="A231" s="28"/>
      <c r="B231" s="9" t="s">
        <v>89</v>
      </c>
      <c r="C231" s="299" t="s">
        <v>90</v>
      </c>
      <c r="D231" s="47">
        <v>5.15</v>
      </c>
      <c r="E231" s="11">
        <v>18</v>
      </c>
      <c r="F231" s="11">
        <v>18</v>
      </c>
      <c r="G231" s="31"/>
      <c r="H231" s="28"/>
      <c r="I231" s="3"/>
      <c r="J231" s="28"/>
      <c r="K231" s="28"/>
      <c r="L231" s="28"/>
      <c r="M231" s="28"/>
      <c r="N231" s="28"/>
      <c r="O231" s="28"/>
      <c r="P231" s="28"/>
      <c r="Q231" s="28"/>
      <c r="R231" s="28"/>
      <c r="S231" s="28"/>
      <c r="T231" s="28"/>
      <c r="U231" s="28"/>
      <c r="V231" s="28"/>
      <c r="W231" s="28"/>
      <c r="X231" s="28"/>
      <c r="Y231" s="28"/>
      <c r="Z231" s="28"/>
    </row>
    <row r="232" spans="1:26" ht="15.75" customHeight="1" x14ac:dyDescent="0.25">
      <c r="A232" s="28"/>
      <c r="B232" s="49" t="s">
        <v>91</v>
      </c>
      <c r="C232" s="300"/>
      <c r="D232" s="50">
        <v>16.2</v>
      </c>
      <c r="E232" s="51">
        <v>18</v>
      </c>
      <c r="F232" s="51">
        <v>18</v>
      </c>
      <c r="G232" s="31"/>
      <c r="H232" s="28"/>
      <c r="I232" s="3"/>
      <c r="J232" s="28"/>
      <c r="K232" s="28"/>
      <c r="L232" s="28"/>
      <c r="M232" s="28"/>
      <c r="N232" s="28"/>
      <c r="O232" s="28"/>
      <c r="P232" s="28"/>
      <c r="Q232" s="28"/>
      <c r="R232" s="28"/>
      <c r="S232" s="28"/>
      <c r="T232" s="28"/>
      <c r="U232" s="28"/>
      <c r="V232" s="28"/>
      <c r="W232" s="28"/>
      <c r="X232" s="28"/>
      <c r="Y232" s="28"/>
      <c r="Z232" s="28"/>
    </row>
    <row r="233" spans="1:26" ht="15.75" customHeight="1" x14ac:dyDescent="0.25">
      <c r="A233" s="28"/>
      <c r="B233" s="41"/>
      <c r="C233" s="42"/>
      <c r="D233" s="69"/>
      <c r="E233" s="201"/>
      <c r="F233" s="201"/>
      <c r="G233" s="202"/>
      <c r="H233" s="28"/>
      <c r="I233" s="3"/>
      <c r="J233" s="28"/>
      <c r="K233" s="28"/>
      <c r="L233" s="28"/>
      <c r="M233" s="28"/>
      <c r="N233" s="28"/>
      <c r="O233" s="28"/>
      <c r="P233" s="28"/>
      <c r="Q233" s="28"/>
      <c r="R233" s="28"/>
      <c r="S233" s="28"/>
      <c r="T233" s="28"/>
      <c r="U233" s="28"/>
      <c r="V233" s="28"/>
      <c r="W233" s="28"/>
      <c r="X233" s="28"/>
      <c r="Y233" s="28"/>
      <c r="Z233" s="28"/>
    </row>
    <row r="234" spans="1:26" ht="15.75" customHeight="1" x14ac:dyDescent="0.25">
      <c r="A234" s="28"/>
      <c r="B234" s="9" t="s">
        <v>94</v>
      </c>
      <c r="C234" s="299" t="s">
        <v>95</v>
      </c>
      <c r="D234" s="47">
        <v>50.082999999999998</v>
      </c>
      <c r="E234" s="11">
        <v>96</v>
      </c>
      <c r="F234" s="11">
        <v>52</v>
      </c>
      <c r="G234" s="31"/>
      <c r="H234" s="28"/>
      <c r="I234" s="3"/>
      <c r="J234" s="28"/>
      <c r="K234" s="28"/>
      <c r="L234" s="28"/>
      <c r="M234" s="28"/>
      <c r="N234" s="28"/>
      <c r="O234" s="28"/>
      <c r="P234" s="28"/>
      <c r="Q234" s="28"/>
      <c r="R234" s="28"/>
      <c r="S234" s="28"/>
      <c r="T234" s="28"/>
      <c r="U234" s="28"/>
      <c r="V234" s="28"/>
      <c r="W234" s="28"/>
      <c r="X234" s="28"/>
      <c r="Y234" s="28"/>
      <c r="Z234" s="28"/>
    </row>
    <row r="235" spans="1:26" ht="15.75" customHeight="1" x14ac:dyDescent="0.25">
      <c r="A235" s="28"/>
      <c r="B235" s="9" t="s">
        <v>96</v>
      </c>
      <c r="C235" s="300"/>
      <c r="D235" s="47">
        <v>93.992999999999995</v>
      </c>
      <c r="E235" s="11">
        <v>104</v>
      </c>
      <c r="F235" s="11">
        <v>98</v>
      </c>
      <c r="G235" s="31"/>
      <c r="H235" s="28"/>
      <c r="I235" s="3"/>
      <c r="J235" s="28"/>
      <c r="K235" s="28"/>
      <c r="L235" s="28"/>
      <c r="M235" s="28"/>
      <c r="N235" s="28"/>
      <c r="O235" s="28"/>
      <c r="P235" s="28"/>
      <c r="Q235" s="28"/>
      <c r="R235" s="28"/>
      <c r="S235" s="28"/>
      <c r="T235" s="28"/>
      <c r="U235" s="28"/>
      <c r="V235" s="28"/>
      <c r="W235" s="28"/>
      <c r="X235" s="28"/>
      <c r="Y235" s="28"/>
      <c r="Z235" s="28"/>
    </row>
    <row r="236" spans="1:26" ht="15.75" customHeight="1" x14ac:dyDescent="0.25">
      <c r="A236" s="28"/>
      <c r="B236" s="9" t="s">
        <v>97</v>
      </c>
      <c r="C236" s="300"/>
      <c r="D236" s="47">
        <v>95.516999999999996</v>
      </c>
      <c r="E236" s="11">
        <v>95</v>
      </c>
      <c r="F236" s="11">
        <v>93</v>
      </c>
      <c r="G236" s="31"/>
      <c r="H236" s="28"/>
      <c r="I236" s="3"/>
      <c r="J236" s="28"/>
      <c r="K236" s="28"/>
      <c r="L236" s="28"/>
      <c r="M236" s="28"/>
      <c r="N236" s="28"/>
      <c r="O236" s="28"/>
      <c r="P236" s="28"/>
      <c r="Q236" s="28"/>
      <c r="R236" s="28"/>
      <c r="S236" s="28"/>
      <c r="T236" s="28"/>
      <c r="U236" s="28"/>
      <c r="V236" s="28"/>
      <c r="W236" s="28"/>
      <c r="X236" s="28"/>
      <c r="Y236" s="28"/>
      <c r="Z236" s="28"/>
    </row>
    <row r="237" spans="1:26" ht="15.75" customHeight="1" x14ac:dyDescent="0.25">
      <c r="A237" s="28"/>
      <c r="B237" s="9" t="s">
        <v>98</v>
      </c>
      <c r="C237" s="300"/>
      <c r="D237" s="47">
        <v>100.92</v>
      </c>
      <c r="E237" s="11">
        <v>104</v>
      </c>
      <c r="F237" s="11">
        <v>100</v>
      </c>
      <c r="G237" s="31"/>
      <c r="H237" s="28"/>
      <c r="I237" s="3"/>
      <c r="J237" s="28"/>
      <c r="K237" s="28"/>
      <c r="L237" s="28"/>
      <c r="M237" s="28"/>
      <c r="N237" s="28"/>
      <c r="O237" s="28"/>
      <c r="P237" s="28"/>
      <c r="Q237" s="28"/>
      <c r="R237" s="28"/>
      <c r="S237" s="28"/>
      <c r="T237" s="28"/>
      <c r="U237" s="28"/>
      <c r="V237" s="28"/>
      <c r="W237" s="28"/>
      <c r="X237" s="28"/>
      <c r="Y237" s="28"/>
      <c r="Z237" s="28"/>
    </row>
    <row r="238" spans="1:26" ht="15.75" customHeight="1" x14ac:dyDescent="0.25">
      <c r="A238" s="28"/>
      <c r="B238" s="9" t="s">
        <v>99</v>
      </c>
      <c r="C238" s="301"/>
      <c r="D238" s="47">
        <v>115.37</v>
      </c>
      <c r="E238" s="11">
        <v>105</v>
      </c>
      <c r="F238" s="11">
        <v>103</v>
      </c>
      <c r="G238" s="31"/>
      <c r="H238" s="28"/>
      <c r="I238" s="3"/>
      <c r="J238" s="28"/>
      <c r="K238" s="28"/>
      <c r="L238" s="28"/>
      <c r="M238" s="28"/>
      <c r="N238" s="28"/>
      <c r="O238" s="28"/>
      <c r="P238" s="28"/>
      <c r="Q238" s="28"/>
      <c r="R238" s="28"/>
      <c r="S238" s="28"/>
      <c r="T238" s="28"/>
      <c r="U238" s="28"/>
      <c r="V238" s="28"/>
      <c r="W238" s="28"/>
      <c r="X238" s="28"/>
      <c r="Y238" s="28"/>
      <c r="Z238" s="28"/>
    </row>
    <row r="239" spans="1:26" ht="15.75" customHeight="1" x14ac:dyDescent="0.25">
      <c r="A239" s="28"/>
      <c r="B239" s="28"/>
      <c r="C239" s="28"/>
      <c r="D239" s="184"/>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5.75" customHeight="1" x14ac:dyDescent="0.25">
      <c r="D240" s="184"/>
    </row>
    <row r="241" spans="1:25" ht="15.75" customHeight="1" x14ac:dyDescent="0.25">
      <c r="A241" s="29"/>
      <c r="B241" s="29"/>
      <c r="C241" s="29"/>
      <c r="D241" s="196"/>
      <c r="E241" s="29"/>
      <c r="F241" s="29"/>
      <c r="G241" s="29"/>
      <c r="H241" s="29"/>
      <c r="I241" s="29"/>
      <c r="J241" s="29"/>
      <c r="K241" s="29"/>
      <c r="L241" s="29"/>
      <c r="M241" s="29"/>
      <c r="N241" s="29"/>
      <c r="O241" s="29"/>
      <c r="P241" s="29"/>
      <c r="Q241" s="29"/>
      <c r="R241" s="29"/>
      <c r="S241" s="29"/>
      <c r="T241" s="29"/>
      <c r="U241" s="29"/>
      <c r="V241" s="29"/>
      <c r="W241" s="29"/>
      <c r="X241" s="29"/>
      <c r="Y241" s="29"/>
    </row>
    <row r="242" spans="1:25" ht="15.75" customHeight="1" x14ac:dyDescent="0.25">
      <c r="D242" s="184"/>
    </row>
    <row r="243" spans="1:25" ht="15.75" customHeight="1" x14ac:dyDescent="0.25">
      <c r="D243" s="184"/>
    </row>
    <row r="244" spans="1:25" ht="15.75" customHeight="1" x14ac:dyDescent="0.25">
      <c r="A244" s="28" t="s">
        <v>668</v>
      </c>
      <c r="B244" s="28" t="s">
        <v>570</v>
      </c>
      <c r="C244" s="28"/>
      <c r="D244" s="184"/>
      <c r="E244" s="28"/>
      <c r="F244" s="28"/>
      <c r="G244" s="28"/>
      <c r="H244" s="28"/>
      <c r="I244" s="28"/>
      <c r="J244" s="28"/>
      <c r="K244" s="28"/>
      <c r="L244" s="28"/>
      <c r="M244" s="28"/>
    </row>
    <row r="245" spans="1:25" ht="15.75" customHeight="1" x14ac:dyDescent="0.25">
      <c r="A245" s="28"/>
      <c r="B245" s="28"/>
      <c r="C245" s="28"/>
      <c r="D245" s="184"/>
      <c r="E245" s="28"/>
      <c r="F245" s="28"/>
      <c r="G245" s="28"/>
      <c r="H245" s="28"/>
      <c r="I245" s="28"/>
      <c r="J245" s="28"/>
      <c r="K245" s="28"/>
      <c r="L245" s="28"/>
      <c r="M245" s="28"/>
    </row>
    <row r="246" spans="1:25" ht="15.75" customHeight="1" x14ac:dyDescent="0.25">
      <c r="A246" s="28"/>
      <c r="B246" s="304" t="s">
        <v>711</v>
      </c>
      <c r="C246" s="297"/>
      <c r="D246" s="297"/>
      <c r="E246" s="297"/>
      <c r="F246" s="154"/>
      <c r="G246" s="137"/>
      <c r="H246" s="28"/>
      <c r="I246" s="3"/>
      <c r="J246" s="28"/>
      <c r="K246" s="28"/>
      <c r="L246" s="28"/>
      <c r="M246" s="28"/>
    </row>
    <row r="247" spans="1:25" ht="15.75" customHeight="1" x14ac:dyDescent="0.25">
      <c r="A247" s="28"/>
      <c r="B247" s="4" t="s">
        <v>0</v>
      </c>
      <c r="C247" s="5" t="s">
        <v>1</v>
      </c>
      <c r="D247" s="186" t="s">
        <v>2</v>
      </c>
      <c r="E247" s="5" t="s">
        <v>43</v>
      </c>
      <c r="F247" s="45" t="s">
        <v>125</v>
      </c>
      <c r="G247" s="190"/>
      <c r="H247" s="296" t="s">
        <v>6</v>
      </c>
      <c r="I247" s="297"/>
      <c r="J247" s="297"/>
      <c r="K247" s="297"/>
      <c r="L247" s="297"/>
      <c r="M247" s="298"/>
    </row>
    <row r="248" spans="1:25" ht="15.75" customHeight="1" x14ac:dyDescent="0.25">
      <c r="A248" s="28"/>
      <c r="B248" s="9" t="s">
        <v>7</v>
      </c>
      <c r="C248" s="302" t="s">
        <v>9</v>
      </c>
      <c r="D248" s="47">
        <v>28.1</v>
      </c>
      <c r="E248" s="11">
        <v>28</v>
      </c>
      <c r="F248" s="11">
        <v>30</v>
      </c>
      <c r="G248" s="31"/>
      <c r="H248" s="296" t="s">
        <v>106</v>
      </c>
      <c r="I248" s="297"/>
      <c r="J248" s="298"/>
      <c r="K248" s="296" t="s">
        <v>107</v>
      </c>
      <c r="L248" s="297"/>
      <c r="M248" s="298"/>
    </row>
    <row r="249" spans="1:25" ht="15.75" customHeight="1" x14ac:dyDescent="0.25">
      <c r="A249" s="28"/>
      <c r="B249" s="9" t="s">
        <v>17</v>
      </c>
      <c r="C249" s="300"/>
      <c r="D249" s="47">
        <v>63.911000000000001</v>
      </c>
      <c r="E249" s="11">
        <v>34</v>
      </c>
      <c r="F249" s="11">
        <v>39</v>
      </c>
      <c r="G249" s="31"/>
      <c r="H249" s="13" t="s">
        <v>13</v>
      </c>
      <c r="I249" s="39">
        <f>I251+I251*0.05</f>
        <v>703.5</v>
      </c>
      <c r="J249" s="17" t="s">
        <v>712</v>
      </c>
      <c r="K249" s="13" t="s">
        <v>13</v>
      </c>
      <c r="L249" s="39">
        <f>L251+L251*0.05</f>
        <v>706.65</v>
      </c>
      <c r="M249" s="17" t="s">
        <v>713</v>
      </c>
    </row>
    <row r="250" spans="1:25" ht="15.75" customHeight="1" x14ac:dyDescent="0.25">
      <c r="A250" s="28"/>
      <c r="B250" s="9" t="s">
        <v>26</v>
      </c>
      <c r="C250" s="300"/>
      <c r="D250" s="47">
        <v>69.921999999999997</v>
      </c>
      <c r="E250" s="11">
        <v>35</v>
      </c>
      <c r="F250" s="11">
        <v>85</v>
      </c>
      <c r="G250" s="31"/>
      <c r="H250" s="13" t="s">
        <v>19</v>
      </c>
      <c r="I250" s="40">
        <f>I251-I251*0.05</f>
        <v>636.5</v>
      </c>
      <c r="J250" s="17" t="s">
        <v>714</v>
      </c>
      <c r="K250" s="13" t="s">
        <v>19</v>
      </c>
      <c r="L250" s="40">
        <f>L251-L251*0.05</f>
        <v>639.35</v>
      </c>
      <c r="M250" s="17" t="s">
        <v>715</v>
      </c>
    </row>
    <row r="251" spans="1:25" ht="15.75" customHeight="1" x14ac:dyDescent="0.25">
      <c r="A251" s="28"/>
      <c r="B251" s="9" t="s">
        <v>32</v>
      </c>
      <c r="C251" s="300"/>
      <c r="D251" s="47">
        <v>96.744</v>
      </c>
      <c r="E251" s="11">
        <v>97</v>
      </c>
      <c r="F251" s="11">
        <v>105</v>
      </c>
      <c r="G251" s="31"/>
      <c r="H251" s="13" t="s">
        <v>27</v>
      </c>
      <c r="I251" s="182">
        <v>670</v>
      </c>
      <c r="J251" s="17" t="s">
        <v>717</v>
      </c>
      <c r="K251" s="13" t="s">
        <v>27</v>
      </c>
      <c r="L251" s="182">
        <v>673</v>
      </c>
      <c r="M251" s="17" t="s">
        <v>718</v>
      </c>
    </row>
    <row r="252" spans="1:25" ht="15.75" customHeight="1" x14ac:dyDescent="0.25">
      <c r="A252" s="28"/>
      <c r="B252" s="9" t="s">
        <v>33</v>
      </c>
      <c r="C252" s="301"/>
      <c r="D252" s="47">
        <v>128.11000000000001</v>
      </c>
      <c r="E252" s="11">
        <v>89</v>
      </c>
      <c r="F252" s="11">
        <v>101</v>
      </c>
      <c r="G252" s="31"/>
      <c r="H252" s="13" t="s">
        <v>121</v>
      </c>
      <c r="I252" s="182">
        <v>680</v>
      </c>
      <c r="J252" s="17" t="s">
        <v>720</v>
      </c>
      <c r="K252" s="13" t="s">
        <v>121</v>
      </c>
      <c r="L252" s="182">
        <v>673</v>
      </c>
      <c r="M252" s="17" t="s">
        <v>721</v>
      </c>
    </row>
    <row r="253" spans="1:25" ht="15.75" customHeight="1" x14ac:dyDescent="0.25">
      <c r="A253" s="28"/>
      <c r="B253" s="41"/>
      <c r="C253" s="42"/>
      <c r="D253" s="69"/>
      <c r="E253" s="11"/>
      <c r="F253" s="11"/>
      <c r="G253" s="31"/>
      <c r="H253" s="28"/>
      <c r="I253" s="3"/>
      <c r="J253" s="28"/>
      <c r="K253" s="28"/>
      <c r="L253" s="28"/>
      <c r="M253" s="28"/>
    </row>
    <row r="254" spans="1:25" ht="15.75" customHeight="1" x14ac:dyDescent="0.25">
      <c r="A254" s="28"/>
      <c r="B254" s="9" t="s">
        <v>35</v>
      </c>
      <c r="C254" s="302" t="s">
        <v>36</v>
      </c>
      <c r="D254" s="47">
        <v>207.78</v>
      </c>
      <c r="E254" s="11">
        <v>202</v>
      </c>
      <c r="F254" s="11"/>
      <c r="G254" s="31"/>
      <c r="H254" s="28"/>
      <c r="I254" s="3"/>
      <c r="J254" s="28"/>
      <c r="K254" s="28"/>
      <c r="L254" s="28"/>
      <c r="M254" s="28"/>
    </row>
    <row r="255" spans="1:25" ht="15.75" customHeight="1" x14ac:dyDescent="0.25">
      <c r="A255" s="28"/>
      <c r="B255" s="9" t="s">
        <v>37</v>
      </c>
      <c r="C255" s="300"/>
      <c r="D255" s="47">
        <v>444.11</v>
      </c>
      <c r="E255" s="11">
        <v>392</v>
      </c>
      <c r="F255" s="11"/>
      <c r="G255" s="31"/>
      <c r="H255" s="28"/>
      <c r="I255" s="3"/>
      <c r="J255" s="28"/>
      <c r="K255" s="28"/>
      <c r="L255" s="28"/>
      <c r="M255" s="28"/>
    </row>
    <row r="256" spans="1:25" ht="15.75" customHeight="1" x14ac:dyDescent="0.25">
      <c r="A256" s="28"/>
      <c r="B256" s="9" t="s">
        <v>38</v>
      </c>
      <c r="C256" s="300"/>
      <c r="D256" s="47">
        <v>579.55999999999995</v>
      </c>
      <c r="E256" s="11">
        <v>458</v>
      </c>
      <c r="F256" s="11"/>
      <c r="G256" s="31"/>
      <c r="H256" s="28"/>
      <c r="I256" s="3"/>
      <c r="J256" s="28"/>
      <c r="K256" s="28"/>
      <c r="L256" s="28"/>
      <c r="M256" s="28"/>
    </row>
    <row r="257" spans="1:13" ht="15.75" customHeight="1" x14ac:dyDescent="0.25">
      <c r="A257" s="28"/>
      <c r="B257" s="9" t="s">
        <v>39</v>
      </c>
      <c r="C257" s="300"/>
      <c r="D257" s="47">
        <v>746.22</v>
      </c>
      <c r="E257" s="11">
        <v>670</v>
      </c>
      <c r="F257" s="11"/>
      <c r="G257" s="31"/>
      <c r="H257" s="28"/>
      <c r="I257" s="3"/>
      <c r="J257" s="28"/>
      <c r="K257" s="28"/>
      <c r="L257" s="28"/>
      <c r="M257" s="28"/>
    </row>
    <row r="258" spans="1:13" ht="15.75" customHeight="1" x14ac:dyDescent="0.25">
      <c r="A258" s="28"/>
      <c r="B258" s="49" t="s">
        <v>41</v>
      </c>
      <c r="C258" s="300"/>
      <c r="D258" s="50">
        <v>869.5</v>
      </c>
      <c r="E258" s="51">
        <v>717</v>
      </c>
      <c r="F258" s="51"/>
      <c r="G258" s="31"/>
      <c r="H258" s="28"/>
      <c r="I258" s="3"/>
      <c r="J258" s="28"/>
      <c r="K258" s="28"/>
      <c r="L258" s="28"/>
      <c r="M258" s="28"/>
    </row>
    <row r="259" spans="1:13" ht="15.75" customHeight="1" x14ac:dyDescent="0.25">
      <c r="A259" s="28"/>
      <c r="B259" s="79"/>
      <c r="C259" s="81"/>
      <c r="D259" s="81"/>
      <c r="E259" s="81"/>
      <c r="F259" s="81"/>
      <c r="G259" s="191"/>
      <c r="H259" s="28"/>
      <c r="I259" s="3"/>
      <c r="J259" s="28"/>
      <c r="K259" s="28"/>
      <c r="L259" s="28"/>
      <c r="M259" s="28"/>
    </row>
    <row r="260" spans="1:13" ht="15.75" customHeight="1" x14ac:dyDescent="0.25">
      <c r="A260" s="28"/>
      <c r="B260" s="9" t="s">
        <v>46</v>
      </c>
      <c r="C260" s="299" t="s">
        <v>47</v>
      </c>
      <c r="D260" s="47">
        <v>88.4</v>
      </c>
      <c r="E260" s="11">
        <v>84</v>
      </c>
      <c r="F260" s="11">
        <v>95</v>
      </c>
      <c r="G260" s="31"/>
      <c r="H260" s="28"/>
      <c r="I260" s="3"/>
      <c r="J260" s="28"/>
      <c r="K260" s="28"/>
      <c r="L260" s="28"/>
      <c r="M260" s="28"/>
    </row>
    <row r="261" spans="1:13" ht="15.75" customHeight="1" x14ac:dyDescent="0.25">
      <c r="A261" s="28"/>
      <c r="B261" s="9" t="s">
        <v>48</v>
      </c>
      <c r="C261" s="300"/>
      <c r="D261" s="47">
        <v>94.6</v>
      </c>
      <c r="E261" s="11">
        <v>86</v>
      </c>
      <c r="F261" s="11">
        <v>101</v>
      </c>
      <c r="G261" s="31"/>
      <c r="H261" s="28"/>
      <c r="I261" s="3"/>
      <c r="J261" s="28"/>
      <c r="K261" s="28"/>
      <c r="L261" s="28"/>
      <c r="M261" s="28"/>
    </row>
    <row r="262" spans="1:13" ht="15.75" customHeight="1" x14ac:dyDescent="0.25">
      <c r="A262" s="28"/>
      <c r="B262" s="41"/>
      <c r="C262" s="42"/>
      <c r="D262" s="69"/>
      <c r="E262" s="11"/>
      <c r="F262" s="11"/>
      <c r="G262" s="31"/>
      <c r="H262" s="28"/>
      <c r="I262" s="3"/>
      <c r="J262" s="28"/>
      <c r="K262" s="28"/>
      <c r="L262" s="28"/>
      <c r="M262" s="28"/>
    </row>
    <row r="263" spans="1:13" ht="15.75" customHeight="1" x14ac:dyDescent="0.25">
      <c r="A263" s="28"/>
      <c r="B263" s="9" t="s">
        <v>50</v>
      </c>
      <c r="C263" s="302" t="s">
        <v>51</v>
      </c>
      <c r="D263" s="47">
        <v>271.44400000000002</v>
      </c>
      <c r="E263" s="11">
        <v>271</v>
      </c>
      <c r="F263" s="11"/>
      <c r="G263" s="31"/>
      <c r="H263" s="28"/>
      <c r="I263" s="3"/>
      <c r="J263" s="28"/>
      <c r="K263" s="28"/>
      <c r="L263" s="28"/>
      <c r="M263" s="28"/>
    </row>
    <row r="264" spans="1:13" ht="15.75" customHeight="1" x14ac:dyDescent="0.25">
      <c r="A264" s="28"/>
      <c r="B264" s="9" t="s">
        <v>54</v>
      </c>
      <c r="C264" s="300"/>
      <c r="D264" s="47">
        <v>550.22199999999998</v>
      </c>
      <c r="E264" s="11">
        <v>558</v>
      </c>
      <c r="F264" s="11"/>
      <c r="G264" s="31"/>
      <c r="H264" s="28"/>
      <c r="I264" s="3"/>
      <c r="J264" s="28"/>
      <c r="K264" s="28"/>
      <c r="L264" s="28"/>
      <c r="M264" s="28"/>
    </row>
    <row r="265" spans="1:13" ht="15.75" customHeight="1" x14ac:dyDescent="0.25">
      <c r="A265" s="28"/>
      <c r="B265" s="9" t="s">
        <v>55</v>
      </c>
      <c r="C265" s="300"/>
      <c r="D265" s="47">
        <v>609</v>
      </c>
      <c r="E265" s="11">
        <v>664</v>
      </c>
      <c r="F265" s="11"/>
      <c r="G265" s="31"/>
      <c r="H265" s="28"/>
      <c r="I265" s="3"/>
      <c r="J265" s="28"/>
      <c r="K265" s="28"/>
      <c r="L265" s="28"/>
      <c r="M265" s="28"/>
    </row>
    <row r="266" spans="1:13" ht="15.75" customHeight="1" x14ac:dyDescent="0.25">
      <c r="A266" s="28"/>
      <c r="B266" s="9" t="s">
        <v>56</v>
      </c>
      <c r="C266" s="300"/>
      <c r="D266" s="47">
        <v>739.11099999999999</v>
      </c>
      <c r="E266" s="11">
        <v>769</v>
      </c>
      <c r="F266" s="11"/>
      <c r="G266" s="31"/>
      <c r="H266" s="28"/>
      <c r="I266" s="3"/>
      <c r="J266" s="28"/>
      <c r="K266" s="28"/>
      <c r="L266" s="28"/>
      <c r="M266" s="28"/>
    </row>
    <row r="267" spans="1:13" ht="15.75" customHeight="1" x14ac:dyDescent="0.25">
      <c r="A267" s="28"/>
      <c r="B267" s="49" t="s">
        <v>57</v>
      </c>
      <c r="C267" s="300"/>
      <c r="D267" s="50">
        <v>746.88900000000001</v>
      </c>
      <c r="E267" s="51">
        <v>608</v>
      </c>
      <c r="F267" s="51"/>
      <c r="G267" s="31"/>
      <c r="H267" s="28"/>
      <c r="I267" s="3"/>
      <c r="J267" s="28"/>
      <c r="K267" s="28"/>
      <c r="L267" s="28"/>
      <c r="M267" s="28"/>
    </row>
    <row r="268" spans="1:13" ht="15.75" customHeight="1" x14ac:dyDescent="0.25">
      <c r="A268" s="28"/>
      <c r="B268" s="79"/>
      <c r="C268" s="81"/>
      <c r="D268" s="81"/>
      <c r="E268" s="81"/>
      <c r="F268" s="81"/>
      <c r="G268" s="191"/>
      <c r="H268" s="28"/>
      <c r="I268" s="28"/>
      <c r="J268" s="28"/>
      <c r="K268" s="28"/>
      <c r="L268" s="28"/>
      <c r="M268" s="28"/>
    </row>
    <row r="269" spans="1:13" ht="15.75" customHeight="1" x14ac:dyDescent="0.25">
      <c r="A269" s="28"/>
      <c r="B269" s="9" t="s">
        <v>60</v>
      </c>
      <c r="C269" s="299" t="s">
        <v>62</v>
      </c>
      <c r="D269" s="47">
        <v>19.36</v>
      </c>
      <c r="E269" s="11">
        <v>12</v>
      </c>
      <c r="F269" s="11">
        <v>16</v>
      </c>
      <c r="G269" s="31"/>
      <c r="H269" s="28"/>
      <c r="I269" s="28"/>
      <c r="J269" s="28"/>
      <c r="K269" s="28"/>
      <c r="L269" s="28"/>
      <c r="M269" s="28"/>
    </row>
    <row r="270" spans="1:13" ht="15.75" customHeight="1" x14ac:dyDescent="0.25">
      <c r="A270" s="28"/>
      <c r="B270" s="9" t="s">
        <v>64</v>
      </c>
      <c r="C270" s="300"/>
      <c r="D270" s="47">
        <v>37</v>
      </c>
      <c r="E270" s="11">
        <v>32</v>
      </c>
      <c r="F270" s="11">
        <v>35</v>
      </c>
      <c r="G270" s="31"/>
      <c r="H270" s="28"/>
      <c r="I270" s="28"/>
      <c r="J270" s="28"/>
      <c r="K270" s="28"/>
      <c r="L270" s="28"/>
      <c r="M270" s="28"/>
    </row>
    <row r="271" spans="1:13" ht="15.75" customHeight="1" x14ac:dyDescent="0.25">
      <c r="A271" s="28"/>
      <c r="B271" s="9" t="s">
        <v>65</v>
      </c>
      <c r="C271" s="301"/>
      <c r="D271" s="47">
        <v>41.74</v>
      </c>
      <c r="E271" s="11">
        <v>18</v>
      </c>
      <c r="F271" s="11">
        <v>21</v>
      </c>
      <c r="G271" s="31"/>
      <c r="H271" s="28"/>
      <c r="I271" s="28"/>
      <c r="J271" s="28"/>
      <c r="K271" s="28"/>
      <c r="L271" s="28"/>
      <c r="M271" s="28"/>
    </row>
    <row r="272" spans="1:13" ht="15.75" customHeight="1" x14ac:dyDescent="0.25">
      <c r="A272" s="28"/>
      <c r="B272" s="41"/>
      <c r="C272" s="42"/>
      <c r="D272" s="69"/>
      <c r="E272" s="11"/>
      <c r="F272" s="11"/>
      <c r="G272" s="31"/>
      <c r="H272" s="28"/>
      <c r="I272" s="28"/>
      <c r="J272" s="28"/>
      <c r="K272" s="28"/>
      <c r="L272" s="28"/>
      <c r="M272" s="28"/>
    </row>
    <row r="273" spans="1:13" ht="15.75" customHeight="1" x14ac:dyDescent="0.25">
      <c r="A273" s="28"/>
      <c r="B273" s="9" t="s">
        <v>66</v>
      </c>
      <c r="C273" s="302" t="s">
        <v>68</v>
      </c>
      <c r="D273" s="47">
        <v>204.5</v>
      </c>
      <c r="E273" s="11">
        <v>211</v>
      </c>
      <c r="F273" s="11"/>
      <c r="G273" s="31"/>
      <c r="H273" s="28"/>
      <c r="I273" s="3"/>
      <c r="J273" s="28"/>
      <c r="K273" s="28"/>
      <c r="L273" s="28"/>
      <c r="M273" s="28"/>
    </row>
    <row r="274" spans="1:13" ht="15.75" customHeight="1" x14ac:dyDescent="0.25">
      <c r="A274" s="28"/>
      <c r="B274" s="49" t="s">
        <v>69</v>
      </c>
      <c r="C274" s="300"/>
      <c r="D274" s="50">
        <v>277.7</v>
      </c>
      <c r="E274" s="51">
        <v>297</v>
      </c>
      <c r="F274" s="51"/>
      <c r="G274" s="31"/>
      <c r="H274" s="28"/>
      <c r="I274" s="3"/>
      <c r="J274" s="28"/>
      <c r="K274" s="28"/>
      <c r="L274" s="28"/>
      <c r="M274" s="28"/>
    </row>
    <row r="275" spans="1:13" ht="15.75" customHeight="1" x14ac:dyDescent="0.25">
      <c r="A275" s="28"/>
      <c r="B275" s="44"/>
      <c r="C275" s="46"/>
      <c r="D275" s="46"/>
      <c r="E275" s="46"/>
      <c r="F275" s="46"/>
      <c r="G275" s="33"/>
      <c r="H275" s="28"/>
      <c r="I275" s="3"/>
      <c r="J275" s="28"/>
      <c r="K275" s="28"/>
      <c r="L275" s="28"/>
      <c r="M275" s="28"/>
    </row>
    <row r="276" spans="1:13" ht="15.75" customHeight="1" x14ac:dyDescent="0.25">
      <c r="A276" s="28"/>
      <c r="B276" s="9" t="s">
        <v>69</v>
      </c>
      <c r="C276" s="299" t="s">
        <v>71</v>
      </c>
      <c r="D276" s="47">
        <v>10.283300000000001</v>
      </c>
      <c r="E276" s="11">
        <v>2</v>
      </c>
      <c r="F276" s="11">
        <v>7</v>
      </c>
      <c r="G276" s="31"/>
      <c r="H276" s="28"/>
      <c r="I276" s="3"/>
      <c r="J276" s="28"/>
      <c r="K276" s="28"/>
      <c r="L276" s="28"/>
      <c r="M276" s="28"/>
    </row>
    <row r="277" spans="1:13" ht="15.75" customHeight="1" x14ac:dyDescent="0.25">
      <c r="A277" s="28"/>
      <c r="B277" s="9" t="s">
        <v>72</v>
      </c>
      <c r="C277" s="300"/>
      <c r="D277" s="47">
        <v>11.8833</v>
      </c>
      <c r="E277" s="11">
        <v>6</v>
      </c>
      <c r="F277" s="11">
        <v>18</v>
      </c>
      <c r="G277" s="31"/>
      <c r="H277" s="28"/>
      <c r="I277" s="3"/>
      <c r="J277" s="28"/>
      <c r="K277" s="28"/>
      <c r="L277" s="28"/>
      <c r="M277" s="28"/>
    </row>
    <row r="278" spans="1:13" ht="15.75" customHeight="1" x14ac:dyDescent="0.25">
      <c r="A278" s="28"/>
      <c r="B278" s="9" t="s">
        <v>73</v>
      </c>
      <c r="C278" s="301"/>
      <c r="D278" s="47">
        <v>17.433299999999999</v>
      </c>
      <c r="E278" s="11">
        <v>21</v>
      </c>
      <c r="F278" s="11">
        <v>24</v>
      </c>
      <c r="G278" s="31"/>
      <c r="H278" s="28"/>
      <c r="I278" s="3"/>
      <c r="J278" s="28"/>
      <c r="K278" s="28"/>
      <c r="L278" s="28"/>
      <c r="M278" s="28"/>
    </row>
    <row r="279" spans="1:13" ht="15.75" customHeight="1" x14ac:dyDescent="0.25">
      <c r="A279" s="28"/>
      <c r="B279" s="41"/>
      <c r="C279" s="42"/>
      <c r="D279" s="69"/>
      <c r="E279" s="11"/>
      <c r="F279" s="11"/>
      <c r="G279" s="31"/>
      <c r="H279" s="28"/>
      <c r="I279" s="3"/>
      <c r="J279" s="28"/>
      <c r="K279" s="28"/>
      <c r="L279" s="28"/>
      <c r="M279" s="28"/>
    </row>
    <row r="280" spans="1:13" ht="15.75" customHeight="1" x14ac:dyDescent="0.25">
      <c r="A280" s="28"/>
      <c r="B280" s="9" t="s">
        <v>76</v>
      </c>
      <c r="C280" s="302" t="s">
        <v>77</v>
      </c>
      <c r="D280" s="47">
        <v>117.467</v>
      </c>
      <c r="E280" s="11">
        <v>95</v>
      </c>
      <c r="F280" s="11"/>
      <c r="G280" s="31"/>
      <c r="H280" s="28"/>
      <c r="I280" s="3"/>
      <c r="J280" s="28"/>
      <c r="K280" s="28"/>
      <c r="L280" s="28"/>
      <c r="M280" s="28"/>
    </row>
    <row r="281" spans="1:13" ht="15.75" customHeight="1" x14ac:dyDescent="0.25">
      <c r="A281" s="28"/>
      <c r="B281" s="9" t="s">
        <v>78</v>
      </c>
      <c r="C281" s="300"/>
      <c r="D281" s="47">
        <v>187.833</v>
      </c>
      <c r="E281" s="11">
        <v>128</v>
      </c>
      <c r="F281" s="11"/>
      <c r="G281" s="31"/>
      <c r="H281" s="28"/>
      <c r="I281" s="3"/>
      <c r="J281" s="28"/>
      <c r="K281" s="28"/>
      <c r="L281" s="28"/>
      <c r="M281" s="28"/>
    </row>
    <row r="282" spans="1:13" ht="15.75" customHeight="1" x14ac:dyDescent="0.25">
      <c r="A282" s="28"/>
      <c r="B282" s="9" t="s">
        <v>79</v>
      </c>
      <c r="C282" s="300"/>
      <c r="D282" s="47">
        <v>218.333</v>
      </c>
      <c r="E282" s="11">
        <v>261</v>
      </c>
      <c r="F282" s="11"/>
      <c r="G282" s="31"/>
      <c r="H282" s="28"/>
      <c r="I282" s="3"/>
      <c r="J282" s="28"/>
      <c r="K282" s="28"/>
      <c r="L282" s="28"/>
      <c r="M282" s="28"/>
    </row>
    <row r="283" spans="1:13" ht="15.75" customHeight="1" x14ac:dyDescent="0.25">
      <c r="A283" s="28"/>
      <c r="B283" s="49" t="s">
        <v>80</v>
      </c>
      <c r="C283" s="300"/>
      <c r="D283" s="50">
        <v>238.5</v>
      </c>
      <c r="E283" s="51">
        <v>182</v>
      </c>
      <c r="F283" s="51"/>
      <c r="G283" s="31"/>
      <c r="H283" s="28"/>
      <c r="I283" s="3"/>
      <c r="J283" s="28"/>
      <c r="K283" s="28"/>
      <c r="L283" s="28"/>
      <c r="M283" s="28"/>
    </row>
    <row r="284" spans="1:13" ht="15.75" customHeight="1" x14ac:dyDescent="0.25">
      <c r="A284" s="28"/>
      <c r="B284" s="44"/>
      <c r="C284" s="46"/>
      <c r="D284" s="46"/>
      <c r="E284" s="46"/>
      <c r="F284" s="46"/>
      <c r="G284" s="33"/>
      <c r="H284" s="28"/>
      <c r="I284" s="3"/>
      <c r="J284" s="28"/>
      <c r="K284" s="28"/>
      <c r="L284" s="28"/>
      <c r="M284" s="28"/>
    </row>
    <row r="285" spans="1:13" ht="15.75" customHeight="1" x14ac:dyDescent="0.25">
      <c r="A285" s="28"/>
      <c r="B285" s="9" t="s">
        <v>81</v>
      </c>
      <c r="C285" s="299" t="s">
        <v>82</v>
      </c>
      <c r="D285" s="47">
        <v>2</v>
      </c>
      <c r="E285" s="11">
        <v>2</v>
      </c>
      <c r="F285" s="11">
        <v>2</v>
      </c>
      <c r="G285" s="31"/>
      <c r="H285" s="28"/>
      <c r="I285" s="3"/>
      <c r="J285" s="28"/>
      <c r="K285" s="28"/>
      <c r="L285" s="28"/>
      <c r="M285" s="28"/>
    </row>
    <row r="286" spans="1:13" ht="15.75" customHeight="1" x14ac:dyDescent="0.25">
      <c r="A286" s="28"/>
      <c r="B286" s="9" t="s">
        <v>83</v>
      </c>
      <c r="C286" s="300"/>
      <c r="D286" s="47">
        <v>7.133</v>
      </c>
      <c r="E286" s="11">
        <v>2</v>
      </c>
      <c r="F286" s="11">
        <v>7</v>
      </c>
      <c r="G286" s="31"/>
      <c r="H286" s="28"/>
      <c r="I286" s="3"/>
      <c r="J286" s="28"/>
      <c r="K286" s="28"/>
      <c r="L286" s="28"/>
      <c r="M286" s="28"/>
    </row>
    <row r="287" spans="1:13" ht="15.75" customHeight="1" x14ac:dyDescent="0.25">
      <c r="A287" s="28"/>
      <c r="B287" s="9" t="s">
        <v>84</v>
      </c>
      <c r="C287" s="301"/>
      <c r="D287" s="47">
        <v>10.72</v>
      </c>
      <c r="E287" s="11">
        <v>2</v>
      </c>
      <c r="F287" s="11">
        <v>7</v>
      </c>
      <c r="G287" s="31"/>
      <c r="H287" s="28"/>
      <c r="I287" s="3"/>
      <c r="J287" s="28"/>
      <c r="K287" s="28"/>
      <c r="L287" s="28"/>
      <c r="M287" s="28"/>
    </row>
    <row r="288" spans="1:13" ht="15.75" customHeight="1" x14ac:dyDescent="0.25">
      <c r="A288" s="28"/>
      <c r="B288" s="41"/>
      <c r="C288" s="42"/>
      <c r="D288" s="69"/>
      <c r="E288" s="11"/>
      <c r="F288" s="11"/>
      <c r="G288" s="31"/>
      <c r="H288" s="28"/>
      <c r="I288" s="3"/>
      <c r="J288" s="28"/>
      <c r="K288" s="28"/>
      <c r="L288" s="28"/>
      <c r="M288" s="28"/>
    </row>
    <row r="289" spans="1:21" ht="15.75" customHeight="1" x14ac:dyDescent="0.25">
      <c r="A289" s="28"/>
      <c r="B289" s="9" t="s">
        <v>86</v>
      </c>
      <c r="C289" s="302" t="s">
        <v>87</v>
      </c>
      <c r="D289" s="47">
        <v>20.466999999999999</v>
      </c>
      <c r="E289" s="11">
        <v>20</v>
      </c>
      <c r="F289" s="11"/>
      <c r="G289" s="31"/>
      <c r="H289" s="28"/>
      <c r="I289" s="3"/>
      <c r="J289" s="28"/>
      <c r="K289" s="28"/>
      <c r="L289" s="28"/>
      <c r="M289" s="28"/>
    </row>
    <row r="290" spans="1:21" ht="15.75" customHeight="1" x14ac:dyDescent="0.25">
      <c r="A290" s="28"/>
      <c r="B290" s="49" t="s">
        <v>88</v>
      </c>
      <c r="C290" s="300"/>
      <c r="D290" s="50">
        <v>20.367000000000001</v>
      </c>
      <c r="E290" s="51">
        <v>20</v>
      </c>
      <c r="F290" s="51"/>
      <c r="G290" s="31"/>
      <c r="H290" s="28"/>
      <c r="I290" s="3"/>
      <c r="J290" s="28"/>
      <c r="K290" s="28"/>
      <c r="L290" s="28"/>
      <c r="M290" s="28"/>
    </row>
    <row r="291" spans="1:21" ht="15.75" customHeight="1" x14ac:dyDescent="0.25">
      <c r="A291" s="28"/>
      <c r="B291" s="44"/>
      <c r="C291" s="46"/>
      <c r="D291" s="46"/>
      <c r="E291" s="46"/>
      <c r="F291" s="46"/>
      <c r="G291" s="33"/>
      <c r="H291" s="28"/>
      <c r="I291" s="3"/>
      <c r="J291" s="28"/>
      <c r="K291" s="28"/>
      <c r="L291" s="28"/>
      <c r="M291" s="28"/>
    </row>
    <row r="292" spans="1:21" ht="15.75" customHeight="1" x14ac:dyDescent="0.25">
      <c r="A292" s="28"/>
      <c r="B292" s="9" t="s">
        <v>89</v>
      </c>
      <c r="C292" s="299" t="s">
        <v>90</v>
      </c>
      <c r="D292" s="47">
        <v>5.15</v>
      </c>
      <c r="E292" s="11">
        <v>18</v>
      </c>
      <c r="F292" s="11">
        <v>18</v>
      </c>
      <c r="G292" s="31"/>
      <c r="H292" s="28"/>
      <c r="I292" s="3"/>
      <c r="J292" s="28"/>
      <c r="K292" s="28"/>
      <c r="L292" s="28"/>
      <c r="M292" s="28"/>
    </row>
    <row r="293" spans="1:21" ht="15.75" customHeight="1" x14ac:dyDescent="0.25">
      <c r="A293" s="28"/>
      <c r="B293" s="49" t="s">
        <v>91</v>
      </c>
      <c r="C293" s="300"/>
      <c r="D293" s="50">
        <v>16.2</v>
      </c>
      <c r="E293" s="51">
        <v>18</v>
      </c>
      <c r="F293" s="51">
        <v>19</v>
      </c>
      <c r="G293" s="31"/>
      <c r="H293" s="28"/>
      <c r="I293" s="3"/>
      <c r="J293" s="28"/>
      <c r="K293" s="28"/>
      <c r="L293" s="28"/>
      <c r="M293" s="28"/>
    </row>
    <row r="294" spans="1:21" ht="15.75" customHeight="1" x14ac:dyDescent="0.25">
      <c r="A294" s="28"/>
      <c r="B294" s="41"/>
      <c r="C294" s="42"/>
      <c r="D294" s="69"/>
      <c r="E294" s="201"/>
      <c r="F294" s="201"/>
      <c r="G294" s="202"/>
      <c r="H294" s="28"/>
      <c r="I294" s="3"/>
      <c r="J294" s="28"/>
      <c r="K294" s="28"/>
      <c r="L294" s="28"/>
      <c r="M294" s="28"/>
    </row>
    <row r="295" spans="1:21" ht="15.75" customHeight="1" x14ac:dyDescent="0.25">
      <c r="A295" s="28"/>
      <c r="B295" s="9" t="s">
        <v>94</v>
      </c>
      <c r="C295" s="299" t="s">
        <v>95</v>
      </c>
      <c r="D295" s="47">
        <v>50.082999999999998</v>
      </c>
      <c r="E295" s="11">
        <v>51</v>
      </c>
      <c r="F295" s="11"/>
      <c r="G295" s="31"/>
      <c r="H295" s="28"/>
      <c r="I295" s="3"/>
      <c r="J295" s="28"/>
      <c r="K295" s="28"/>
      <c r="L295" s="28"/>
      <c r="M295" s="28"/>
    </row>
    <row r="296" spans="1:21" ht="15.75" customHeight="1" x14ac:dyDescent="0.25">
      <c r="A296" s="28"/>
      <c r="B296" s="9" t="s">
        <v>96</v>
      </c>
      <c r="C296" s="300"/>
      <c r="D296" s="47">
        <v>93.992999999999995</v>
      </c>
      <c r="E296" s="11">
        <v>98</v>
      </c>
      <c r="F296" s="11"/>
      <c r="G296" s="31"/>
      <c r="H296" s="28"/>
      <c r="I296" s="3"/>
      <c r="J296" s="28"/>
      <c r="K296" s="28"/>
      <c r="L296" s="28"/>
      <c r="M296" s="28"/>
    </row>
    <row r="297" spans="1:21" ht="15.75" customHeight="1" x14ac:dyDescent="0.25">
      <c r="A297" s="28"/>
      <c r="B297" s="9" t="s">
        <v>97</v>
      </c>
      <c r="C297" s="300"/>
      <c r="D297" s="47">
        <v>95.516999999999996</v>
      </c>
      <c r="E297" s="11">
        <v>94</v>
      </c>
      <c r="F297" s="11"/>
      <c r="G297" s="31"/>
      <c r="H297" s="28"/>
      <c r="I297" s="3"/>
      <c r="J297" s="28"/>
      <c r="K297" s="28"/>
      <c r="L297" s="28"/>
      <c r="M297" s="28"/>
    </row>
    <row r="298" spans="1:21" ht="15.75" customHeight="1" x14ac:dyDescent="0.25">
      <c r="A298" s="28"/>
      <c r="B298" s="9" t="s">
        <v>98</v>
      </c>
      <c r="C298" s="300"/>
      <c r="D298" s="47">
        <v>100.92</v>
      </c>
      <c r="E298" s="11">
        <v>101</v>
      </c>
      <c r="F298" s="11"/>
      <c r="G298" s="31"/>
      <c r="H298" s="28"/>
      <c r="I298" s="3"/>
      <c r="J298" s="28"/>
      <c r="K298" s="28"/>
      <c r="L298" s="28"/>
      <c r="M298" s="28"/>
    </row>
    <row r="299" spans="1:21" ht="15.75" customHeight="1" x14ac:dyDescent="0.25">
      <c r="A299" s="28"/>
      <c r="B299" s="9" t="s">
        <v>99</v>
      </c>
      <c r="C299" s="301"/>
      <c r="D299" s="47">
        <v>115.37</v>
      </c>
      <c r="E299" s="11">
        <v>102</v>
      </c>
      <c r="F299" s="11"/>
      <c r="G299" s="31"/>
      <c r="H299" s="28"/>
      <c r="I299" s="3"/>
      <c r="J299" s="28"/>
      <c r="K299" s="28"/>
      <c r="L299" s="28"/>
      <c r="M299" s="28"/>
    </row>
    <row r="300" spans="1:21" ht="15.75" customHeight="1" x14ac:dyDescent="0.25">
      <c r="A300" s="28"/>
      <c r="B300" s="28"/>
      <c r="C300" s="28"/>
      <c r="D300" s="184"/>
      <c r="E300" s="28"/>
      <c r="F300" s="28"/>
      <c r="G300" s="28"/>
      <c r="H300" s="28"/>
      <c r="I300" s="28"/>
      <c r="J300" s="28"/>
      <c r="K300" s="28"/>
      <c r="L300" s="28"/>
      <c r="M300" s="28"/>
    </row>
    <row r="301" spans="1:21" ht="15.75" customHeight="1" x14ac:dyDescent="0.25">
      <c r="D301" s="184"/>
    </row>
    <row r="302" spans="1:21" ht="15.75" customHeight="1" x14ac:dyDescent="0.25">
      <c r="A302" s="29"/>
      <c r="B302" s="29"/>
      <c r="C302" s="29"/>
      <c r="D302" s="196"/>
      <c r="E302" s="29"/>
      <c r="F302" s="29"/>
      <c r="G302" s="29"/>
      <c r="H302" s="29"/>
      <c r="I302" s="29"/>
      <c r="J302" s="29"/>
      <c r="K302" s="29"/>
      <c r="L302" s="29"/>
      <c r="M302" s="29"/>
      <c r="N302" s="29"/>
      <c r="O302" s="29"/>
      <c r="P302" s="29"/>
      <c r="Q302" s="29"/>
      <c r="R302" s="29"/>
      <c r="S302" s="29"/>
      <c r="T302" s="29"/>
      <c r="U302" s="29"/>
    </row>
    <row r="303" spans="1:21" ht="15.75" customHeight="1" x14ac:dyDescent="0.25">
      <c r="D303" s="184"/>
    </row>
    <row r="304" spans="1:21" ht="15.75" customHeight="1" x14ac:dyDescent="0.25">
      <c r="D304" s="184"/>
    </row>
    <row r="305" spans="1:10" ht="15.75" customHeight="1" x14ac:dyDescent="0.3">
      <c r="A305" s="161" t="s">
        <v>353</v>
      </c>
      <c r="B305" s="163" t="s">
        <v>562</v>
      </c>
      <c r="C305" s="28"/>
      <c r="D305" s="28"/>
      <c r="E305" s="28"/>
      <c r="F305" s="28"/>
      <c r="G305" s="28"/>
      <c r="H305" s="28"/>
      <c r="I305" s="28"/>
      <c r="J305" s="28"/>
    </row>
    <row r="306" spans="1:10" ht="15.75" customHeight="1" x14ac:dyDescent="0.3">
      <c r="A306" s="205" t="s">
        <v>751</v>
      </c>
      <c r="B306" s="165">
        <v>43889</v>
      </c>
      <c r="C306" s="28"/>
      <c r="D306" s="28"/>
      <c r="E306" s="28"/>
      <c r="F306" s="28"/>
      <c r="G306" s="28"/>
      <c r="H306" s="28"/>
      <c r="I306" s="28"/>
      <c r="J306" s="28"/>
    </row>
    <row r="307" spans="1:10" ht="15.75" customHeight="1" x14ac:dyDescent="0.25">
      <c r="A307" s="28"/>
      <c r="B307" s="28"/>
      <c r="C307" s="28"/>
      <c r="D307" s="28"/>
      <c r="E307" s="28"/>
      <c r="F307" s="28"/>
      <c r="G307" s="28"/>
      <c r="H307" s="28"/>
      <c r="I307" s="28"/>
      <c r="J307" s="28"/>
    </row>
    <row r="308" spans="1:10" ht="15.75" customHeight="1" x14ac:dyDescent="0.25">
      <c r="A308" s="156" t="s">
        <v>0</v>
      </c>
      <c r="B308" s="157" t="s">
        <v>1</v>
      </c>
      <c r="C308" s="157" t="s">
        <v>42</v>
      </c>
      <c r="D308" s="157" t="s">
        <v>43</v>
      </c>
      <c r="E308" s="157" t="s">
        <v>44</v>
      </c>
      <c r="F308" s="28"/>
      <c r="G308" s="296" t="s">
        <v>45</v>
      </c>
      <c r="H308" s="297"/>
      <c r="I308" s="297"/>
      <c r="J308" s="298"/>
    </row>
    <row r="309" spans="1:10" ht="15.75" customHeight="1" x14ac:dyDescent="0.25">
      <c r="A309" s="310" t="s">
        <v>8</v>
      </c>
      <c r="B309" s="297"/>
      <c r="C309" s="297"/>
      <c r="D309" s="297"/>
      <c r="E309" s="298"/>
      <c r="F309" s="28"/>
      <c r="G309" s="305" t="s">
        <v>10</v>
      </c>
      <c r="H309" s="297"/>
      <c r="I309" s="297"/>
      <c r="J309" s="298"/>
    </row>
    <row r="310" spans="1:10" ht="15.75" customHeight="1" x14ac:dyDescent="0.25">
      <c r="A310" s="9" t="s">
        <v>11</v>
      </c>
      <c r="B310" s="9" t="s">
        <v>12</v>
      </c>
      <c r="C310" s="11"/>
      <c r="D310" s="22">
        <v>480</v>
      </c>
      <c r="E310" s="11">
        <v>480</v>
      </c>
      <c r="F310" s="28"/>
      <c r="G310" s="12"/>
      <c r="H310" s="12" t="s">
        <v>52</v>
      </c>
      <c r="I310" s="12" t="s">
        <v>53</v>
      </c>
      <c r="J310" s="12"/>
    </row>
    <row r="311" spans="1:10" ht="15.75" customHeight="1" x14ac:dyDescent="0.25">
      <c r="A311" s="9" t="s">
        <v>11</v>
      </c>
      <c r="B311" s="12" t="s">
        <v>18</v>
      </c>
      <c r="C311" s="11">
        <v>0</v>
      </c>
      <c r="D311" s="22">
        <v>0</v>
      </c>
      <c r="E311" s="11">
        <v>0</v>
      </c>
      <c r="F311" s="28"/>
      <c r="G311" s="12" t="s">
        <v>12</v>
      </c>
      <c r="H311" s="17">
        <v>480</v>
      </c>
      <c r="I311" s="11">
        <v>480</v>
      </c>
      <c r="J311" s="17" t="s">
        <v>755</v>
      </c>
    </row>
    <row r="312" spans="1:10" ht="15.75" customHeight="1" x14ac:dyDescent="0.25">
      <c r="A312" s="9" t="s">
        <v>21</v>
      </c>
      <c r="B312" s="12" t="s">
        <v>59</v>
      </c>
      <c r="C312" s="11">
        <v>440</v>
      </c>
      <c r="D312" s="22">
        <v>446</v>
      </c>
      <c r="E312" s="11">
        <v>414</v>
      </c>
      <c r="F312" s="28"/>
      <c r="G312" s="12" t="s">
        <v>18</v>
      </c>
      <c r="H312" s="17">
        <v>0</v>
      </c>
      <c r="I312" s="11">
        <v>0</v>
      </c>
      <c r="J312" s="17" t="s">
        <v>757</v>
      </c>
    </row>
    <row r="313" spans="1:10" ht="15.75" customHeight="1" x14ac:dyDescent="0.25">
      <c r="A313" s="49" t="s">
        <v>21</v>
      </c>
      <c r="B313" s="10" t="s">
        <v>63</v>
      </c>
      <c r="C313" s="51">
        <v>160</v>
      </c>
      <c r="D313" s="169">
        <v>153</v>
      </c>
      <c r="E313" s="51">
        <v>155</v>
      </c>
      <c r="F313" s="28"/>
      <c r="G313" s="305" t="s">
        <v>23</v>
      </c>
      <c r="H313" s="297"/>
      <c r="I313" s="297"/>
      <c r="J313" s="298"/>
    </row>
    <row r="314" spans="1:10" ht="15.75" customHeight="1" x14ac:dyDescent="0.25">
      <c r="A314" s="310" t="s">
        <v>29</v>
      </c>
      <c r="B314" s="297"/>
      <c r="C314" s="297"/>
      <c r="D314" s="297"/>
      <c r="E314" s="298"/>
      <c r="F314" s="28"/>
      <c r="G314" s="12" t="s">
        <v>12</v>
      </c>
      <c r="H314" s="17">
        <v>465</v>
      </c>
      <c r="I314" s="11">
        <v>465</v>
      </c>
      <c r="J314" s="17" t="s">
        <v>760</v>
      </c>
    </row>
    <row r="315" spans="1:10" ht="15.75" customHeight="1" x14ac:dyDescent="0.25">
      <c r="A315" s="9" t="s">
        <v>11</v>
      </c>
      <c r="B315" s="9" t="s">
        <v>12</v>
      </c>
      <c r="C315" s="11" t="s">
        <v>540</v>
      </c>
      <c r="D315" s="22">
        <v>465</v>
      </c>
      <c r="E315" s="22">
        <v>473</v>
      </c>
      <c r="F315" s="28"/>
      <c r="G315" s="12" t="s">
        <v>18</v>
      </c>
      <c r="H315" s="17">
        <v>0</v>
      </c>
      <c r="I315" s="11">
        <v>0</v>
      </c>
      <c r="J315" s="17" t="s">
        <v>764</v>
      </c>
    </row>
    <row r="316" spans="1:10" ht="15.75" customHeight="1" x14ac:dyDescent="0.25">
      <c r="A316" s="9" t="s">
        <v>11</v>
      </c>
      <c r="B316" s="12" t="s">
        <v>18</v>
      </c>
      <c r="C316" s="11">
        <v>0</v>
      </c>
      <c r="D316" s="22">
        <v>0</v>
      </c>
      <c r="E316" s="22">
        <v>0</v>
      </c>
      <c r="F316" s="28"/>
      <c r="G316" s="28"/>
      <c r="H316" s="28"/>
      <c r="I316" s="28"/>
      <c r="J316" s="28"/>
    </row>
    <row r="317" spans="1:10" ht="15.75" customHeight="1" x14ac:dyDescent="0.25">
      <c r="A317" s="9" t="s">
        <v>21</v>
      </c>
      <c r="B317" s="12" t="s">
        <v>59</v>
      </c>
      <c r="C317" s="11">
        <v>420</v>
      </c>
      <c r="D317" s="22">
        <v>348</v>
      </c>
      <c r="E317" s="22">
        <v>408</v>
      </c>
      <c r="F317" s="28"/>
      <c r="G317" s="28"/>
      <c r="H317" s="28"/>
      <c r="I317" s="28"/>
      <c r="J317" s="28"/>
    </row>
    <row r="318" spans="1:10" ht="15.75" customHeight="1" x14ac:dyDescent="0.25">
      <c r="A318" s="9" t="s">
        <v>21</v>
      </c>
      <c r="B318" s="12" t="s">
        <v>63</v>
      </c>
      <c r="C318" s="11">
        <v>130</v>
      </c>
      <c r="D318" s="22">
        <v>130</v>
      </c>
      <c r="E318" s="22">
        <v>145</v>
      </c>
      <c r="F318" s="28"/>
      <c r="G318" s="28"/>
      <c r="H318" s="28"/>
      <c r="I318" s="28"/>
      <c r="J318" s="28"/>
    </row>
    <row r="319" spans="1:10" ht="15.75" customHeight="1" x14ac:dyDescent="0.25">
      <c r="D319" s="184"/>
    </row>
    <row r="320" spans="1:10" ht="15.75" customHeight="1" x14ac:dyDescent="0.25">
      <c r="D320" s="184"/>
      <c r="E320" s="38"/>
    </row>
    <row r="321" spans="1:21" ht="15.75" customHeight="1" x14ac:dyDescent="0.25">
      <c r="A321" s="29"/>
      <c r="B321" s="29"/>
      <c r="C321" s="29"/>
      <c r="D321" s="196"/>
      <c r="E321" s="36"/>
      <c r="F321" s="29"/>
      <c r="G321" s="29"/>
      <c r="H321" s="29"/>
      <c r="I321" s="29"/>
      <c r="J321" s="29"/>
      <c r="K321" s="29"/>
      <c r="L321" s="29"/>
      <c r="M321" s="29"/>
      <c r="N321" s="29"/>
      <c r="O321" s="29"/>
      <c r="P321" s="29"/>
      <c r="Q321" s="29"/>
      <c r="R321" s="29"/>
      <c r="S321" s="29"/>
      <c r="T321" s="29"/>
      <c r="U321" s="29"/>
    </row>
    <row r="322" spans="1:21" ht="15.75" customHeight="1" x14ac:dyDescent="0.25">
      <c r="D322" s="184"/>
    </row>
    <row r="323" spans="1:21" ht="15.75" customHeight="1" x14ac:dyDescent="0.25">
      <c r="D323" s="184"/>
    </row>
    <row r="324" spans="1:21" ht="15.75" customHeight="1" x14ac:dyDescent="0.25">
      <c r="D324" s="184"/>
    </row>
    <row r="325" spans="1:21" ht="15.75" customHeight="1" x14ac:dyDescent="0.25">
      <c r="D325" s="184"/>
    </row>
    <row r="326" spans="1:21" ht="15.75" customHeight="1" x14ac:dyDescent="0.25">
      <c r="D326" s="184"/>
    </row>
    <row r="327" spans="1:21" ht="15.75" customHeight="1" x14ac:dyDescent="0.25">
      <c r="D327" s="184"/>
    </row>
    <row r="328" spans="1:21" ht="15.75" customHeight="1" x14ac:dyDescent="0.25">
      <c r="D328" s="184"/>
    </row>
    <row r="329" spans="1:21" ht="15.75" customHeight="1" x14ac:dyDescent="0.25">
      <c r="D329" s="184"/>
    </row>
    <row r="330" spans="1:21" ht="15.75" customHeight="1" x14ac:dyDescent="0.25">
      <c r="D330" s="184"/>
    </row>
    <row r="331" spans="1:21" ht="15.75" customHeight="1" x14ac:dyDescent="0.25">
      <c r="D331" s="184"/>
    </row>
    <row r="332" spans="1:21" ht="15.75" customHeight="1" x14ac:dyDescent="0.25">
      <c r="D332" s="184"/>
    </row>
    <row r="333" spans="1:21" ht="15.75" customHeight="1" x14ac:dyDescent="0.25">
      <c r="D333" s="184"/>
    </row>
    <row r="334" spans="1:21" ht="15.75" customHeight="1" x14ac:dyDescent="0.25">
      <c r="D334" s="184"/>
    </row>
    <row r="335" spans="1:21" ht="15.75" customHeight="1" x14ac:dyDescent="0.25">
      <c r="D335" s="184"/>
    </row>
    <row r="336" spans="1:21" ht="15.75" customHeight="1" x14ac:dyDescent="0.25">
      <c r="D336" s="184"/>
    </row>
    <row r="337" spans="4:4" ht="15.75" customHeight="1" x14ac:dyDescent="0.25">
      <c r="D337" s="184"/>
    </row>
    <row r="338" spans="4:4" ht="15.75" customHeight="1" x14ac:dyDescent="0.25">
      <c r="D338" s="184"/>
    </row>
    <row r="339" spans="4:4" ht="15.75" customHeight="1" x14ac:dyDescent="0.25">
      <c r="D339" s="184"/>
    </row>
    <row r="340" spans="4:4" ht="15.75" customHeight="1" x14ac:dyDescent="0.25">
      <c r="D340" s="184"/>
    </row>
    <row r="341" spans="4:4" ht="15.75" customHeight="1" x14ac:dyDescent="0.25">
      <c r="D341" s="184"/>
    </row>
    <row r="342" spans="4:4" ht="15.75" customHeight="1" x14ac:dyDescent="0.25">
      <c r="D342" s="184"/>
    </row>
    <row r="343" spans="4:4" ht="15.75" customHeight="1" x14ac:dyDescent="0.25">
      <c r="D343" s="184"/>
    </row>
    <row r="344" spans="4:4" ht="15.75" customHeight="1" x14ac:dyDescent="0.25">
      <c r="D344" s="184"/>
    </row>
    <row r="345" spans="4:4" ht="15.75" customHeight="1" x14ac:dyDescent="0.25">
      <c r="D345" s="184"/>
    </row>
    <row r="346" spans="4:4" ht="15.75" customHeight="1" x14ac:dyDescent="0.25">
      <c r="D346" s="184"/>
    </row>
    <row r="347" spans="4:4" ht="15.75" customHeight="1" x14ac:dyDescent="0.25">
      <c r="D347" s="184"/>
    </row>
    <row r="348" spans="4:4" ht="15.75" customHeight="1" x14ac:dyDescent="0.25">
      <c r="D348" s="184"/>
    </row>
    <row r="349" spans="4:4" ht="15.75" customHeight="1" x14ac:dyDescent="0.25">
      <c r="D349" s="184"/>
    </row>
    <row r="350" spans="4:4" ht="15.75" customHeight="1" x14ac:dyDescent="0.25">
      <c r="D350" s="184"/>
    </row>
    <row r="351" spans="4:4" ht="15.75" customHeight="1" x14ac:dyDescent="0.25">
      <c r="D351" s="184"/>
    </row>
    <row r="352" spans="4:4" ht="15.75" customHeight="1" x14ac:dyDescent="0.25">
      <c r="D352" s="184"/>
    </row>
    <row r="353" spans="4:4" ht="15.75" customHeight="1" x14ac:dyDescent="0.25">
      <c r="D353" s="184"/>
    </row>
    <row r="354" spans="4:4" ht="15.75" customHeight="1" x14ac:dyDescent="0.25">
      <c r="D354" s="184"/>
    </row>
    <row r="355" spans="4:4" ht="15.75" customHeight="1" x14ac:dyDescent="0.25">
      <c r="D355" s="184"/>
    </row>
    <row r="356" spans="4:4" ht="15.75" customHeight="1" x14ac:dyDescent="0.25">
      <c r="D356" s="184"/>
    </row>
    <row r="357" spans="4:4" ht="15.75" customHeight="1" x14ac:dyDescent="0.25">
      <c r="D357" s="184"/>
    </row>
    <row r="358" spans="4:4" ht="15.75" customHeight="1" x14ac:dyDescent="0.25">
      <c r="D358" s="184"/>
    </row>
    <row r="359" spans="4:4" ht="15.75" customHeight="1" x14ac:dyDescent="0.25">
      <c r="D359" s="184"/>
    </row>
    <row r="360" spans="4:4" ht="15.75" customHeight="1" x14ac:dyDescent="0.25">
      <c r="D360" s="184"/>
    </row>
    <row r="361" spans="4:4" ht="15.75" customHeight="1" x14ac:dyDescent="0.25">
      <c r="D361" s="184"/>
    </row>
    <row r="362" spans="4:4" ht="15.75" customHeight="1" x14ac:dyDescent="0.25">
      <c r="D362" s="184"/>
    </row>
    <row r="363" spans="4:4" ht="15.75" customHeight="1" x14ac:dyDescent="0.25">
      <c r="D363" s="184"/>
    </row>
    <row r="364" spans="4:4" ht="15.75" customHeight="1" x14ac:dyDescent="0.25">
      <c r="D364" s="184"/>
    </row>
    <row r="365" spans="4:4" ht="15.75" customHeight="1" x14ac:dyDescent="0.25">
      <c r="D365" s="184"/>
    </row>
    <row r="366" spans="4:4" ht="15.75" customHeight="1" x14ac:dyDescent="0.25">
      <c r="D366" s="184"/>
    </row>
    <row r="367" spans="4:4" ht="15.75" customHeight="1" x14ac:dyDescent="0.25">
      <c r="D367" s="184"/>
    </row>
    <row r="368" spans="4:4" ht="15.75" customHeight="1" x14ac:dyDescent="0.25">
      <c r="D368" s="184"/>
    </row>
    <row r="369" spans="4:4" ht="15.75" customHeight="1" x14ac:dyDescent="0.25">
      <c r="D369" s="184"/>
    </row>
    <row r="370" spans="4:4" ht="15.75" customHeight="1" x14ac:dyDescent="0.25">
      <c r="D370" s="184"/>
    </row>
    <row r="371" spans="4:4" ht="15.75" customHeight="1" x14ac:dyDescent="0.25">
      <c r="D371" s="184"/>
    </row>
    <row r="372" spans="4:4" ht="15.75" customHeight="1" x14ac:dyDescent="0.25">
      <c r="D372" s="184"/>
    </row>
    <row r="373" spans="4:4" ht="15.75" customHeight="1" x14ac:dyDescent="0.25">
      <c r="D373" s="184"/>
    </row>
    <row r="374" spans="4:4" ht="15.75" customHeight="1" x14ac:dyDescent="0.25">
      <c r="D374" s="184"/>
    </row>
    <row r="375" spans="4:4" ht="15.75" customHeight="1" x14ac:dyDescent="0.25">
      <c r="D375" s="184"/>
    </row>
    <row r="376" spans="4:4" ht="15.75" customHeight="1" x14ac:dyDescent="0.25">
      <c r="D376" s="184"/>
    </row>
    <row r="377" spans="4:4" ht="15.75" customHeight="1" x14ac:dyDescent="0.25">
      <c r="D377" s="184"/>
    </row>
    <row r="378" spans="4:4" ht="15.75" customHeight="1" x14ac:dyDescent="0.25">
      <c r="D378" s="184"/>
    </row>
    <row r="379" spans="4:4" ht="15.75" customHeight="1" x14ac:dyDescent="0.25">
      <c r="D379" s="184"/>
    </row>
    <row r="380" spans="4:4" ht="15.75" customHeight="1" x14ac:dyDescent="0.25">
      <c r="D380" s="184"/>
    </row>
    <row r="381" spans="4:4" ht="15.75" customHeight="1" x14ac:dyDescent="0.25">
      <c r="D381" s="184"/>
    </row>
    <row r="382" spans="4:4" ht="15.75" customHeight="1" x14ac:dyDescent="0.25">
      <c r="D382" s="184"/>
    </row>
    <row r="383" spans="4:4" ht="15.75" customHeight="1" x14ac:dyDescent="0.25">
      <c r="D383" s="184"/>
    </row>
    <row r="384" spans="4:4" ht="15.75" customHeight="1" x14ac:dyDescent="0.25">
      <c r="D384" s="184"/>
    </row>
    <row r="385" spans="4:4" ht="15.75" customHeight="1" x14ac:dyDescent="0.25">
      <c r="D385" s="184"/>
    </row>
    <row r="386" spans="4:4" ht="15.75" customHeight="1" x14ac:dyDescent="0.25">
      <c r="D386" s="184"/>
    </row>
    <row r="387" spans="4:4" ht="15.75" customHeight="1" x14ac:dyDescent="0.25">
      <c r="D387" s="184"/>
    </row>
    <row r="388" spans="4:4" ht="15.75" customHeight="1" x14ac:dyDescent="0.25">
      <c r="D388" s="184"/>
    </row>
    <row r="389" spans="4:4" ht="15.75" customHeight="1" x14ac:dyDescent="0.25">
      <c r="D389" s="184"/>
    </row>
    <row r="390" spans="4:4" ht="15.75" customHeight="1" x14ac:dyDescent="0.25">
      <c r="D390" s="184"/>
    </row>
    <row r="391" spans="4:4" ht="15.75" customHeight="1" x14ac:dyDescent="0.25">
      <c r="D391" s="184"/>
    </row>
    <row r="392" spans="4:4" ht="15.75" customHeight="1" x14ac:dyDescent="0.25">
      <c r="D392" s="184"/>
    </row>
    <row r="393" spans="4:4" ht="15.75" customHeight="1" x14ac:dyDescent="0.25">
      <c r="D393" s="184"/>
    </row>
    <row r="394" spans="4:4" ht="15.75" customHeight="1" x14ac:dyDescent="0.25">
      <c r="D394" s="184"/>
    </row>
    <row r="395" spans="4:4" ht="15.75" customHeight="1" x14ac:dyDescent="0.25">
      <c r="D395" s="184"/>
    </row>
    <row r="396" spans="4:4" ht="15.75" customHeight="1" x14ac:dyDescent="0.25">
      <c r="D396" s="184"/>
    </row>
    <row r="397" spans="4:4" ht="15.75" customHeight="1" x14ac:dyDescent="0.25">
      <c r="D397" s="184"/>
    </row>
    <row r="398" spans="4:4" ht="15.75" customHeight="1" x14ac:dyDescent="0.25">
      <c r="D398" s="184"/>
    </row>
    <row r="399" spans="4:4" ht="15.75" customHeight="1" x14ac:dyDescent="0.25">
      <c r="D399" s="184"/>
    </row>
    <row r="400" spans="4:4" ht="15.75" customHeight="1" x14ac:dyDescent="0.25">
      <c r="D400" s="184"/>
    </row>
    <row r="401" spans="4:4" ht="15.75" customHeight="1" x14ac:dyDescent="0.25">
      <c r="D401" s="184"/>
    </row>
    <row r="402" spans="4:4" ht="15.75" customHeight="1" x14ac:dyDescent="0.25">
      <c r="D402" s="184"/>
    </row>
    <row r="403" spans="4:4" ht="15.75" customHeight="1" x14ac:dyDescent="0.25">
      <c r="D403" s="184"/>
    </row>
    <row r="404" spans="4:4" ht="15.75" customHeight="1" x14ac:dyDescent="0.25">
      <c r="D404" s="184"/>
    </row>
    <row r="405" spans="4:4" ht="15.75" customHeight="1" x14ac:dyDescent="0.25">
      <c r="D405" s="184"/>
    </row>
    <row r="406" spans="4:4" ht="15.75" customHeight="1" x14ac:dyDescent="0.25">
      <c r="D406" s="184"/>
    </row>
    <row r="407" spans="4:4" ht="15.75" customHeight="1" x14ac:dyDescent="0.25">
      <c r="D407" s="184"/>
    </row>
    <row r="408" spans="4:4" ht="15.75" customHeight="1" x14ac:dyDescent="0.25">
      <c r="D408" s="184"/>
    </row>
    <row r="409" spans="4:4" ht="15.75" customHeight="1" x14ac:dyDescent="0.25">
      <c r="D409" s="184"/>
    </row>
    <row r="410" spans="4:4" ht="15.75" customHeight="1" x14ac:dyDescent="0.25">
      <c r="D410" s="184"/>
    </row>
    <row r="411" spans="4:4" ht="15.75" customHeight="1" x14ac:dyDescent="0.25">
      <c r="D411" s="184"/>
    </row>
    <row r="412" spans="4:4" ht="15.75" customHeight="1" x14ac:dyDescent="0.25">
      <c r="D412" s="184"/>
    </row>
    <row r="413" spans="4:4" ht="15.75" customHeight="1" x14ac:dyDescent="0.25">
      <c r="D413" s="184"/>
    </row>
    <row r="414" spans="4:4" ht="15.75" customHeight="1" x14ac:dyDescent="0.25">
      <c r="D414" s="184"/>
    </row>
    <row r="415" spans="4:4" ht="15.75" customHeight="1" x14ac:dyDescent="0.25">
      <c r="D415" s="184"/>
    </row>
    <row r="416" spans="4:4" ht="15.75" customHeight="1" x14ac:dyDescent="0.25">
      <c r="D416" s="184"/>
    </row>
    <row r="417" spans="4:4" ht="15.75" customHeight="1" x14ac:dyDescent="0.25">
      <c r="D417" s="184"/>
    </row>
    <row r="418" spans="4:4" ht="15.75" customHeight="1" x14ac:dyDescent="0.25">
      <c r="D418" s="184"/>
    </row>
    <row r="419" spans="4:4" ht="15.75" customHeight="1" x14ac:dyDescent="0.25">
      <c r="D419" s="184"/>
    </row>
    <row r="420" spans="4:4" ht="15.75" customHeight="1" x14ac:dyDescent="0.25">
      <c r="D420" s="184"/>
    </row>
    <row r="421" spans="4:4" ht="15.75" customHeight="1" x14ac:dyDescent="0.25">
      <c r="D421" s="184"/>
    </row>
    <row r="422" spans="4:4" ht="15.75" customHeight="1" x14ac:dyDescent="0.25">
      <c r="D422" s="184"/>
    </row>
    <row r="423" spans="4:4" ht="15.75" customHeight="1" x14ac:dyDescent="0.25">
      <c r="D423" s="184"/>
    </row>
    <row r="424" spans="4:4" ht="15.75" customHeight="1" x14ac:dyDescent="0.25">
      <c r="D424" s="184"/>
    </row>
    <row r="425" spans="4:4" ht="15.75" customHeight="1" x14ac:dyDescent="0.25">
      <c r="D425" s="184"/>
    </row>
    <row r="426" spans="4:4" ht="15.75" customHeight="1" x14ac:dyDescent="0.25">
      <c r="D426" s="184"/>
    </row>
    <row r="427" spans="4:4" ht="15.75" customHeight="1" x14ac:dyDescent="0.25">
      <c r="D427" s="184"/>
    </row>
    <row r="428" spans="4:4" ht="15.75" customHeight="1" x14ac:dyDescent="0.25">
      <c r="D428" s="184"/>
    </row>
    <row r="429" spans="4:4" ht="15.75" customHeight="1" x14ac:dyDescent="0.25">
      <c r="D429" s="184"/>
    </row>
    <row r="430" spans="4:4" ht="15.75" customHeight="1" x14ac:dyDescent="0.25">
      <c r="D430" s="184"/>
    </row>
    <row r="431" spans="4:4" ht="15.75" customHeight="1" x14ac:dyDescent="0.25">
      <c r="D431" s="184"/>
    </row>
    <row r="432" spans="4:4" ht="15.75" customHeight="1" x14ac:dyDescent="0.25">
      <c r="D432" s="184"/>
    </row>
    <row r="433" spans="4:4" ht="15.75" customHeight="1" x14ac:dyDescent="0.25">
      <c r="D433" s="184"/>
    </row>
    <row r="434" spans="4:4" ht="15.75" customHeight="1" x14ac:dyDescent="0.25">
      <c r="D434" s="184"/>
    </row>
    <row r="435" spans="4:4" ht="15.75" customHeight="1" x14ac:dyDescent="0.25">
      <c r="D435" s="184"/>
    </row>
    <row r="436" spans="4:4" ht="15.75" customHeight="1" x14ac:dyDescent="0.25">
      <c r="D436" s="184"/>
    </row>
    <row r="437" spans="4:4" ht="15.75" customHeight="1" x14ac:dyDescent="0.25">
      <c r="D437" s="184"/>
    </row>
    <row r="438" spans="4:4" ht="15.75" customHeight="1" x14ac:dyDescent="0.25">
      <c r="D438" s="184"/>
    </row>
    <row r="439" spans="4:4" ht="15.75" customHeight="1" x14ac:dyDescent="0.25">
      <c r="D439" s="184"/>
    </row>
    <row r="440" spans="4:4" ht="15.75" customHeight="1" x14ac:dyDescent="0.25">
      <c r="D440" s="184"/>
    </row>
    <row r="441" spans="4:4" ht="15.75" customHeight="1" x14ac:dyDescent="0.25">
      <c r="D441" s="184"/>
    </row>
    <row r="442" spans="4:4" ht="15.75" customHeight="1" x14ac:dyDescent="0.25">
      <c r="D442" s="184"/>
    </row>
    <row r="443" spans="4:4" ht="15.75" customHeight="1" x14ac:dyDescent="0.25">
      <c r="D443" s="184"/>
    </row>
    <row r="444" spans="4:4" ht="15.75" customHeight="1" x14ac:dyDescent="0.25">
      <c r="D444" s="184"/>
    </row>
    <row r="445" spans="4:4" ht="15.75" customHeight="1" x14ac:dyDescent="0.25">
      <c r="D445" s="184"/>
    </row>
    <row r="446" spans="4:4" ht="15.75" customHeight="1" x14ac:dyDescent="0.25">
      <c r="D446" s="184"/>
    </row>
    <row r="447" spans="4:4" ht="15.75" customHeight="1" x14ac:dyDescent="0.25">
      <c r="D447" s="184"/>
    </row>
    <row r="448" spans="4:4" ht="15.75" customHeight="1" x14ac:dyDescent="0.25">
      <c r="D448" s="184"/>
    </row>
    <row r="449" spans="4:4" ht="15.75" customHeight="1" x14ac:dyDescent="0.25">
      <c r="D449" s="184"/>
    </row>
    <row r="450" spans="4:4" ht="15.75" customHeight="1" x14ac:dyDescent="0.25">
      <c r="D450" s="184"/>
    </row>
    <row r="451" spans="4:4" ht="15.75" customHeight="1" x14ac:dyDescent="0.25">
      <c r="D451" s="184"/>
    </row>
    <row r="452" spans="4:4" ht="15.75" customHeight="1" x14ac:dyDescent="0.25">
      <c r="D452" s="184"/>
    </row>
    <row r="453" spans="4:4" ht="15.75" customHeight="1" x14ac:dyDescent="0.25">
      <c r="D453" s="184"/>
    </row>
    <row r="454" spans="4:4" ht="15.75" customHeight="1" x14ac:dyDescent="0.25">
      <c r="D454" s="184"/>
    </row>
    <row r="455" spans="4:4" ht="15.75" customHeight="1" x14ac:dyDescent="0.25">
      <c r="D455" s="184"/>
    </row>
    <row r="456" spans="4:4" ht="15.75" customHeight="1" x14ac:dyDescent="0.25">
      <c r="D456" s="184"/>
    </row>
    <row r="457" spans="4:4" ht="15.75" customHeight="1" x14ac:dyDescent="0.25">
      <c r="D457" s="184"/>
    </row>
    <row r="458" spans="4:4" ht="15.75" customHeight="1" x14ac:dyDescent="0.25">
      <c r="D458" s="184"/>
    </row>
    <row r="459" spans="4:4" ht="15.75" customHeight="1" x14ac:dyDescent="0.25">
      <c r="D459" s="184"/>
    </row>
    <row r="460" spans="4:4" ht="15.75" customHeight="1" x14ac:dyDescent="0.25">
      <c r="D460" s="184"/>
    </row>
    <row r="461" spans="4:4" ht="15.75" customHeight="1" x14ac:dyDescent="0.25">
      <c r="D461" s="184"/>
    </row>
    <row r="462" spans="4:4" ht="15.75" customHeight="1" x14ac:dyDescent="0.25">
      <c r="D462" s="184"/>
    </row>
    <row r="463" spans="4:4" ht="15.75" customHeight="1" x14ac:dyDescent="0.25">
      <c r="D463" s="184"/>
    </row>
    <row r="464" spans="4:4" ht="15.75" customHeight="1" x14ac:dyDescent="0.25">
      <c r="D464" s="184"/>
    </row>
    <row r="465" spans="4:4" ht="15.75" customHeight="1" x14ac:dyDescent="0.25">
      <c r="D465" s="184"/>
    </row>
    <row r="466" spans="4:4" ht="15.75" customHeight="1" x14ac:dyDescent="0.25">
      <c r="D466" s="184"/>
    </row>
    <row r="467" spans="4:4" ht="15.75" customHeight="1" x14ac:dyDescent="0.25">
      <c r="D467" s="184"/>
    </row>
    <row r="468" spans="4:4" ht="15.75" customHeight="1" x14ac:dyDescent="0.25">
      <c r="D468" s="184"/>
    </row>
    <row r="469" spans="4:4" ht="15.75" customHeight="1" x14ac:dyDescent="0.25">
      <c r="D469" s="184"/>
    </row>
    <row r="470" spans="4:4" ht="15.75" customHeight="1" x14ac:dyDescent="0.25">
      <c r="D470" s="184"/>
    </row>
    <row r="471" spans="4:4" ht="15.75" customHeight="1" x14ac:dyDescent="0.25">
      <c r="D471" s="184"/>
    </row>
    <row r="472" spans="4:4" ht="15.75" customHeight="1" x14ac:dyDescent="0.25">
      <c r="D472" s="184"/>
    </row>
    <row r="473" spans="4:4" ht="15.75" customHeight="1" x14ac:dyDescent="0.25">
      <c r="D473" s="184"/>
    </row>
    <row r="474" spans="4:4" ht="15.75" customHeight="1" x14ac:dyDescent="0.25">
      <c r="D474" s="184"/>
    </row>
    <row r="475" spans="4:4" ht="15.75" customHeight="1" x14ac:dyDescent="0.25">
      <c r="D475" s="184"/>
    </row>
    <row r="476" spans="4:4" ht="15.75" customHeight="1" x14ac:dyDescent="0.25">
      <c r="D476" s="184"/>
    </row>
    <row r="477" spans="4:4" ht="15.75" customHeight="1" x14ac:dyDescent="0.25">
      <c r="D477" s="184"/>
    </row>
    <row r="478" spans="4:4" ht="15.75" customHeight="1" x14ac:dyDescent="0.25">
      <c r="D478" s="184"/>
    </row>
    <row r="479" spans="4:4" ht="15.75" customHeight="1" x14ac:dyDescent="0.25">
      <c r="D479" s="184"/>
    </row>
    <row r="480" spans="4:4" ht="15.75" customHeight="1" x14ac:dyDescent="0.25">
      <c r="D480" s="184"/>
    </row>
    <row r="481" spans="4:4" ht="15.75" customHeight="1" x14ac:dyDescent="0.25">
      <c r="D481" s="184"/>
    </row>
    <row r="482" spans="4:4" ht="15.75" customHeight="1" x14ac:dyDescent="0.25">
      <c r="D482" s="184"/>
    </row>
    <row r="483" spans="4:4" ht="15.75" customHeight="1" x14ac:dyDescent="0.25">
      <c r="D483" s="184"/>
    </row>
    <row r="484" spans="4:4" ht="15.75" customHeight="1" x14ac:dyDescent="0.25">
      <c r="D484" s="184"/>
    </row>
    <row r="485" spans="4:4" ht="15.75" customHeight="1" x14ac:dyDescent="0.25">
      <c r="D485" s="184"/>
    </row>
    <row r="486" spans="4:4" ht="15.75" customHeight="1" x14ac:dyDescent="0.25">
      <c r="D486" s="184"/>
    </row>
    <row r="487" spans="4:4" ht="15.75" customHeight="1" x14ac:dyDescent="0.25">
      <c r="D487" s="184"/>
    </row>
    <row r="488" spans="4:4" ht="15.75" customHeight="1" x14ac:dyDescent="0.25">
      <c r="D488" s="184"/>
    </row>
    <row r="489" spans="4:4" ht="15.75" customHeight="1" x14ac:dyDescent="0.25">
      <c r="D489" s="184"/>
    </row>
    <row r="490" spans="4:4" ht="15.75" customHeight="1" x14ac:dyDescent="0.25">
      <c r="D490" s="184"/>
    </row>
    <row r="491" spans="4:4" ht="15.75" customHeight="1" x14ac:dyDescent="0.25">
      <c r="D491" s="184"/>
    </row>
    <row r="492" spans="4:4" ht="15.75" customHeight="1" x14ac:dyDescent="0.25">
      <c r="D492" s="184"/>
    </row>
    <row r="493" spans="4:4" ht="15.75" customHeight="1" x14ac:dyDescent="0.25">
      <c r="D493" s="184"/>
    </row>
    <row r="494" spans="4:4" ht="15.75" customHeight="1" x14ac:dyDescent="0.25">
      <c r="D494" s="184"/>
    </row>
    <row r="495" spans="4:4" ht="15.75" customHeight="1" x14ac:dyDescent="0.25">
      <c r="D495" s="184"/>
    </row>
    <row r="496" spans="4:4" ht="15.75" customHeight="1" x14ac:dyDescent="0.25">
      <c r="D496" s="184"/>
    </row>
    <row r="497" spans="4:4" ht="15.75" customHeight="1" x14ac:dyDescent="0.25">
      <c r="D497" s="184"/>
    </row>
    <row r="498" spans="4:4" ht="15.75" customHeight="1" x14ac:dyDescent="0.25">
      <c r="D498" s="184"/>
    </row>
    <row r="499" spans="4:4" ht="15.75" customHeight="1" x14ac:dyDescent="0.25">
      <c r="D499" s="184"/>
    </row>
    <row r="500" spans="4:4" ht="15.75" customHeight="1" x14ac:dyDescent="0.25">
      <c r="D500" s="184"/>
    </row>
    <row r="501" spans="4:4" ht="15.75" customHeight="1" x14ac:dyDescent="0.25">
      <c r="D501" s="184"/>
    </row>
    <row r="502" spans="4:4" ht="15.75" customHeight="1" x14ac:dyDescent="0.25">
      <c r="D502" s="184"/>
    </row>
    <row r="503" spans="4:4" ht="15.75" customHeight="1" x14ac:dyDescent="0.25">
      <c r="D503" s="184"/>
    </row>
    <row r="504" spans="4:4" ht="15.75" customHeight="1" x14ac:dyDescent="0.25">
      <c r="D504" s="184"/>
    </row>
    <row r="505" spans="4:4" ht="15.75" customHeight="1" x14ac:dyDescent="0.25">
      <c r="D505" s="184"/>
    </row>
    <row r="506" spans="4:4" ht="15.75" customHeight="1" x14ac:dyDescent="0.25">
      <c r="D506" s="184"/>
    </row>
    <row r="507" spans="4:4" ht="15.75" customHeight="1" x14ac:dyDescent="0.25">
      <c r="D507" s="184"/>
    </row>
    <row r="508" spans="4:4" ht="15.75" customHeight="1" x14ac:dyDescent="0.25">
      <c r="D508" s="184"/>
    </row>
    <row r="509" spans="4:4" ht="15.75" customHeight="1" x14ac:dyDescent="0.25">
      <c r="D509" s="184"/>
    </row>
    <row r="510" spans="4:4" ht="15.75" customHeight="1" x14ac:dyDescent="0.25">
      <c r="D510" s="184"/>
    </row>
    <row r="511" spans="4:4" ht="15.75" customHeight="1" x14ac:dyDescent="0.25">
      <c r="D511" s="184"/>
    </row>
    <row r="512" spans="4:4" ht="15.75" customHeight="1" x14ac:dyDescent="0.25">
      <c r="D512" s="184"/>
    </row>
    <row r="513" spans="4:4" ht="15.75" customHeight="1" x14ac:dyDescent="0.25">
      <c r="D513" s="184"/>
    </row>
    <row r="514" spans="4:4" ht="15.75" customHeight="1" x14ac:dyDescent="0.25">
      <c r="D514" s="184"/>
    </row>
    <row r="515" spans="4:4" ht="15.75" customHeight="1" x14ac:dyDescent="0.25">
      <c r="D515" s="184"/>
    </row>
    <row r="516" spans="4:4" ht="15.75" customHeight="1" x14ac:dyDescent="0.25">
      <c r="D516" s="184"/>
    </row>
    <row r="517" spans="4:4" ht="15.75" customHeight="1" x14ac:dyDescent="0.25">
      <c r="D517" s="184"/>
    </row>
    <row r="518" spans="4:4" ht="15.75" customHeight="1" x14ac:dyDescent="0.25">
      <c r="D518" s="184"/>
    </row>
    <row r="519" spans="4:4" ht="15.75" customHeight="1" x14ac:dyDescent="0.25">
      <c r="D519" s="184"/>
    </row>
    <row r="520" spans="4:4" ht="15.75" customHeight="1" x14ac:dyDescent="0.25">
      <c r="D520" s="184"/>
    </row>
    <row r="521" spans="4:4" ht="15.75" customHeight="1" x14ac:dyDescent="0.25">
      <c r="D521" s="184"/>
    </row>
    <row r="522" spans="4:4" ht="15.75" customHeight="1" x14ac:dyDescent="0.25">
      <c r="D522" s="184"/>
    </row>
    <row r="523" spans="4:4" ht="15.75" customHeight="1" x14ac:dyDescent="0.25">
      <c r="D523" s="184"/>
    </row>
    <row r="524" spans="4:4" ht="15.75" customHeight="1" x14ac:dyDescent="0.25">
      <c r="D524" s="184"/>
    </row>
    <row r="525" spans="4:4" ht="15.75" customHeight="1" x14ac:dyDescent="0.25">
      <c r="D525" s="184"/>
    </row>
    <row r="526" spans="4:4" ht="15.75" customHeight="1" x14ac:dyDescent="0.25">
      <c r="D526" s="184"/>
    </row>
    <row r="527" spans="4:4" ht="15.75" customHeight="1" x14ac:dyDescent="0.25">
      <c r="D527" s="184"/>
    </row>
    <row r="528" spans="4:4" ht="15.75" customHeight="1" x14ac:dyDescent="0.25">
      <c r="D528" s="184"/>
    </row>
    <row r="529" spans="4:4" ht="15.75" customHeight="1" x14ac:dyDescent="0.25">
      <c r="D529" s="184"/>
    </row>
    <row r="530" spans="4:4" ht="15.75" customHeight="1" x14ac:dyDescent="0.25">
      <c r="D530" s="184"/>
    </row>
    <row r="531" spans="4:4" ht="15.75" customHeight="1" x14ac:dyDescent="0.25">
      <c r="D531" s="184"/>
    </row>
    <row r="532" spans="4:4" ht="15.75" customHeight="1" x14ac:dyDescent="0.25">
      <c r="D532" s="184"/>
    </row>
    <row r="533" spans="4:4" ht="15.75" customHeight="1" x14ac:dyDescent="0.25">
      <c r="D533" s="184"/>
    </row>
    <row r="534" spans="4:4" ht="15.75" customHeight="1" x14ac:dyDescent="0.25">
      <c r="D534" s="184"/>
    </row>
    <row r="535" spans="4:4" ht="15.75" customHeight="1" x14ac:dyDescent="0.25">
      <c r="D535" s="184"/>
    </row>
    <row r="536" spans="4:4" ht="15.75" customHeight="1" x14ac:dyDescent="0.25">
      <c r="D536" s="184"/>
    </row>
    <row r="537" spans="4:4" ht="15.75" customHeight="1" x14ac:dyDescent="0.25">
      <c r="D537" s="184"/>
    </row>
    <row r="538" spans="4:4" ht="15.75" customHeight="1" x14ac:dyDescent="0.25">
      <c r="D538" s="184"/>
    </row>
    <row r="539" spans="4:4" ht="15.75" customHeight="1" x14ac:dyDescent="0.25">
      <c r="D539" s="184"/>
    </row>
    <row r="540" spans="4:4" ht="15.75" customHeight="1" x14ac:dyDescent="0.25">
      <c r="D540" s="184"/>
    </row>
    <row r="541" spans="4:4" ht="15.75" customHeight="1" x14ac:dyDescent="0.25">
      <c r="D541" s="184"/>
    </row>
    <row r="542" spans="4:4" ht="15.75" customHeight="1" x14ac:dyDescent="0.25">
      <c r="D542" s="184"/>
    </row>
    <row r="543" spans="4:4" ht="15.75" customHeight="1" x14ac:dyDescent="0.25">
      <c r="D543" s="184"/>
    </row>
    <row r="544" spans="4:4" ht="15.75" customHeight="1" x14ac:dyDescent="0.25">
      <c r="D544" s="184"/>
    </row>
    <row r="545" spans="4:4" ht="15.75" customHeight="1" x14ac:dyDescent="0.25">
      <c r="D545" s="184"/>
    </row>
    <row r="546" spans="4:4" ht="15.75" customHeight="1" x14ac:dyDescent="0.25">
      <c r="D546" s="184"/>
    </row>
    <row r="547" spans="4:4" ht="15.75" customHeight="1" x14ac:dyDescent="0.25">
      <c r="D547" s="184"/>
    </row>
    <row r="548" spans="4:4" ht="15.75" customHeight="1" x14ac:dyDescent="0.25">
      <c r="D548" s="184"/>
    </row>
    <row r="549" spans="4:4" ht="15.75" customHeight="1" x14ac:dyDescent="0.25">
      <c r="D549" s="184"/>
    </row>
    <row r="550" spans="4:4" ht="15.75" customHeight="1" x14ac:dyDescent="0.25">
      <c r="D550" s="184"/>
    </row>
    <row r="551" spans="4:4" ht="15.75" customHeight="1" x14ac:dyDescent="0.25">
      <c r="D551" s="184"/>
    </row>
    <row r="552" spans="4:4" ht="15.75" customHeight="1" x14ac:dyDescent="0.25">
      <c r="D552" s="184"/>
    </row>
    <row r="553" spans="4:4" ht="15.75" customHeight="1" x14ac:dyDescent="0.25">
      <c r="D553" s="184"/>
    </row>
    <row r="554" spans="4:4" ht="15.75" customHeight="1" x14ac:dyDescent="0.25">
      <c r="D554" s="184"/>
    </row>
    <row r="555" spans="4:4" ht="15.75" customHeight="1" x14ac:dyDescent="0.25">
      <c r="D555" s="184"/>
    </row>
    <row r="556" spans="4:4" ht="15.75" customHeight="1" x14ac:dyDescent="0.25">
      <c r="D556" s="184"/>
    </row>
    <row r="557" spans="4:4" ht="15.75" customHeight="1" x14ac:dyDescent="0.25">
      <c r="D557" s="184"/>
    </row>
    <row r="558" spans="4:4" ht="15.75" customHeight="1" x14ac:dyDescent="0.25">
      <c r="D558" s="184"/>
    </row>
    <row r="559" spans="4:4" ht="15.75" customHeight="1" x14ac:dyDescent="0.25">
      <c r="D559" s="184"/>
    </row>
    <row r="560" spans="4:4" ht="15.75" customHeight="1" x14ac:dyDescent="0.25">
      <c r="D560" s="184"/>
    </row>
    <row r="561" spans="4:4" ht="15.75" customHeight="1" x14ac:dyDescent="0.25">
      <c r="D561" s="184"/>
    </row>
    <row r="562" spans="4:4" ht="15.75" customHeight="1" x14ac:dyDescent="0.25">
      <c r="D562" s="184"/>
    </row>
    <row r="563" spans="4:4" ht="15.75" customHeight="1" x14ac:dyDescent="0.25">
      <c r="D563" s="184"/>
    </row>
    <row r="564" spans="4:4" ht="15.75" customHeight="1" x14ac:dyDescent="0.25">
      <c r="D564" s="184"/>
    </row>
    <row r="565" spans="4:4" ht="15.75" customHeight="1" x14ac:dyDescent="0.25">
      <c r="D565" s="184"/>
    </row>
    <row r="566" spans="4:4" ht="15.75" customHeight="1" x14ac:dyDescent="0.25">
      <c r="D566" s="184"/>
    </row>
    <row r="567" spans="4:4" ht="15.75" customHeight="1" x14ac:dyDescent="0.25">
      <c r="D567" s="184"/>
    </row>
    <row r="568" spans="4:4" ht="15.75" customHeight="1" x14ac:dyDescent="0.25">
      <c r="D568" s="184"/>
    </row>
    <row r="569" spans="4:4" ht="15.75" customHeight="1" x14ac:dyDescent="0.25">
      <c r="D569" s="184"/>
    </row>
    <row r="570" spans="4:4" ht="15.75" customHeight="1" x14ac:dyDescent="0.25">
      <c r="D570" s="184"/>
    </row>
    <row r="571" spans="4:4" ht="15.75" customHeight="1" x14ac:dyDescent="0.25">
      <c r="D571" s="184"/>
    </row>
    <row r="572" spans="4:4" ht="15.75" customHeight="1" x14ac:dyDescent="0.25">
      <c r="D572" s="184"/>
    </row>
    <row r="573" spans="4:4" ht="15.75" customHeight="1" x14ac:dyDescent="0.25">
      <c r="D573" s="184"/>
    </row>
    <row r="574" spans="4:4" ht="15.75" customHeight="1" x14ac:dyDescent="0.25">
      <c r="D574" s="184"/>
    </row>
    <row r="575" spans="4:4" ht="15.75" customHeight="1" x14ac:dyDescent="0.25">
      <c r="D575" s="184"/>
    </row>
    <row r="576" spans="4:4" ht="15.75" customHeight="1" x14ac:dyDescent="0.25">
      <c r="D576" s="184"/>
    </row>
    <row r="577" spans="4:4" ht="15.75" customHeight="1" x14ac:dyDescent="0.25">
      <c r="D577" s="184"/>
    </row>
    <row r="578" spans="4:4" ht="15.75" customHeight="1" x14ac:dyDescent="0.25">
      <c r="D578" s="184"/>
    </row>
    <row r="579" spans="4:4" ht="15.75" customHeight="1" x14ac:dyDescent="0.25">
      <c r="D579" s="184"/>
    </row>
    <row r="580" spans="4:4" ht="15.75" customHeight="1" x14ac:dyDescent="0.25">
      <c r="D580" s="184"/>
    </row>
    <row r="581" spans="4:4" ht="15.75" customHeight="1" x14ac:dyDescent="0.25">
      <c r="D581" s="184"/>
    </row>
    <row r="582" spans="4:4" ht="15.75" customHeight="1" x14ac:dyDescent="0.25">
      <c r="D582" s="184"/>
    </row>
    <row r="583" spans="4:4" ht="15.75" customHeight="1" x14ac:dyDescent="0.25">
      <c r="D583" s="184"/>
    </row>
    <row r="584" spans="4:4" ht="15.75" customHeight="1" x14ac:dyDescent="0.25">
      <c r="D584" s="184"/>
    </row>
    <row r="585" spans="4:4" ht="15.75" customHeight="1" x14ac:dyDescent="0.25">
      <c r="D585" s="184"/>
    </row>
    <row r="586" spans="4:4" ht="15.75" customHeight="1" x14ac:dyDescent="0.25">
      <c r="D586" s="184"/>
    </row>
    <row r="587" spans="4:4" ht="15.75" customHeight="1" x14ac:dyDescent="0.25">
      <c r="D587" s="184"/>
    </row>
    <row r="588" spans="4:4" ht="15.75" customHeight="1" x14ac:dyDescent="0.25">
      <c r="D588" s="184"/>
    </row>
    <row r="589" spans="4:4" ht="15.75" customHeight="1" x14ac:dyDescent="0.25">
      <c r="D589" s="184"/>
    </row>
    <row r="590" spans="4:4" ht="15.75" customHeight="1" x14ac:dyDescent="0.25">
      <c r="D590" s="184"/>
    </row>
    <row r="591" spans="4:4" ht="15.75" customHeight="1" x14ac:dyDescent="0.25">
      <c r="D591" s="184"/>
    </row>
    <row r="592" spans="4:4" ht="15.75" customHeight="1" x14ac:dyDescent="0.25">
      <c r="D592" s="184"/>
    </row>
    <row r="593" spans="4:4" ht="15.75" customHeight="1" x14ac:dyDescent="0.25">
      <c r="D593" s="184"/>
    </row>
    <row r="594" spans="4:4" ht="15.75" customHeight="1" x14ac:dyDescent="0.25">
      <c r="D594" s="184"/>
    </row>
    <row r="595" spans="4:4" ht="15.75" customHeight="1" x14ac:dyDescent="0.25">
      <c r="D595" s="184"/>
    </row>
    <row r="596" spans="4:4" ht="15.75" customHeight="1" x14ac:dyDescent="0.25">
      <c r="D596" s="184"/>
    </row>
    <row r="597" spans="4:4" ht="15.75" customHeight="1" x14ac:dyDescent="0.25">
      <c r="D597" s="184"/>
    </row>
    <row r="598" spans="4:4" ht="15.75" customHeight="1" x14ac:dyDescent="0.25">
      <c r="D598" s="184"/>
    </row>
    <row r="599" spans="4:4" ht="15.75" customHeight="1" x14ac:dyDescent="0.25">
      <c r="D599" s="184"/>
    </row>
    <row r="600" spans="4:4" ht="15.75" customHeight="1" x14ac:dyDescent="0.25">
      <c r="D600" s="184"/>
    </row>
    <row r="601" spans="4:4" ht="15.75" customHeight="1" x14ac:dyDescent="0.25">
      <c r="D601" s="184"/>
    </row>
    <row r="602" spans="4:4" ht="15.75" customHeight="1" x14ac:dyDescent="0.25">
      <c r="D602" s="184"/>
    </row>
    <row r="603" spans="4:4" ht="15.75" customHeight="1" x14ac:dyDescent="0.25">
      <c r="D603" s="184"/>
    </row>
    <row r="604" spans="4:4" ht="15.75" customHeight="1" x14ac:dyDescent="0.25">
      <c r="D604" s="184"/>
    </row>
    <row r="605" spans="4:4" ht="15.75" customHeight="1" x14ac:dyDescent="0.25">
      <c r="D605" s="184"/>
    </row>
    <row r="606" spans="4:4" ht="15.75" customHeight="1" x14ac:dyDescent="0.25">
      <c r="D606" s="184"/>
    </row>
    <row r="607" spans="4:4" ht="15.75" customHeight="1" x14ac:dyDescent="0.25">
      <c r="D607" s="184"/>
    </row>
    <row r="608" spans="4:4" ht="15.75" customHeight="1" x14ac:dyDescent="0.25">
      <c r="D608" s="184"/>
    </row>
    <row r="609" spans="4:4" ht="15.75" customHeight="1" x14ac:dyDescent="0.25">
      <c r="D609" s="184"/>
    </row>
    <row r="610" spans="4:4" ht="15.75" customHeight="1" x14ac:dyDescent="0.25">
      <c r="D610" s="184"/>
    </row>
    <row r="611" spans="4:4" ht="15.75" customHeight="1" x14ac:dyDescent="0.25">
      <c r="D611" s="184"/>
    </row>
    <row r="612" spans="4:4" ht="15.75" customHeight="1" x14ac:dyDescent="0.25">
      <c r="D612" s="184"/>
    </row>
    <row r="613" spans="4:4" ht="15.75" customHeight="1" x14ac:dyDescent="0.25">
      <c r="D613" s="184"/>
    </row>
    <row r="614" spans="4:4" ht="15.75" customHeight="1" x14ac:dyDescent="0.25">
      <c r="D614" s="184"/>
    </row>
    <row r="615" spans="4:4" ht="15.75" customHeight="1" x14ac:dyDescent="0.25">
      <c r="D615" s="184"/>
    </row>
    <row r="616" spans="4:4" ht="15.75" customHeight="1" x14ac:dyDescent="0.25">
      <c r="D616" s="184"/>
    </row>
    <row r="617" spans="4:4" ht="15.75" customHeight="1" x14ac:dyDescent="0.25">
      <c r="D617" s="184"/>
    </row>
    <row r="618" spans="4:4" ht="15.75" customHeight="1" x14ac:dyDescent="0.25">
      <c r="D618" s="184"/>
    </row>
    <row r="619" spans="4:4" ht="15.75" customHeight="1" x14ac:dyDescent="0.25">
      <c r="D619" s="184"/>
    </row>
    <row r="620" spans="4:4" ht="15.75" customHeight="1" x14ac:dyDescent="0.25">
      <c r="D620" s="184"/>
    </row>
    <row r="621" spans="4:4" ht="15.75" customHeight="1" x14ac:dyDescent="0.25">
      <c r="D621" s="184"/>
    </row>
    <row r="622" spans="4:4" ht="15.75" customHeight="1" x14ac:dyDescent="0.25">
      <c r="D622" s="184"/>
    </row>
    <row r="623" spans="4:4" ht="15.75" customHeight="1" x14ac:dyDescent="0.25">
      <c r="D623" s="184"/>
    </row>
    <row r="624" spans="4:4" ht="15.75" customHeight="1" x14ac:dyDescent="0.25">
      <c r="D624" s="184"/>
    </row>
    <row r="625" spans="4:4" ht="15.75" customHeight="1" x14ac:dyDescent="0.25">
      <c r="D625" s="184"/>
    </row>
    <row r="626" spans="4:4" ht="15.75" customHeight="1" x14ac:dyDescent="0.25">
      <c r="D626" s="184"/>
    </row>
    <row r="627" spans="4:4" ht="15.75" customHeight="1" x14ac:dyDescent="0.25">
      <c r="D627" s="184"/>
    </row>
    <row r="628" spans="4:4" ht="15.75" customHeight="1" x14ac:dyDescent="0.25">
      <c r="D628" s="184"/>
    </row>
    <row r="629" spans="4:4" ht="15.75" customHeight="1" x14ac:dyDescent="0.25">
      <c r="D629" s="184"/>
    </row>
    <row r="630" spans="4:4" ht="15.75" customHeight="1" x14ac:dyDescent="0.25">
      <c r="D630" s="184"/>
    </row>
    <row r="631" spans="4:4" ht="15.75" customHeight="1" x14ac:dyDescent="0.25">
      <c r="D631" s="184"/>
    </row>
    <row r="632" spans="4:4" ht="15.75" customHeight="1" x14ac:dyDescent="0.25">
      <c r="D632" s="184"/>
    </row>
    <row r="633" spans="4:4" ht="15.75" customHeight="1" x14ac:dyDescent="0.25">
      <c r="D633" s="184"/>
    </row>
    <row r="634" spans="4:4" ht="15.75" customHeight="1" x14ac:dyDescent="0.25">
      <c r="D634" s="184"/>
    </row>
    <row r="635" spans="4:4" ht="15.75" customHeight="1" x14ac:dyDescent="0.25">
      <c r="D635" s="184"/>
    </row>
    <row r="636" spans="4:4" ht="15.75" customHeight="1" x14ac:dyDescent="0.25">
      <c r="D636" s="184"/>
    </row>
    <row r="637" spans="4:4" ht="15.75" customHeight="1" x14ac:dyDescent="0.25">
      <c r="D637" s="184"/>
    </row>
    <row r="638" spans="4:4" ht="15.75" customHeight="1" x14ac:dyDescent="0.25">
      <c r="D638" s="184"/>
    </row>
    <row r="639" spans="4:4" ht="15.75" customHeight="1" x14ac:dyDescent="0.25">
      <c r="D639" s="184"/>
    </row>
    <row r="640" spans="4:4" ht="15.75" customHeight="1" x14ac:dyDescent="0.25">
      <c r="D640" s="184"/>
    </row>
    <row r="641" spans="4:4" ht="15.75" customHeight="1" x14ac:dyDescent="0.25">
      <c r="D641" s="184"/>
    </row>
    <row r="642" spans="4:4" ht="15.75" customHeight="1" x14ac:dyDescent="0.25">
      <c r="D642" s="184"/>
    </row>
    <row r="643" spans="4:4" ht="15.75" customHeight="1" x14ac:dyDescent="0.25">
      <c r="D643" s="184"/>
    </row>
    <row r="644" spans="4:4" ht="15.75" customHeight="1" x14ac:dyDescent="0.25">
      <c r="D644" s="184"/>
    </row>
    <row r="645" spans="4:4" ht="15.75" customHeight="1" x14ac:dyDescent="0.25">
      <c r="D645" s="184"/>
    </row>
    <row r="646" spans="4:4" ht="15.75" customHeight="1" x14ac:dyDescent="0.25">
      <c r="D646" s="184"/>
    </row>
    <row r="647" spans="4:4" ht="15.75" customHeight="1" x14ac:dyDescent="0.25">
      <c r="D647" s="184"/>
    </row>
    <row r="648" spans="4:4" ht="15.75" customHeight="1" x14ac:dyDescent="0.25">
      <c r="D648" s="184"/>
    </row>
    <row r="649" spans="4:4" ht="15.75" customHeight="1" x14ac:dyDescent="0.25">
      <c r="D649" s="184"/>
    </row>
    <row r="650" spans="4:4" ht="15.75" customHeight="1" x14ac:dyDescent="0.25">
      <c r="D650" s="184"/>
    </row>
    <row r="651" spans="4:4" ht="15.75" customHeight="1" x14ac:dyDescent="0.25">
      <c r="D651" s="184"/>
    </row>
    <row r="652" spans="4:4" ht="15.75" customHeight="1" x14ac:dyDescent="0.25">
      <c r="D652" s="184"/>
    </row>
    <row r="653" spans="4:4" ht="15.75" customHeight="1" x14ac:dyDescent="0.25">
      <c r="D653" s="184"/>
    </row>
    <row r="654" spans="4:4" ht="15.75" customHeight="1" x14ac:dyDescent="0.25">
      <c r="D654" s="184"/>
    </row>
    <row r="655" spans="4:4" ht="15.75" customHeight="1" x14ac:dyDescent="0.25">
      <c r="D655" s="184"/>
    </row>
    <row r="656" spans="4:4" ht="15.75" customHeight="1" x14ac:dyDescent="0.25">
      <c r="D656" s="184"/>
    </row>
    <row r="657" spans="4:4" ht="15.75" customHeight="1" x14ac:dyDescent="0.25">
      <c r="D657" s="184"/>
    </row>
    <row r="658" spans="4:4" ht="15.75" customHeight="1" x14ac:dyDescent="0.25">
      <c r="D658" s="184"/>
    </row>
    <row r="659" spans="4:4" ht="15.75" customHeight="1" x14ac:dyDescent="0.25">
      <c r="D659" s="184"/>
    </row>
    <row r="660" spans="4:4" ht="15.75" customHeight="1" x14ac:dyDescent="0.25">
      <c r="D660" s="184"/>
    </row>
    <row r="661" spans="4:4" ht="15.75" customHeight="1" x14ac:dyDescent="0.25">
      <c r="D661" s="184"/>
    </row>
    <row r="662" spans="4:4" ht="15.75" customHeight="1" x14ac:dyDescent="0.25">
      <c r="D662" s="184"/>
    </row>
    <row r="663" spans="4:4" ht="15.75" customHeight="1" x14ac:dyDescent="0.25">
      <c r="D663" s="184"/>
    </row>
    <row r="664" spans="4:4" ht="15.75" customHeight="1" x14ac:dyDescent="0.25">
      <c r="D664" s="184"/>
    </row>
    <row r="665" spans="4:4" ht="15.75" customHeight="1" x14ac:dyDescent="0.25">
      <c r="D665" s="184"/>
    </row>
    <row r="666" spans="4:4" ht="15.75" customHeight="1" x14ac:dyDescent="0.25">
      <c r="D666" s="184"/>
    </row>
    <row r="667" spans="4:4" ht="15.75" customHeight="1" x14ac:dyDescent="0.25">
      <c r="D667" s="184"/>
    </row>
    <row r="668" spans="4:4" ht="15.75" customHeight="1" x14ac:dyDescent="0.25">
      <c r="D668" s="184"/>
    </row>
    <row r="669" spans="4:4" ht="15.75" customHeight="1" x14ac:dyDescent="0.25">
      <c r="D669" s="184"/>
    </row>
    <row r="670" spans="4:4" ht="15.75" customHeight="1" x14ac:dyDescent="0.25">
      <c r="D670" s="184"/>
    </row>
    <row r="671" spans="4:4" ht="15.75" customHeight="1" x14ac:dyDescent="0.25">
      <c r="D671" s="184"/>
    </row>
    <row r="672" spans="4:4" ht="15.75" customHeight="1" x14ac:dyDescent="0.25">
      <c r="D672" s="184"/>
    </row>
    <row r="673" spans="4:4" ht="15.75" customHeight="1" x14ac:dyDescent="0.25">
      <c r="D673" s="184"/>
    </row>
    <row r="674" spans="4:4" ht="15.75" customHeight="1" x14ac:dyDescent="0.25">
      <c r="D674" s="184"/>
    </row>
    <row r="675" spans="4:4" ht="15.75" customHeight="1" x14ac:dyDescent="0.25">
      <c r="D675" s="184"/>
    </row>
    <row r="676" spans="4:4" ht="15.75" customHeight="1" x14ac:dyDescent="0.25">
      <c r="D676" s="184"/>
    </row>
    <row r="677" spans="4:4" ht="15.75" customHeight="1" x14ac:dyDescent="0.25">
      <c r="D677" s="184"/>
    </row>
    <row r="678" spans="4:4" ht="15.75" customHeight="1" x14ac:dyDescent="0.25">
      <c r="D678" s="184"/>
    </row>
    <row r="679" spans="4:4" ht="15.75" customHeight="1" x14ac:dyDescent="0.25">
      <c r="D679" s="184"/>
    </row>
    <row r="680" spans="4:4" ht="15.75" customHeight="1" x14ac:dyDescent="0.25">
      <c r="D680" s="184"/>
    </row>
    <row r="681" spans="4:4" ht="15.75" customHeight="1" x14ac:dyDescent="0.25">
      <c r="D681" s="184"/>
    </row>
    <row r="682" spans="4:4" ht="15.75" customHeight="1" x14ac:dyDescent="0.25">
      <c r="D682" s="184"/>
    </row>
    <row r="683" spans="4:4" ht="15.75" customHeight="1" x14ac:dyDescent="0.25">
      <c r="D683" s="184"/>
    </row>
    <row r="684" spans="4:4" ht="15.75" customHeight="1" x14ac:dyDescent="0.25">
      <c r="D684" s="184"/>
    </row>
    <row r="685" spans="4:4" ht="15.75" customHeight="1" x14ac:dyDescent="0.25">
      <c r="D685" s="184"/>
    </row>
    <row r="686" spans="4:4" ht="15.75" customHeight="1" x14ac:dyDescent="0.25">
      <c r="D686" s="184"/>
    </row>
    <row r="687" spans="4:4" ht="15.75" customHeight="1" x14ac:dyDescent="0.25">
      <c r="D687" s="184"/>
    </row>
    <row r="688" spans="4:4" ht="15.75" customHeight="1" x14ac:dyDescent="0.25">
      <c r="D688" s="184"/>
    </row>
    <row r="689" spans="4:4" ht="15.75" customHeight="1" x14ac:dyDescent="0.25">
      <c r="D689" s="184"/>
    </row>
    <row r="690" spans="4:4" ht="15.75" customHeight="1" x14ac:dyDescent="0.25">
      <c r="D690" s="184"/>
    </row>
    <row r="691" spans="4:4" ht="15.75" customHeight="1" x14ac:dyDescent="0.25">
      <c r="D691" s="184"/>
    </row>
    <row r="692" spans="4:4" ht="15.75" customHeight="1" x14ac:dyDescent="0.25">
      <c r="D692" s="184"/>
    </row>
    <row r="693" spans="4:4" ht="15.75" customHeight="1" x14ac:dyDescent="0.25">
      <c r="D693" s="184"/>
    </row>
    <row r="694" spans="4:4" ht="15.75" customHeight="1" x14ac:dyDescent="0.25">
      <c r="D694" s="184"/>
    </row>
    <row r="695" spans="4:4" ht="15.75" customHeight="1" x14ac:dyDescent="0.25">
      <c r="D695" s="184"/>
    </row>
    <row r="696" spans="4:4" ht="15.75" customHeight="1" x14ac:dyDescent="0.25">
      <c r="D696" s="184"/>
    </row>
    <row r="697" spans="4:4" ht="15.75" customHeight="1" x14ac:dyDescent="0.25">
      <c r="D697" s="184"/>
    </row>
    <row r="698" spans="4:4" ht="15.75" customHeight="1" x14ac:dyDescent="0.25">
      <c r="D698" s="184"/>
    </row>
    <row r="699" spans="4:4" ht="15.75" customHeight="1" x14ac:dyDescent="0.25">
      <c r="D699" s="184"/>
    </row>
    <row r="700" spans="4:4" ht="15.75" customHeight="1" x14ac:dyDescent="0.25">
      <c r="D700" s="184"/>
    </row>
    <row r="701" spans="4:4" ht="15.75" customHeight="1" x14ac:dyDescent="0.25">
      <c r="D701" s="184"/>
    </row>
    <row r="702" spans="4:4" ht="15.75" customHeight="1" x14ac:dyDescent="0.25">
      <c r="D702" s="184"/>
    </row>
    <row r="703" spans="4:4" ht="15.75" customHeight="1" x14ac:dyDescent="0.25">
      <c r="D703" s="184"/>
    </row>
    <row r="704" spans="4:4" ht="15.75" customHeight="1" x14ac:dyDescent="0.25">
      <c r="D704" s="184"/>
    </row>
    <row r="705" spans="4:4" ht="15.75" customHeight="1" x14ac:dyDescent="0.25">
      <c r="D705" s="184"/>
    </row>
    <row r="706" spans="4:4" ht="15.75" customHeight="1" x14ac:dyDescent="0.25">
      <c r="D706" s="184"/>
    </row>
    <row r="707" spans="4:4" ht="15.75" customHeight="1" x14ac:dyDescent="0.25">
      <c r="D707" s="184"/>
    </row>
    <row r="708" spans="4:4" ht="15.75" customHeight="1" x14ac:dyDescent="0.25">
      <c r="D708" s="184"/>
    </row>
    <row r="709" spans="4:4" ht="15.75" customHeight="1" x14ac:dyDescent="0.25">
      <c r="D709" s="184"/>
    </row>
    <row r="710" spans="4:4" ht="15.75" customHeight="1" x14ac:dyDescent="0.25">
      <c r="D710" s="184"/>
    </row>
    <row r="711" spans="4:4" ht="15.75" customHeight="1" x14ac:dyDescent="0.25">
      <c r="D711" s="184"/>
    </row>
    <row r="712" spans="4:4" ht="15.75" customHeight="1" x14ac:dyDescent="0.25">
      <c r="D712" s="184"/>
    </row>
    <row r="713" spans="4:4" ht="15.75" customHeight="1" x14ac:dyDescent="0.25">
      <c r="D713" s="184"/>
    </row>
    <row r="714" spans="4:4" ht="15.75" customHeight="1" x14ac:dyDescent="0.25">
      <c r="D714" s="184"/>
    </row>
    <row r="715" spans="4:4" ht="15.75" customHeight="1" x14ac:dyDescent="0.25">
      <c r="D715" s="184"/>
    </row>
    <row r="716" spans="4:4" ht="15.75" customHeight="1" x14ac:dyDescent="0.25">
      <c r="D716" s="184"/>
    </row>
    <row r="717" spans="4:4" ht="15.75" customHeight="1" x14ac:dyDescent="0.25">
      <c r="D717" s="184"/>
    </row>
    <row r="718" spans="4:4" ht="15.75" customHeight="1" x14ac:dyDescent="0.25">
      <c r="D718" s="184"/>
    </row>
    <row r="719" spans="4:4" ht="15.75" customHeight="1" x14ac:dyDescent="0.25">
      <c r="D719" s="184"/>
    </row>
    <row r="720" spans="4:4" ht="15.75" customHeight="1" x14ac:dyDescent="0.25">
      <c r="D720" s="184"/>
    </row>
    <row r="721" spans="4:4" ht="15.75" customHeight="1" x14ac:dyDescent="0.25">
      <c r="D721" s="184"/>
    </row>
    <row r="722" spans="4:4" ht="15.75" customHeight="1" x14ac:dyDescent="0.25">
      <c r="D722" s="184"/>
    </row>
    <row r="723" spans="4:4" ht="15.75" customHeight="1" x14ac:dyDescent="0.25">
      <c r="D723" s="184"/>
    </row>
    <row r="724" spans="4:4" ht="15.75" customHeight="1" x14ac:dyDescent="0.25">
      <c r="D724" s="184"/>
    </row>
    <row r="725" spans="4:4" ht="15.75" customHeight="1" x14ac:dyDescent="0.25">
      <c r="D725" s="184"/>
    </row>
    <row r="726" spans="4:4" ht="15.75" customHeight="1" x14ac:dyDescent="0.25">
      <c r="D726" s="184"/>
    </row>
    <row r="727" spans="4:4" ht="15.75" customHeight="1" x14ac:dyDescent="0.25">
      <c r="D727" s="184"/>
    </row>
    <row r="728" spans="4:4" ht="15.75" customHeight="1" x14ac:dyDescent="0.25">
      <c r="D728" s="184"/>
    </row>
    <row r="729" spans="4:4" ht="15.75" customHeight="1" x14ac:dyDescent="0.25">
      <c r="D729" s="184"/>
    </row>
    <row r="730" spans="4:4" ht="15.75" customHeight="1" x14ac:dyDescent="0.25">
      <c r="D730" s="184"/>
    </row>
    <row r="731" spans="4:4" ht="15.75" customHeight="1" x14ac:dyDescent="0.25">
      <c r="D731" s="184"/>
    </row>
    <row r="732" spans="4:4" ht="15.75" customHeight="1" x14ac:dyDescent="0.25">
      <c r="D732" s="184"/>
    </row>
    <row r="733" spans="4:4" ht="15.75" customHeight="1" x14ac:dyDescent="0.25">
      <c r="D733" s="184"/>
    </row>
    <row r="734" spans="4:4" ht="15.75" customHeight="1" x14ac:dyDescent="0.25">
      <c r="D734" s="184"/>
    </row>
    <row r="735" spans="4:4" ht="15.75" customHeight="1" x14ac:dyDescent="0.25">
      <c r="D735" s="184"/>
    </row>
    <row r="736" spans="4:4" ht="15.75" customHeight="1" x14ac:dyDescent="0.25">
      <c r="D736" s="184"/>
    </row>
    <row r="737" spans="4:4" ht="15.75" customHeight="1" x14ac:dyDescent="0.25">
      <c r="D737" s="184"/>
    </row>
    <row r="738" spans="4:4" ht="15.75" customHeight="1" x14ac:dyDescent="0.25">
      <c r="D738" s="184"/>
    </row>
    <row r="739" spans="4:4" ht="15.75" customHeight="1" x14ac:dyDescent="0.25">
      <c r="D739" s="184"/>
    </row>
    <row r="740" spans="4:4" ht="15.75" customHeight="1" x14ac:dyDescent="0.25">
      <c r="D740" s="184"/>
    </row>
    <row r="741" spans="4:4" ht="15.75" customHeight="1" x14ac:dyDescent="0.25">
      <c r="D741" s="184"/>
    </row>
    <row r="742" spans="4:4" ht="15.75" customHeight="1" x14ac:dyDescent="0.25">
      <c r="D742" s="184"/>
    </row>
    <row r="743" spans="4:4" ht="15.75" customHeight="1" x14ac:dyDescent="0.25">
      <c r="D743" s="184"/>
    </row>
    <row r="744" spans="4:4" ht="15.75" customHeight="1" x14ac:dyDescent="0.25">
      <c r="D744" s="184"/>
    </row>
    <row r="745" spans="4:4" ht="15.75" customHeight="1" x14ac:dyDescent="0.25">
      <c r="D745" s="184"/>
    </row>
    <row r="746" spans="4:4" ht="15.75" customHeight="1" x14ac:dyDescent="0.25">
      <c r="D746" s="184"/>
    </row>
    <row r="747" spans="4:4" ht="15.75" customHeight="1" x14ac:dyDescent="0.25">
      <c r="D747" s="184"/>
    </row>
    <row r="748" spans="4:4" ht="15.75" customHeight="1" x14ac:dyDescent="0.25">
      <c r="D748" s="184"/>
    </row>
    <row r="749" spans="4:4" ht="15.75" customHeight="1" x14ac:dyDescent="0.25">
      <c r="D749" s="184"/>
    </row>
    <row r="750" spans="4:4" ht="15.75" customHeight="1" x14ac:dyDescent="0.25">
      <c r="D750" s="184"/>
    </row>
    <row r="751" spans="4:4" ht="15.75" customHeight="1" x14ac:dyDescent="0.25">
      <c r="D751" s="184"/>
    </row>
    <row r="752" spans="4:4" ht="15.75" customHeight="1" x14ac:dyDescent="0.25">
      <c r="D752" s="184"/>
    </row>
    <row r="753" spans="4:4" ht="15.75" customHeight="1" x14ac:dyDescent="0.25">
      <c r="D753" s="184"/>
    </row>
    <row r="754" spans="4:4" ht="15.75" customHeight="1" x14ac:dyDescent="0.25">
      <c r="D754" s="184"/>
    </row>
    <row r="755" spans="4:4" ht="15.75" customHeight="1" x14ac:dyDescent="0.25">
      <c r="D755" s="184"/>
    </row>
    <row r="756" spans="4:4" ht="15.75" customHeight="1" x14ac:dyDescent="0.25">
      <c r="D756" s="184"/>
    </row>
    <row r="757" spans="4:4" ht="15.75" customHeight="1" x14ac:dyDescent="0.25">
      <c r="D757" s="184"/>
    </row>
    <row r="758" spans="4:4" ht="15.75" customHeight="1" x14ac:dyDescent="0.25">
      <c r="D758" s="184"/>
    </row>
    <row r="759" spans="4:4" ht="15.75" customHeight="1" x14ac:dyDescent="0.25">
      <c r="D759" s="184"/>
    </row>
    <row r="760" spans="4:4" ht="15.75" customHeight="1" x14ac:dyDescent="0.25">
      <c r="D760" s="184"/>
    </row>
    <row r="761" spans="4:4" ht="15.75" customHeight="1" x14ac:dyDescent="0.25">
      <c r="D761" s="184"/>
    </row>
    <row r="762" spans="4:4" ht="15.75" customHeight="1" x14ac:dyDescent="0.25">
      <c r="D762" s="184"/>
    </row>
    <row r="763" spans="4:4" ht="15.75" customHeight="1" x14ac:dyDescent="0.25">
      <c r="D763" s="184"/>
    </row>
    <row r="764" spans="4:4" ht="15.75" customHeight="1" x14ac:dyDescent="0.25">
      <c r="D764" s="184"/>
    </row>
    <row r="765" spans="4:4" ht="15.75" customHeight="1" x14ac:dyDescent="0.25">
      <c r="D765" s="184"/>
    </row>
    <row r="766" spans="4:4" ht="15.75" customHeight="1" x14ac:dyDescent="0.25">
      <c r="D766" s="184"/>
    </row>
    <row r="767" spans="4:4" ht="15.75" customHeight="1" x14ac:dyDescent="0.25">
      <c r="D767" s="184"/>
    </row>
    <row r="768" spans="4:4" ht="15.75" customHeight="1" x14ac:dyDescent="0.25">
      <c r="D768" s="184"/>
    </row>
    <row r="769" spans="4:4" ht="15.75" customHeight="1" x14ac:dyDescent="0.25">
      <c r="D769" s="184"/>
    </row>
    <row r="770" spans="4:4" ht="15.75" customHeight="1" x14ac:dyDescent="0.25">
      <c r="D770" s="184"/>
    </row>
    <row r="771" spans="4:4" ht="15.75" customHeight="1" x14ac:dyDescent="0.25">
      <c r="D771" s="184"/>
    </row>
    <row r="772" spans="4:4" ht="15.75" customHeight="1" x14ac:dyDescent="0.25">
      <c r="D772" s="184"/>
    </row>
    <row r="773" spans="4:4" ht="15.75" customHeight="1" x14ac:dyDescent="0.25">
      <c r="D773" s="184"/>
    </row>
    <row r="774" spans="4:4" ht="15.75" customHeight="1" x14ac:dyDescent="0.25">
      <c r="D774" s="184"/>
    </row>
    <row r="775" spans="4:4" ht="15.75" customHeight="1" x14ac:dyDescent="0.25">
      <c r="D775" s="184"/>
    </row>
    <row r="776" spans="4:4" ht="15.75" customHeight="1" x14ac:dyDescent="0.25">
      <c r="D776" s="184"/>
    </row>
    <row r="777" spans="4:4" ht="15.75" customHeight="1" x14ac:dyDescent="0.25">
      <c r="D777" s="184"/>
    </row>
    <row r="778" spans="4:4" ht="15.75" customHeight="1" x14ac:dyDescent="0.25">
      <c r="D778" s="184"/>
    </row>
    <row r="779" spans="4:4" ht="15.75" customHeight="1" x14ac:dyDescent="0.25">
      <c r="D779" s="184"/>
    </row>
    <row r="780" spans="4:4" ht="15.75" customHeight="1" x14ac:dyDescent="0.25">
      <c r="D780" s="184"/>
    </row>
    <row r="781" spans="4:4" ht="15.75" customHeight="1" x14ac:dyDescent="0.25">
      <c r="D781" s="184"/>
    </row>
    <row r="782" spans="4:4" ht="15.75" customHeight="1" x14ac:dyDescent="0.25">
      <c r="D782" s="184"/>
    </row>
    <row r="783" spans="4:4" ht="15.75" customHeight="1" x14ac:dyDescent="0.25">
      <c r="D783" s="184"/>
    </row>
    <row r="784" spans="4:4" ht="15.75" customHeight="1" x14ac:dyDescent="0.25">
      <c r="D784" s="184"/>
    </row>
    <row r="785" spans="4:4" ht="15.75" customHeight="1" x14ac:dyDescent="0.25">
      <c r="D785" s="184"/>
    </row>
    <row r="786" spans="4:4" ht="15.75" customHeight="1" x14ac:dyDescent="0.25">
      <c r="D786" s="184"/>
    </row>
    <row r="787" spans="4:4" ht="15.75" customHeight="1" x14ac:dyDescent="0.25">
      <c r="D787" s="184"/>
    </row>
    <row r="788" spans="4:4" ht="15.75" customHeight="1" x14ac:dyDescent="0.25">
      <c r="D788" s="184"/>
    </row>
    <row r="789" spans="4:4" ht="15.75" customHeight="1" x14ac:dyDescent="0.25">
      <c r="D789" s="184"/>
    </row>
    <row r="790" spans="4:4" ht="15.75" customHeight="1" x14ac:dyDescent="0.25">
      <c r="D790" s="184"/>
    </row>
    <row r="791" spans="4:4" ht="15.75" customHeight="1" x14ac:dyDescent="0.25">
      <c r="D791" s="184"/>
    </row>
    <row r="792" spans="4:4" ht="15.75" customHeight="1" x14ac:dyDescent="0.25">
      <c r="D792" s="184"/>
    </row>
    <row r="793" spans="4:4" ht="15.75" customHeight="1" x14ac:dyDescent="0.25">
      <c r="D793" s="184"/>
    </row>
    <row r="794" spans="4:4" ht="15.75" customHeight="1" x14ac:dyDescent="0.25">
      <c r="D794" s="184"/>
    </row>
    <row r="795" spans="4:4" ht="15.75" customHeight="1" x14ac:dyDescent="0.25">
      <c r="D795" s="184"/>
    </row>
    <row r="796" spans="4:4" ht="15.75" customHeight="1" x14ac:dyDescent="0.25">
      <c r="D796" s="184"/>
    </row>
    <row r="797" spans="4:4" ht="15.75" customHeight="1" x14ac:dyDescent="0.25">
      <c r="D797" s="184"/>
    </row>
    <row r="798" spans="4:4" ht="15.75" customHeight="1" x14ac:dyDescent="0.25">
      <c r="D798" s="184"/>
    </row>
    <row r="799" spans="4:4" ht="15.75" customHeight="1" x14ac:dyDescent="0.25">
      <c r="D799" s="184"/>
    </row>
    <row r="800" spans="4:4" ht="15.75" customHeight="1" x14ac:dyDescent="0.25">
      <c r="D800" s="184"/>
    </row>
    <row r="801" spans="4:4" ht="15.75" customHeight="1" x14ac:dyDescent="0.25">
      <c r="D801" s="184"/>
    </row>
    <row r="802" spans="4:4" ht="15.75" customHeight="1" x14ac:dyDescent="0.25">
      <c r="D802" s="184"/>
    </row>
    <row r="803" spans="4:4" ht="15.75" customHeight="1" x14ac:dyDescent="0.25">
      <c r="D803" s="184"/>
    </row>
    <row r="804" spans="4:4" ht="15.75" customHeight="1" x14ac:dyDescent="0.25">
      <c r="D804" s="184"/>
    </row>
    <row r="805" spans="4:4" ht="15.75" customHeight="1" x14ac:dyDescent="0.25">
      <c r="D805" s="184"/>
    </row>
    <row r="806" spans="4:4" ht="15.75" customHeight="1" x14ac:dyDescent="0.25">
      <c r="D806" s="184"/>
    </row>
    <row r="807" spans="4:4" ht="15.75" customHeight="1" x14ac:dyDescent="0.25">
      <c r="D807" s="184"/>
    </row>
    <row r="808" spans="4:4" ht="15.75" customHeight="1" x14ac:dyDescent="0.25">
      <c r="D808" s="184"/>
    </row>
    <row r="809" spans="4:4" ht="15.75" customHeight="1" x14ac:dyDescent="0.25">
      <c r="D809" s="184"/>
    </row>
    <row r="810" spans="4:4" ht="15.75" customHeight="1" x14ac:dyDescent="0.25">
      <c r="D810" s="184"/>
    </row>
    <row r="811" spans="4:4" ht="15.75" customHeight="1" x14ac:dyDescent="0.25">
      <c r="D811" s="184"/>
    </row>
    <row r="812" spans="4:4" ht="15.75" customHeight="1" x14ac:dyDescent="0.25">
      <c r="D812" s="184"/>
    </row>
    <row r="813" spans="4:4" ht="15.75" customHeight="1" x14ac:dyDescent="0.25">
      <c r="D813" s="184"/>
    </row>
    <row r="814" spans="4:4" ht="15.75" customHeight="1" x14ac:dyDescent="0.25">
      <c r="D814" s="184"/>
    </row>
    <row r="815" spans="4:4" ht="15.75" customHeight="1" x14ac:dyDescent="0.25">
      <c r="D815" s="184"/>
    </row>
    <row r="816" spans="4:4" ht="15.75" customHeight="1" x14ac:dyDescent="0.25">
      <c r="D816" s="184"/>
    </row>
    <row r="817" spans="4:4" ht="15.75" customHeight="1" x14ac:dyDescent="0.25">
      <c r="D817" s="184"/>
    </row>
    <row r="818" spans="4:4" ht="15.75" customHeight="1" x14ac:dyDescent="0.25">
      <c r="D818" s="184"/>
    </row>
    <row r="819" spans="4:4" ht="15.75" customHeight="1" x14ac:dyDescent="0.25">
      <c r="D819" s="184"/>
    </row>
    <row r="820" spans="4:4" ht="15.75" customHeight="1" x14ac:dyDescent="0.25">
      <c r="D820" s="184"/>
    </row>
    <row r="821" spans="4:4" ht="15.75" customHeight="1" x14ac:dyDescent="0.25">
      <c r="D821" s="184"/>
    </row>
    <row r="822" spans="4:4" ht="15.75" customHeight="1" x14ac:dyDescent="0.25">
      <c r="D822" s="184"/>
    </row>
    <row r="823" spans="4:4" ht="15.75" customHeight="1" x14ac:dyDescent="0.25">
      <c r="D823" s="184"/>
    </row>
    <row r="824" spans="4:4" ht="15.75" customHeight="1" x14ac:dyDescent="0.25">
      <c r="D824" s="184"/>
    </row>
    <row r="825" spans="4:4" ht="15.75" customHeight="1" x14ac:dyDescent="0.25">
      <c r="D825" s="184"/>
    </row>
    <row r="826" spans="4:4" ht="15.75" customHeight="1" x14ac:dyDescent="0.25">
      <c r="D826" s="184"/>
    </row>
    <row r="827" spans="4:4" ht="15.75" customHeight="1" x14ac:dyDescent="0.25">
      <c r="D827" s="184"/>
    </row>
    <row r="828" spans="4:4" ht="15.75" customHeight="1" x14ac:dyDescent="0.25">
      <c r="D828" s="184"/>
    </row>
    <row r="829" spans="4:4" ht="15.75" customHeight="1" x14ac:dyDescent="0.25">
      <c r="D829" s="184"/>
    </row>
    <row r="830" spans="4:4" ht="15.75" customHeight="1" x14ac:dyDescent="0.25">
      <c r="D830" s="184"/>
    </row>
    <row r="831" spans="4:4" ht="15.75" customHeight="1" x14ac:dyDescent="0.25">
      <c r="D831" s="184"/>
    </row>
    <row r="832" spans="4:4" ht="15.75" customHeight="1" x14ac:dyDescent="0.25">
      <c r="D832" s="184"/>
    </row>
    <row r="833" spans="4:4" ht="15.75" customHeight="1" x14ac:dyDescent="0.25">
      <c r="D833" s="184"/>
    </row>
    <row r="834" spans="4:4" ht="15.75" customHeight="1" x14ac:dyDescent="0.25">
      <c r="D834" s="184"/>
    </row>
    <row r="835" spans="4:4" ht="15.75" customHeight="1" x14ac:dyDescent="0.25">
      <c r="D835" s="184"/>
    </row>
    <row r="836" spans="4:4" ht="15.75" customHeight="1" x14ac:dyDescent="0.25">
      <c r="D836" s="184"/>
    </row>
    <row r="837" spans="4:4" ht="15.75" customHeight="1" x14ac:dyDescent="0.25">
      <c r="D837" s="184"/>
    </row>
    <row r="838" spans="4:4" ht="15.75" customHeight="1" x14ac:dyDescent="0.25">
      <c r="D838" s="184"/>
    </row>
    <row r="839" spans="4:4" ht="15.75" customHeight="1" x14ac:dyDescent="0.25">
      <c r="D839" s="184"/>
    </row>
    <row r="840" spans="4:4" ht="15.75" customHeight="1" x14ac:dyDescent="0.25">
      <c r="D840" s="184"/>
    </row>
    <row r="841" spans="4:4" ht="15.75" customHeight="1" x14ac:dyDescent="0.25">
      <c r="D841" s="184"/>
    </row>
    <row r="842" spans="4:4" ht="15.75" customHeight="1" x14ac:dyDescent="0.25">
      <c r="D842" s="184"/>
    </row>
    <row r="843" spans="4:4" ht="15.75" customHeight="1" x14ac:dyDescent="0.25">
      <c r="D843" s="184"/>
    </row>
    <row r="844" spans="4:4" ht="15.75" customHeight="1" x14ac:dyDescent="0.25">
      <c r="D844" s="184"/>
    </row>
    <row r="845" spans="4:4" ht="15.75" customHeight="1" x14ac:dyDescent="0.25">
      <c r="D845" s="184"/>
    </row>
    <row r="846" spans="4:4" ht="15.75" customHeight="1" x14ac:dyDescent="0.25">
      <c r="D846" s="184"/>
    </row>
    <row r="847" spans="4:4" ht="15.75" customHeight="1" x14ac:dyDescent="0.25">
      <c r="D847" s="184"/>
    </row>
    <row r="848" spans="4:4" ht="15.75" customHeight="1" x14ac:dyDescent="0.25">
      <c r="D848" s="184"/>
    </row>
    <row r="849" spans="4:4" ht="15.75" customHeight="1" x14ac:dyDescent="0.25">
      <c r="D849" s="184"/>
    </row>
    <row r="850" spans="4:4" ht="15.75" customHeight="1" x14ac:dyDescent="0.25">
      <c r="D850" s="184"/>
    </row>
    <row r="851" spans="4:4" ht="15.75" customHeight="1" x14ac:dyDescent="0.25">
      <c r="D851" s="184"/>
    </row>
    <row r="852" spans="4:4" ht="15.75" customHeight="1" x14ac:dyDescent="0.25">
      <c r="D852" s="184"/>
    </row>
    <row r="853" spans="4:4" ht="15.75" customHeight="1" x14ac:dyDescent="0.25">
      <c r="D853" s="184"/>
    </row>
    <row r="854" spans="4:4" ht="15.75" customHeight="1" x14ac:dyDescent="0.25">
      <c r="D854" s="184"/>
    </row>
    <row r="855" spans="4:4" ht="15.75" customHeight="1" x14ac:dyDescent="0.25">
      <c r="D855" s="184"/>
    </row>
    <row r="856" spans="4:4" ht="15.75" customHeight="1" x14ac:dyDescent="0.25">
      <c r="D856" s="184"/>
    </row>
    <row r="857" spans="4:4" ht="15.75" customHeight="1" x14ac:dyDescent="0.25">
      <c r="D857" s="184"/>
    </row>
    <row r="858" spans="4:4" ht="15.75" customHeight="1" x14ac:dyDescent="0.25">
      <c r="D858" s="184"/>
    </row>
    <row r="859" spans="4:4" ht="15.75" customHeight="1" x14ac:dyDescent="0.25">
      <c r="D859" s="184"/>
    </row>
    <row r="860" spans="4:4" ht="15.75" customHeight="1" x14ac:dyDescent="0.25">
      <c r="D860" s="184"/>
    </row>
    <row r="861" spans="4:4" ht="15.75" customHeight="1" x14ac:dyDescent="0.25">
      <c r="D861" s="184"/>
    </row>
    <row r="862" spans="4:4" ht="15.75" customHeight="1" x14ac:dyDescent="0.25">
      <c r="D862" s="184"/>
    </row>
    <row r="863" spans="4:4" ht="15.75" customHeight="1" x14ac:dyDescent="0.25">
      <c r="D863" s="184"/>
    </row>
    <row r="864" spans="4:4" ht="15.75" customHeight="1" x14ac:dyDescent="0.25">
      <c r="D864" s="184"/>
    </row>
    <row r="865" spans="4:4" ht="15.75" customHeight="1" x14ac:dyDescent="0.25">
      <c r="D865" s="184"/>
    </row>
    <row r="866" spans="4:4" ht="15.75" customHeight="1" x14ac:dyDescent="0.25">
      <c r="D866" s="184"/>
    </row>
    <row r="867" spans="4:4" ht="15.75" customHeight="1" x14ac:dyDescent="0.25">
      <c r="D867" s="184"/>
    </row>
    <row r="868" spans="4:4" ht="15.75" customHeight="1" x14ac:dyDescent="0.25">
      <c r="D868" s="184"/>
    </row>
    <row r="869" spans="4:4" ht="15.75" customHeight="1" x14ac:dyDescent="0.25">
      <c r="D869" s="184"/>
    </row>
    <row r="870" spans="4:4" ht="15.75" customHeight="1" x14ac:dyDescent="0.25">
      <c r="D870" s="184"/>
    </row>
    <row r="871" spans="4:4" ht="15.75" customHeight="1" x14ac:dyDescent="0.25">
      <c r="D871" s="184"/>
    </row>
    <row r="872" spans="4:4" ht="15.75" customHeight="1" x14ac:dyDescent="0.25">
      <c r="D872" s="184"/>
    </row>
    <row r="873" spans="4:4" ht="15.75" customHeight="1" x14ac:dyDescent="0.25">
      <c r="D873" s="184"/>
    </row>
    <row r="874" spans="4:4" ht="15.75" customHeight="1" x14ac:dyDescent="0.25">
      <c r="D874" s="184"/>
    </row>
    <row r="875" spans="4:4" ht="15.75" customHeight="1" x14ac:dyDescent="0.25">
      <c r="D875" s="184"/>
    </row>
    <row r="876" spans="4:4" ht="15.75" customHeight="1" x14ac:dyDescent="0.25">
      <c r="D876" s="184"/>
    </row>
    <row r="877" spans="4:4" ht="15.75" customHeight="1" x14ac:dyDescent="0.25">
      <c r="D877" s="184"/>
    </row>
    <row r="878" spans="4:4" ht="15.75" customHeight="1" x14ac:dyDescent="0.25">
      <c r="D878" s="184"/>
    </row>
    <row r="879" spans="4:4" ht="15.75" customHeight="1" x14ac:dyDescent="0.25">
      <c r="D879" s="184"/>
    </row>
    <row r="880" spans="4:4" ht="15.75" customHeight="1" x14ac:dyDescent="0.25">
      <c r="D880" s="184"/>
    </row>
    <row r="881" spans="4:4" ht="15.75" customHeight="1" x14ac:dyDescent="0.25">
      <c r="D881" s="184"/>
    </row>
    <row r="882" spans="4:4" ht="15.75" customHeight="1" x14ac:dyDescent="0.25">
      <c r="D882" s="184"/>
    </row>
    <row r="883" spans="4:4" ht="15.75" customHeight="1" x14ac:dyDescent="0.25">
      <c r="D883" s="184"/>
    </row>
    <row r="884" spans="4:4" ht="15.75" customHeight="1" x14ac:dyDescent="0.25">
      <c r="D884" s="184"/>
    </row>
    <row r="885" spans="4:4" ht="15.75" customHeight="1" x14ac:dyDescent="0.25">
      <c r="D885" s="184"/>
    </row>
    <row r="886" spans="4:4" ht="15.75" customHeight="1" x14ac:dyDescent="0.25">
      <c r="D886" s="184"/>
    </row>
    <row r="887" spans="4:4" ht="15.75" customHeight="1" x14ac:dyDescent="0.25">
      <c r="D887" s="184"/>
    </row>
    <row r="888" spans="4:4" ht="15.75" customHeight="1" x14ac:dyDescent="0.25">
      <c r="D888" s="184"/>
    </row>
    <row r="889" spans="4:4" ht="15.75" customHeight="1" x14ac:dyDescent="0.25">
      <c r="D889" s="184"/>
    </row>
    <row r="890" spans="4:4" ht="15.75" customHeight="1" x14ac:dyDescent="0.25">
      <c r="D890" s="184"/>
    </row>
    <row r="891" spans="4:4" ht="15.75" customHeight="1" x14ac:dyDescent="0.25">
      <c r="D891" s="184"/>
    </row>
    <row r="892" spans="4:4" ht="15.75" customHeight="1" x14ac:dyDescent="0.25">
      <c r="D892" s="184"/>
    </row>
    <row r="893" spans="4:4" ht="15.75" customHeight="1" x14ac:dyDescent="0.25">
      <c r="D893" s="184"/>
    </row>
    <row r="894" spans="4:4" ht="15.75" customHeight="1" x14ac:dyDescent="0.25">
      <c r="D894" s="184"/>
    </row>
    <row r="895" spans="4:4" ht="15.75" customHeight="1" x14ac:dyDescent="0.25">
      <c r="D895" s="184"/>
    </row>
    <row r="896" spans="4:4" ht="15.75" customHeight="1" x14ac:dyDescent="0.25">
      <c r="D896" s="184"/>
    </row>
    <row r="897" spans="4:4" ht="15.75" customHeight="1" x14ac:dyDescent="0.25">
      <c r="D897" s="184"/>
    </row>
    <row r="898" spans="4:4" ht="15.75" customHeight="1" x14ac:dyDescent="0.25">
      <c r="D898" s="184"/>
    </row>
    <row r="899" spans="4:4" ht="15.75" customHeight="1" x14ac:dyDescent="0.25">
      <c r="D899" s="184"/>
    </row>
    <row r="900" spans="4:4" ht="15.75" customHeight="1" x14ac:dyDescent="0.25">
      <c r="D900" s="184"/>
    </row>
    <row r="901" spans="4:4" ht="15.75" customHeight="1" x14ac:dyDescent="0.25">
      <c r="D901" s="184"/>
    </row>
    <row r="902" spans="4:4" ht="15.75" customHeight="1" x14ac:dyDescent="0.25">
      <c r="D902" s="184"/>
    </row>
    <row r="903" spans="4:4" ht="15.75" customHeight="1" x14ac:dyDescent="0.25">
      <c r="D903" s="184"/>
    </row>
    <row r="904" spans="4:4" ht="15.75" customHeight="1" x14ac:dyDescent="0.25">
      <c r="D904" s="184"/>
    </row>
    <row r="905" spans="4:4" ht="15.75" customHeight="1" x14ac:dyDescent="0.25">
      <c r="D905" s="184"/>
    </row>
    <row r="906" spans="4:4" ht="15.75" customHeight="1" x14ac:dyDescent="0.25">
      <c r="D906" s="184"/>
    </row>
    <row r="907" spans="4:4" ht="15.75" customHeight="1" x14ac:dyDescent="0.25">
      <c r="D907" s="184"/>
    </row>
    <row r="908" spans="4:4" ht="15.75" customHeight="1" x14ac:dyDescent="0.25">
      <c r="D908" s="184"/>
    </row>
    <row r="909" spans="4:4" ht="15.75" customHeight="1" x14ac:dyDescent="0.25">
      <c r="D909" s="184"/>
    </row>
    <row r="910" spans="4:4" ht="15.75" customHeight="1" x14ac:dyDescent="0.25">
      <c r="D910" s="184"/>
    </row>
    <row r="911" spans="4:4" ht="15.75" customHeight="1" x14ac:dyDescent="0.25">
      <c r="D911" s="184"/>
    </row>
    <row r="912" spans="4:4" ht="15.75" customHeight="1" x14ac:dyDescent="0.25">
      <c r="D912" s="184"/>
    </row>
    <row r="913" spans="4:4" ht="15.75" customHeight="1" x14ac:dyDescent="0.25">
      <c r="D913" s="184"/>
    </row>
    <row r="914" spans="4:4" ht="15.75" customHeight="1" x14ac:dyDescent="0.25">
      <c r="D914" s="184"/>
    </row>
    <row r="915" spans="4:4" ht="15.75" customHeight="1" x14ac:dyDescent="0.25">
      <c r="D915" s="184"/>
    </row>
    <row r="916" spans="4:4" ht="15.75" customHeight="1" x14ac:dyDescent="0.25">
      <c r="D916" s="184"/>
    </row>
    <row r="917" spans="4:4" ht="15.75" customHeight="1" x14ac:dyDescent="0.25">
      <c r="D917" s="184"/>
    </row>
    <row r="918" spans="4:4" ht="15.75" customHeight="1" x14ac:dyDescent="0.25">
      <c r="D918" s="184"/>
    </row>
    <row r="919" spans="4:4" ht="15.75" customHeight="1" x14ac:dyDescent="0.25">
      <c r="D919" s="184"/>
    </row>
    <row r="920" spans="4:4" ht="15.75" customHeight="1" x14ac:dyDescent="0.25">
      <c r="D920" s="184"/>
    </row>
    <row r="921" spans="4:4" ht="15.75" customHeight="1" x14ac:dyDescent="0.25">
      <c r="D921" s="184"/>
    </row>
    <row r="922" spans="4:4" ht="15.75" customHeight="1" x14ac:dyDescent="0.25">
      <c r="D922" s="184"/>
    </row>
    <row r="923" spans="4:4" ht="15.75" customHeight="1" x14ac:dyDescent="0.25">
      <c r="D923" s="184"/>
    </row>
    <row r="924" spans="4:4" ht="15.75" customHeight="1" x14ac:dyDescent="0.25">
      <c r="D924" s="184"/>
    </row>
    <row r="925" spans="4:4" ht="15.75" customHeight="1" x14ac:dyDescent="0.25">
      <c r="D925" s="184"/>
    </row>
    <row r="926" spans="4:4" ht="15.75" customHeight="1" x14ac:dyDescent="0.25">
      <c r="D926" s="184"/>
    </row>
    <row r="927" spans="4:4" ht="15.75" customHeight="1" x14ac:dyDescent="0.25">
      <c r="D927" s="184"/>
    </row>
    <row r="928" spans="4:4" ht="15.75" customHeight="1" x14ac:dyDescent="0.25">
      <c r="D928" s="184"/>
    </row>
    <row r="929" spans="4:4" ht="15.75" customHeight="1" x14ac:dyDescent="0.25">
      <c r="D929" s="184"/>
    </row>
    <row r="930" spans="4:4" ht="15.75" customHeight="1" x14ac:dyDescent="0.25">
      <c r="D930" s="184"/>
    </row>
    <row r="931" spans="4:4" ht="15.75" customHeight="1" x14ac:dyDescent="0.25">
      <c r="D931" s="184"/>
    </row>
    <row r="932" spans="4:4" ht="15.75" customHeight="1" x14ac:dyDescent="0.25">
      <c r="D932" s="184"/>
    </row>
    <row r="933" spans="4:4" ht="15.75" customHeight="1" x14ac:dyDescent="0.25">
      <c r="D933" s="184"/>
    </row>
    <row r="934" spans="4:4" ht="15.75" customHeight="1" x14ac:dyDescent="0.25">
      <c r="D934" s="184"/>
    </row>
    <row r="935" spans="4:4" ht="15.75" customHeight="1" x14ac:dyDescent="0.25">
      <c r="D935" s="184"/>
    </row>
    <row r="936" spans="4:4" ht="15.75" customHeight="1" x14ac:dyDescent="0.25">
      <c r="D936" s="184"/>
    </row>
    <row r="937" spans="4:4" ht="15.75" customHeight="1" x14ac:dyDescent="0.25">
      <c r="D937" s="184"/>
    </row>
    <row r="938" spans="4:4" ht="15.75" customHeight="1" x14ac:dyDescent="0.25">
      <c r="D938" s="184"/>
    </row>
    <row r="939" spans="4:4" ht="15.75" customHeight="1" x14ac:dyDescent="0.25">
      <c r="D939" s="184"/>
    </row>
    <row r="940" spans="4:4" ht="15.75" customHeight="1" x14ac:dyDescent="0.25">
      <c r="D940" s="184"/>
    </row>
    <row r="941" spans="4:4" ht="15.75" customHeight="1" x14ac:dyDescent="0.25">
      <c r="D941" s="184"/>
    </row>
    <row r="942" spans="4:4" ht="15.75" customHeight="1" x14ac:dyDescent="0.25">
      <c r="D942" s="184"/>
    </row>
    <row r="943" spans="4:4" ht="15.75" customHeight="1" x14ac:dyDescent="0.25">
      <c r="D943" s="184"/>
    </row>
    <row r="944" spans="4:4" ht="15.75" customHeight="1" x14ac:dyDescent="0.25">
      <c r="D944" s="184"/>
    </row>
    <row r="945" spans="4:4" ht="15.75" customHeight="1" x14ac:dyDescent="0.25">
      <c r="D945" s="184"/>
    </row>
    <row r="946" spans="4:4" ht="15.75" customHeight="1" x14ac:dyDescent="0.25">
      <c r="D946" s="184"/>
    </row>
    <row r="947" spans="4:4" ht="15.75" customHeight="1" x14ac:dyDescent="0.25">
      <c r="D947" s="184"/>
    </row>
    <row r="948" spans="4:4" ht="15.75" customHeight="1" x14ac:dyDescent="0.25">
      <c r="D948" s="184"/>
    </row>
    <row r="949" spans="4:4" ht="15.75" customHeight="1" x14ac:dyDescent="0.25">
      <c r="D949" s="184"/>
    </row>
    <row r="950" spans="4:4" ht="15.75" customHeight="1" x14ac:dyDescent="0.25">
      <c r="D950" s="184"/>
    </row>
    <row r="951" spans="4:4" ht="15.75" customHeight="1" x14ac:dyDescent="0.25">
      <c r="D951" s="184"/>
    </row>
    <row r="952" spans="4:4" ht="15.75" customHeight="1" x14ac:dyDescent="0.25">
      <c r="D952" s="184"/>
    </row>
    <row r="953" spans="4:4" ht="15.75" customHeight="1" x14ac:dyDescent="0.25">
      <c r="D953" s="184"/>
    </row>
    <row r="954" spans="4:4" ht="15.75" customHeight="1" x14ac:dyDescent="0.25">
      <c r="D954" s="184"/>
    </row>
    <row r="955" spans="4:4" ht="15.75" customHeight="1" x14ac:dyDescent="0.25">
      <c r="D955" s="184"/>
    </row>
    <row r="956" spans="4:4" ht="15.75" customHeight="1" x14ac:dyDescent="0.25">
      <c r="D956" s="184"/>
    </row>
    <row r="957" spans="4:4" ht="15.75" customHeight="1" x14ac:dyDescent="0.25">
      <c r="D957" s="184"/>
    </row>
    <row r="958" spans="4:4" ht="15.75" customHeight="1" x14ac:dyDescent="0.25">
      <c r="D958" s="184"/>
    </row>
    <row r="959" spans="4:4" ht="15.75" customHeight="1" x14ac:dyDescent="0.25">
      <c r="D959" s="184"/>
    </row>
    <row r="960" spans="4:4" ht="15.75" customHeight="1" x14ac:dyDescent="0.25">
      <c r="D960" s="184"/>
    </row>
    <row r="961" spans="4:4" ht="15.75" customHeight="1" x14ac:dyDescent="0.25">
      <c r="D961" s="184"/>
    </row>
    <row r="962" spans="4:4" ht="15.75" customHeight="1" x14ac:dyDescent="0.25">
      <c r="D962" s="184"/>
    </row>
    <row r="963" spans="4:4" ht="15.75" customHeight="1" x14ac:dyDescent="0.25">
      <c r="D963" s="184"/>
    </row>
    <row r="964" spans="4:4" ht="15.75" customHeight="1" x14ac:dyDescent="0.25">
      <c r="D964" s="184"/>
    </row>
    <row r="965" spans="4:4" ht="15.75" customHeight="1" x14ac:dyDescent="0.25">
      <c r="D965" s="184"/>
    </row>
    <row r="966" spans="4:4" ht="15.75" customHeight="1" x14ac:dyDescent="0.25">
      <c r="D966" s="184"/>
    </row>
    <row r="967" spans="4:4" ht="15.75" customHeight="1" x14ac:dyDescent="0.25">
      <c r="D967" s="184"/>
    </row>
    <row r="968" spans="4:4" ht="15.75" customHeight="1" x14ac:dyDescent="0.25">
      <c r="D968" s="184"/>
    </row>
    <row r="969" spans="4:4" ht="15.75" customHeight="1" x14ac:dyDescent="0.25">
      <c r="D969" s="184"/>
    </row>
    <row r="970" spans="4:4" ht="15.75" customHeight="1" x14ac:dyDescent="0.25">
      <c r="D970" s="184"/>
    </row>
    <row r="971" spans="4:4" ht="15.75" customHeight="1" x14ac:dyDescent="0.25">
      <c r="D971" s="184"/>
    </row>
    <row r="972" spans="4:4" ht="15.75" customHeight="1" x14ac:dyDescent="0.25">
      <c r="D972" s="184"/>
    </row>
    <row r="973" spans="4:4" ht="15.75" customHeight="1" x14ac:dyDescent="0.25">
      <c r="D973" s="184"/>
    </row>
    <row r="974" spans="4:4" ht="15.75" customHeight="1" x14ac:dyDescent="0.25">
      <c r="D974" s="184"/>
    </row>
    <row r="975" spans="4:4" ht="15.75" customHeight="1" x14ac:dyDescent="0.25">
      <c r="D975" s="184"/>
    </row>
    <row r="976" spans="4:4" ht="15.75" customHeight="1" x14ac:dyDescent="0.25">
      <c r="D976" s="184"/>
    </row>
    <row r="977" spans="4:4" ht="15.75" customHeight="1" x14ac:dyDescent="0.25">
      <c r="D977" s="184"/>
    </row>
    <row r="978" spans="4:4" ht="15.75" customHeight="1" x14ac:dyDescent="0.25">
      <c r="D978" s="184"/>
    </row>
    <row r="979" spans="4:4" ht="15.75" customHeight="1" x14ac:dyDescent="0.25">
      <c r="D979" s="184"/>
    </row>
    <row r="980" spans="4:4" ht="15.75" customHeight="1" x14ac:dyDescent="0.25">
      <c r="D980" s="184"/>
    </row>
    <row r="981" spans="4:4" ht="15.75" customHeight="1" x14ac:dyDescent="0.25">
      <c r="D981" s="184"/>
    </row>
    <row r="982" spans="4:4" ht="15.75" customHeight="1" x14ac:dyDescent="0.25">
      <c r="D982" s="184"/>
    </row>
    <row r="983" spans="4:4" ht="15.75" customHeight="1" x14ac:dyDescent="0.25">
      <c r="D983" s="184"/>
    </row>
    <row r="984" spans="4:4" ht="15.75" customHeight="1" x14ac:dyDescent="0.25">
      <c r="D984" s="184"/>
    </row>
    <row r="985" spans="4:4" ht="15.75" customHeight="1" x14ac:dyDescent="0.25">
      <c r="D985" s="184"/>
    </row>
    <row r="986" spans="4:4" ht="15.75" customHeight="1" x14ac:dyDescent="0.25">
      <c r="D986" s="184"/>
    </row>
    <row r="987" spans="4:4" ht="15.75" customHeight="1" x14ac:dyDescent="0.25">
      <c r="D987" s="184"/>
    </row>
    <row r="988" spans="4:4" ht="15.75" customHeight="1" x14ac:dyDescent="0.25">
      <c r="D988" s="184"/>
    </row>
    <row r="989" spans="4:4" ht="15.75" customHeight="1" x14ac:dyDescent="0.25">
      <c r="D989" s="184"/>
    </row>
    <row r="990" spans="4:4" ht="15.75" customHeight="1" x14ac:dyDescent="0.25">
      <c r="D990" s="184"/>
    </row>
    <row r="991" spans="4:4" ht="15.75" customHeight="1" x14ac:dyDescent="0.25">
      <c r="D991" s="184"/>
    </row>
    <row r="992" spans="4:4" ht="15.75" customHeight="1" x14ac:dyDescent="0.25">
      <c r="D992" s="184"/>
    </row>
    <row r="993" spans="4:4" ht="15.75" customHeight="1" x14ac:dyDescent="0.25">
      <c r="D993" s="184"/>
    </row>
    <row r="994" spans="4:4" ht="15.75" customHeight="1" x14ac:dyDescent="0.25">
      <c r="D994" s="184"/>
    </row>
    <row r="995" spans="4:4" ht="15.75" customHeight="1" x14ac:dyDescent="0.25">
      <c r="D995" s="184"/>
    </row>
    <row r="996" spans="4:4" ht="15.75" customHeight="1" x14ac:dyDescent="0.25">
      <c r="D996" s="184"/>
    </row>
    <row r="997" spans="4:4" ht="15.75" customHeight="1" x14ac:dyDescent="0.25">
      <c r="D997" s="184"/>
    </row>
    <row r="998" spans="4:4" ht="15.75" customHeight="1" x14ac:dyDescent="0.25">
      <c r="D998" s="184"/>
    </row>
    <row r="999" spans="4:4" ht="15.75" customHeight="1" x14ac:dyDescent="0.25">
      <c r="D999" s="184"/>
    </row>
    <row r="1000" spans="4:4" ht="15.75" customHeight="1" x14ac:dyDescent="0.25">
      <c r="D1000" s="184"/>
    </row>
  </sheetData>
  <mergeCells count="111">
    <mergeCell ref="I81:L81"/>
    <mergeCell ref="B83:F83"/>
    <mergeCell ref="I82:L82"/>
    <mergeCell ref="I83:L83"/>
    <mergeCell ref="I87:L87"/>
    <mergeCell ref="B88:F88"/>
    <mergeCell ref="H101:M101"/>
    <mergeCell ref="H102:J102"/>
    <mergeCell ref="K102:M102"/>
    <mergeCell ref="Y157:Y178"/>
    <mergeCell ref="H24:J24"/>
    <mergeCell ref="K24:M24"/>
    <mergeCell ref="B4:G4"/>
    <mergeCell ref="I5:L5"/>
    <mergeCell ref="B6:G6"/>
    <mergeCell ref="I6:L6"/>
    <mergeCell ref="I10:L10"/>
    <mergeCell ref="B11:G11"/>
    <mergeCell ref="H23:M23"/>
    <mergeCell ref="B22:E22"/>
    <mergeCell ref="C24:C28"/>
    <mergeCell ref="B29:E29"/>
    <mergeCell ref="C30:C34"/>
    <mergeCell ref="B35:F35"/>
    <mergeCell ref="C36:C37"/>
    <mergeCell ref="B38:E38"/>
    <mergeCell ref="C39:C43"/>
    <mergeCell ref="B44:F44"/>
    <mergeCell ref="C45:C47"/>
    <mergeCell ref="B48:E48"/>
    <mergeCell ref="C49:C50"/>
    <mergeCell ref="B51:F51"/>
    <mergeCell ref="B55:E55"/>
    <mergeCell ref="K187:M187"/>
    <mergeCell ref="H247:M247"/>
    <mergeCell ref="H248:J248"/>
    <mergeCell ref="K248:M248"/>
    <mergeCell ref="B100:E100"/>
    <mergeCell ref="B113:F113"/>
    <mergeCell ref="B122:F122"/>
    <mergeCell ref="B129:F129"/>
    <mergeCell ref="B138:F138"/>
    <mergeCell ref="B145:F145"/>
    <mergeCell ref="A156:Y156"/>
    <mergeCell ref="L159:Q159"/>
    <mergeCell ref="S159:W159"/>
    <mergeCell ref="A161:E161"/>
    <mergeCell ref="L160:Q161"/>
    <mergeCell ref="G161:J161"/>
    <mergeCell ref="S160:W160"/>
    <mergeCell ref="G165:J165"/>
    <mergeCell ref="A166:E166"/>
    <mergeCell ref="S167:W169"/>
    <mergeCell ref="L169:Q170"/>
    <mergeCell ref="B185:E185"/>
    <mergeCell ref="H186:M186"/>
    <mergeCell ref="B246:E246"/>
    <mergeCell ref="A314:E314"/>
    <mergeCell ref="C280:C283"/>
    <mergeCell ref="C285:C287"/>
    <mergeCell ref="C289:C290"/>
    <mergeCell ref="C292:C293"/>
    <mergeCell ref="C295:C299"/>
    <mergeCell ref="G308:J308"/>
    <mergeCell ref="A309:E309"/>
    <mergeCell ref="G160:J160"/>
    <mergeCell ref="H187:J187"/>
    <mergeCell ref="C248:C252"/>
    <mergeCell ref="C254:C258"/>
    <mergeCell ref="C260:C261"/>
    <mergeCell ref="C263:C267"/>
    <mergeCell ref="C269:C271"/>
    <mergeCell ref="C273:C274"/>
    <mergeCell ref="C276:C278"/>
    <mergeCell ref="G309:J309"/>
    <mergeCell ref="G313:J313"/>
    <mergeCell ref="C187:C191"/>
    <mergeCell ref="C193:C197"/>
    <mergeCell ref="C199:C200"/>
    <mergeCell ref="C231:C232"/>
    <mergeCell ref="C234:C238"/>
    <mergeCell ref="C202:C206"/>
    <mergeCell ref="C208:C210"/>
    <mergeCell ref="C212:C213"/>
    <mergeCell ref="C215:C217"/>
    <mergeCell ref="C219:C222"/>
    <mergeCell ref="C224:C226"/>
    <mergeCell ref="C228:C229"/>
    <mergeCell ref="C117:C121"/>
    <mergeCell ref="C123:C125"/>
    <mergeCell ref="C127:C128"/>
    <mergeCell ref="C130:C132"/>
    <mergeCell ref="C134:C137"/>
    <mergeCell ref="C139:C141"/>
    <mergeCell ref="C143:C144"/>
    <mergeCell ref="C146:C147"/>
    <mergeCell ref="C149:C153"/>
    <mergeCell ref="C52:C54"/>
    <mergeCell ref="C56:C59"/>
    <mergeCell ref="C61:C63"/>
    <mergeCell ref="C65:C66"/>
    <mergeCell ref="C68:C69"/>
    <mergeCell ref="C71:C75"/>
    <mergeCell ref="C102:C106"/>
    <mergeCell ref="C108:C112"/>
    <mergeCell ref="C114:C115"/>
    <mergeCell ref="B60:F60"/>
    <mergeCell ref="B64:E64"/>
    <mergeCell ref="B67:F67"/>
    <mergeCell ref="B70:F70"/>
    <mergeCell ref="B81:F81"/>
  </mergeCells>
  <pageMargins left="0.7"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X1000"/>
  <sheetViews>
    <sheetView workbookViewId="0"/>
  </sheetViews>
  <sheetFormatPr baseColWidth="10" defaultColWidth="12.625" defaultRowHeight="15" customHeight="1" x14ac:dyDescent="0.2"/>
  <cols>
    <col min="1" max="5" width="10" customWidth="1"/>
    <col min="6" max="6" width="10.5" customWidth="1"/>
    <col min="7" max="26" width="10" customWidth="1"/>
  </cols>
  <sheetData>
    <row r="2" spans="1:24" x14ac:dyDescent="0.25">
      <c r="B2" s="28" t="s">
        <v>601</v>
      </c>
      <c r="C2" s="28"/>
      <c r="D2" s="28"/>
      <c r="E2" s="28"/>
      <c r="F2" s="28"/>
      <c r="G2" s="28"/>
      <c r="H2" s="28"/>
      <c r="I2" s="28"/>
      <c r="J2" s="28"/>
      <c r="K2" s="28"/>
      <c r="L2" s="28"/>
    </row>
    <row r="3" spans="1:24" x14ac:dyDescent="0.25">
      <c r="B3" s="28"/>
      <c r="C3" s="23"/>
      <c r="D3" s="23"/>
      <c r="E3" s="23"/>
      <c r="F3" s="23"/>
      <c r="G3" s="23"/>
      <c r="H3" s="28"/>
      <c r="I3" s="28"/>
      <c r="J3" s="28"/>
      <c r="K3" s="28"/>
      <c r="L3" s="28"/>
    </row>
    <row r="4" spans="1:24" x14ac:dyDescent="0.25">
      <c r="B4" s="332" t="s">
        <v>519</v>
      </c>
      <c r="C4" s="297"/>
      <c r="D4" s="297"/>
      <c r="E4" s="297"/>
      <c r="F4" s="297"/>
      <c r="G4" s="298"/>
    </row>
    <row r="5" spans="1:24" ht="36" x14ac:dyDescent="0.2">
      <c r="B5" s="4" t="s">
        <v>0</v>
      </c>
      <c r="C5" s="5" t="s">
        <v>1</v>
      </c>
      <c r="D5" s="5" t="s">
        <v>42</v>
      </c>
      <c r="E5" s="5" t="s">
        <v>43</v>
      </c>
      <c r="F5" s="5" t="s">
        <v>44</v>
      </c>
      <c r="G5" s="7" t="s">
        <v>206</v>
      </c>
      <c r="I5" s="296" t="s">
        <v>45</v>
      </c>
      <c r="J5" s="297"/>
      <c r="K5" s="297"/>
      <c r="L5" s="298"/>
    </row>
    <row r="6" spans="1:24" ht="14.25" x14ac:dyDescent="0.2">
      <c r="B6" s="310" t="s">
        <v>275</v>
      </c>
      <c r="C6" s="297"/>
      <c r="D6" s="297"/>
      <c r="E6" s="297"/>
      <c r="F6" s="297"/>
      <c r="G6" s="298"/>
      <c r="I6" s="305" t="s">
        <v>275</v>
      </c>
      <c r="J6" s="297"/>
      <c r="K6" s="297"/>
      <c r="L6" s="298"/>
    </row>
    <row r="7" spans="1:24" ht="14.25" x14ac:dyDescent="0.2">
      <c r="B7" s="9" t="s">
        <v>11</v>
      </c>
      <c r="C7" s="12" t="s">
        <v>12</v>
      </c>
      <c r="D7" s="17">
        <v>760</v>
      </c>
      <c r="E7" s="22">
        <v>762</v>
      </c>
      <c r="F7" s="11">
        <v>780</v>
      </c>
      <c r="G7" s="110">
        <f>((E7-F7)/E7)</f>
        <v>-2.3622047244094488E-2</v>
      </c>
      <c r="I7" s="12"/>
      <c r="J7" s="12" t="s">
        <v>52</v>
      </c>
      <c r="K7" s="12" t="s">
        <v>53</v>
      </c>
      <c r="L7" s="12"/>
    </row>
    <row r="8" spans="1:24" ht="14.25" x14ac:dyDescent="0.2">
      <c r="B8" s="9" t="s">
        <v>11</v>
      </c>
      <c r="C8" s="12" t="s">
        <v>18</v>
      </c>
      <c r="D8" s="17">
        <v>0</v>
      </c>
      <c r="E8" s="22">
        <v>0</v>
      </c>
      <c r="F8" s="11">
        <v>0</v>
      </c>
      <c r="G8" s="110">
        <v>0</v>
      </c>
      <c r="I8" s="12" t="s">
        <v>12</v>
      </c>
      <c r="J8" s="17">
        <v>760</v>
      </c>
      <c r="K8" s="11">
        <v>780</v>
      </c>
      <c r="L8" s="17" t="s">
        <v>605</v>
      </c>
    </row>
    <row r="9" spans="1:24" ht="25.5" x14ac:dyDescent="0.2">
      <c r="B9" s="9" t="s">
        <v>21</v>
      </c>
      <c r="C9" s="12" t="s">
        <v>59</v>
      </c>
      <c r="D9" s="17">
        <v>440</v>
      </c>
      <c r="E9" s="22">
        <v>456</v>
      </c>
      <c r="F9" s="11">
        <v>448</v>
      </c>
      <c r="G9" s="110">
        <f t="shared" ref="G9:G10" si="0">((E9-F9)/E9)</f>
        <v>1.7543859649122806E-2</v>
      </c>
      <c r="I9" s="12" t="s">
        <v>18</v>
      </c>
      <c r="J9" s="24">
        <v>0</v>
      </c>
      <c r="K9" s="25">
        <v>0</v>
      </c>
      <c r="L9" s="24" t="s">
        <v>606</v>
      </c>
    </row>
    <row r="10" spans="1:24" ht="25.5" x14ac:dyDescent="0.2">
      <c r="B10" s="12" t="s">
        <v>21</v>
      </c>
      <c r="C10" s="12" t="s">
        <v>63</v>
      </c>
      <c r="D10" s="24">
        <v>160</v>
      </c>
      <c r="E10" s="26">
        <v>162</v>
      </c>
      <c r="F10" s="25">
        <v>161</v>
      </c>
      <c r="G10" s="148">
        <f t="shared" si="0"/>
        <v>6.1728395061728392E-3</v>
      </c>
      <c r="I10" s="330"/>
      <c r="J10" s="315"/>
      <c r="K10" s="315"/>
      <c r="L10" s="315"/>
    </row>
    <row r="11" spans="1:24" x14ac:dyDescent="0.25">
      <c r="A11" s="28"/>
      <c r="B11" s="329"/>
      <c r="C11" s="315"/>
      <c r="D11" s="315"/>
      <c r="E11" s="315"/>
      <c r="F11" s="315"/>
      <c r="G11" s="315"/>
      <c r="H11" s="28"/>
      <c r="I11" s="27"/>
      <c r="J11" s="27"/>
      <c r="K11" s="31"/>
      <c r="L11" s="27"/>
      <c r="M11" s="28"/>
    </row>
    <row r="12" spans="1:24" x14ac:dyDescent="0.25">
      <c r="A12" s="29"/>
      <c r="B12" s="33"/>
      <c r="C12" s="33"/>
      <c r="D12" s="33"/>
      <c r="E12" s="36"/>
      <c r="F12" s="36"/>
      <c r="G12" s="197"/>
      <c r="H12" s="29"/>
      <c r="I12" s="33"/>
      <c r="J12" s="33"/>
      <c r="K12" s="35"/>
      <c r="L12" s="33"/>
      <c r="M12" s="29"/>
      <c r="N12" s="29"/>
      <c r="O12" s="29"/>
      <c r="P12" s="29"/>
      <c r="Q12" s="29"/>
      <c r="R12" s="29"/>
      <c r="S12" s="29"/>
      <c r="T12" s="29"/>
      <c r="U12" s="29"/>
      <c r="V12" s="29"/>
      <c r="W12" s="29"/>
      <c r="X12" s="29"/>
    </row>
    <row r="13" spans="1:24" x14ac:dyDescent="0.25">
      <c r="A13" s="28"/>
      <c r="B13" s="27"/>
      <c r="C13" s="27"/>
      <c r="D13" s="27"/>
      <c r="E13" s="38"/>
      <c r="F13" s="38"/>
      <c r="G13" s="149"/>
      <c r="H13" s="28"/>
      <c r="I13" s="28"/>
      <c r="J13" s="28"/>
      <c r="K13" s="28"/>
      <c r="L13" s="28"/>
      <c r="M13" s="28"/>
    </row>
    <row r="14" spans="1:24" x14ac:dyDescent="0.25">
      <c r="A14" s="28"/>
    </row>
    <row r="15" spans="1:24" x14ac:dyDescent="0.25">
      <c r="C15" s="28" t="s">
        <v>601</v>
      </c>
      <c r="D15" s="28"/>
      <c r="E15" s="28"/>
      <c r="F15" s="28"/>
      <c r="G15" s="28"/>
      <c r="H15" s="28"/>
      <c r="I15" s="28"/>
      <c r="J15" s="28"/>
      <c r="K15" s="28"/>
      <c r="L15" s="28"/>
      <c r="M15" s="28"/>
    </row>
    <row r="16" spans="1:24" x14ac:dyDescent="0.25">
      <c r="C16" s="28"/>
      <c r="D16" s="23"/>
      <c r="E16" s="23"/>
      <c r="F16" s="23"/>
      <c r="G16" s="23"/>
      <c r="H16" s="23"/>
      <c r="I16" s="28"/>
      <c r="J16" s="28"/>
      <c r="K16" s="28"/>
      <c r="L16" s="28"/>
      <c r="M16" s="28"/>
    </row>
    <row r="17" spans="1:20" ht="15.75" customHeight="1" x14ac:dyDescent="0.25">
      <c r="C17" s="332" t="s">
        <v>609</v>
      </c>
      <c r="D17" s="297"/>
      <c r="E17" s="297"/>
      <c r="F17" s="297"/>
      <c r="G17" s="297"/>
      <c r="H17" s="298"/>
      <c r="J17" s="332" t="s">
        <v>610</v>
      </c>
      <c r="K17" s="297"/>
      <c r="L17" s="297"/>
      <c r="M17" s="298"/>
      <c r="O17" s="351" t="s">
        <v>612</v>
      </c>
      <c r="P17" s="312"/>
      <c r="Q17" s="312"/>
      <c r="R17" s="312"/>
      <c r="S17" s="312"/>
      <c r="T17" s="313"/>
    </row>
    <row r="18" spans="1:20" ht="36" x14ac:dyDescent="0.2">
      <c r="C18" s="4" t="s">
        <v>0</v>
      </c>
      <c r="D18" s="5" t="s">
        <v>1</v>
      </c>
      <c r="E18" s="5" t="s">
        <v>42</v>
      </c>
      <c r="F18" s="5" t="s">
        <v>43</v>
      </c>
      <c r="G18" s="5" t="s">
        <v>44</v>
      </c>
      <c r="H18" s="7" t="s">
        <v>206</v>
      </c>
      <c r="J18" s="348" t="s">
        <v>45</v>
      </c>
      <c r="K18" s="318"/>
      <c r="L18" s="318"/>
      <c r="M18" s="319"/>
      <c r="O18" s="314"/>
      <c r="P18" s="315"/>
      <c r="Q18" s="315"/>
      <c r="R18" s="315"/>
      <c r="S18" s="315"/>
      <c r="T18" s="316"/>
    </row>
    <row r="19" spans="1:20" x14ac:dyDescent="0.25">
      <c r="A19" s="198"/>
      <c r="C19" s="310" t="s">
        <v>275</v>
      </c>
      <c r="D19" s="297"/>
      <c r="E19" s="297"/>
      <c r="F19" s="297"/>
      <c r="G19" s="297"/>
      <c r="H19" s="298"/>
      <c r="J19" s="305" t="s">
        <v>275</v>
      </c>
      <c r="K19" s="297"/>
      <c r="L19" s="297"/>
      <c r="M19" s="298"/>
      <c r="O19" s="314"/>
      <c r="P19" s="315"/>
      <c r="Q19" s="315"/>
      <c r="R19" s="315"/>
      <c r="S19" s="315"/>
      <c r="T19" s="316"/>
    </row>
    <row r="20" spans="1:20" ht="14.25" x14ac:dyDescent="0.2">
      <c r="C20" s="9" t="s">
        <v>11</v>
      </c>
      <c r="D20" s="12" t="s">
        <v>12</v>
      </c>
      <c r="E20" s="17">
        <v>540</v>
      </c>
      <c r="F20" s="22">
        <v>812</v>
      </c>
      <c r="G20" s="11">
        <v>545</v>
      </c>
      <c r="H20" s="110">
        <f>((F20-G20)/F20)</f>
        <v>0.3288177339901478</v>
      </c>
      <c r="J20" s="12"/>
      <c r="K20" s="12" t="s">
        <v>52</v>
      </c>
      <c r="L20" s="12" t="s">
        <v>53</v>
      </c>
      <c r="M20" s="12"/>
      <c r="O20" s="314"/>
      <c r="P20" s="315"/>
      <c r="Q20" s="315"/>
      <c r="R20" s="315"/>
      <c r="S20" s="315"/>
      <c r="T20" s="316"/>
    </row>
    <row r="21" spans="1:20" ht="15.75" customHeight="1" x14ac:dyDescent="0.2">
      <c r="C21" s="9" t="s">
        <v>11</v>
      </c>
      <c r="D21" s="12" t="s">
        <v>18</v>
      </c>
      <c r="E21" s="17">
        <v>0</v>
      </c>
      <c r="F21" s="22">
        <v>0</v>
      </c>
      <c r="G21" s="11">
        <v>0</v>
      </c>
      <c r="H21" s="110">
        <v>0</v>
      </c>
      <c r="J21" s="12" t="s">
        <v>12</v>
      </c>
      <c r="K21" s="17">
        <v>760</v>
      </c>
      <c r="L21" s="11">
        <v>540</v>
      </c>
      <c r="M21" s="17" t="s">
        <v>619</v>
      </c>
      <c r="O21" s="314"/>
      <c r="P21" s="315"/>
      <c r="Q21" s="315"/>
      <c r="R21" s="315"/>
      <c r="S21" s="315"/>
      <c r="T21" s="316"/>
    </row>
    <row r="22" spans="1:20" ht="15.75" customHeight="1" x14ac:dyDescent="0.2">
      <c r="C22" s="9" t="s">
        <v>21</v>
      </c>
      <c r="D22" s="12" t="s">
        <v>59</v>
      </c>
      <c r="E22" s="17">
        <v>440</v>
      </c>
      <c r="F22" s="22">
        <v>706</v>
      </c>
      <c r="G22" s="11">
        <v>439</v>
      </c>
      <c r="H22" s="110">
        <f t="shared" ref="H22:H23" si="1">((F22-G22)/F22)</f>
        <v>0.37818696883852693</v>
      </c>
      <c r="J22" s="12" t="s">
        <v>18</v>
      </c>
      <c r="K22" s="24">
        <v>0</v>
      </c>
      <c r="L22" s="25">
        <v>0</v>
      </c>
      <c r="M22" s="24" t="s">
        <v>620</v>
      </c>
      <c r="O22" s="314"/>
      <c r="P22" s="315"/>
      <c r="Q22" s="315"/>
      <c r="R22" s="315"/>
      <c r="S22" s="315"/>
      <c r="T22" s="316"/>
    </row>
    <row r="23" spans="1:20" ht="15.75" customHeight="1" x14ac:dyDescent="0.2">
      <c r="C23" s="12" t="s">
        <v>21</v>
      </c>
      <c r="D23" s="12" t="s">
        <v>63</v>
      </c>
      <c r="E23" s="24">
        <v>160</v>
      </c>
      <c r="F23" s="26">
        <v>261</v>
      </c>
      <c r="G23" s="25">
        <v>155</v>
      </c>
      <c r="H23" s="148">
        <f t="shared" si="1"/>
        <v>0.4061302681992337</v>
      </c>
      <c r="J23" s="330"/>
      <c r="K23" s="315"/>
      <c r="L23" s="315"/>
      <c r="M23" s="315"/>
      <c r="O23" s="317"/>
      <c r="P23" s="318"/>
      <c r="Q23" s="318"/>
      <c r="R23" s="318"/>
      <c r="S23" s="318"/>
      <c r="T23" s="319"/>
    </row>
    <row r="24" spans="1:20" ht="15.75" customHeight="1" x14ac:dyDescent="0.25">
      <c r="B24" s="28"/>
      <c r="C24" s="329"/>
      <c r="D24" s="315"/>
      <c r="E24" s="315"/>
      <c r="F24" s="315"/>
      <c r="G24" s="315"/>
      <c r="H24" s="315"/>
      <c r="I24" s="28"/>
      <c r="J24" s="27"/>
      <c r="K24" s="27"/>
      <c r="L24" s="31"/>
      <c r="M24" s="27"/>
      <c r="N24" s="28"/>
    </row>
    <row r="25" spans="1:20" ht="15.75" customHeight="1" x14ac:dyDescent="0.25">
      <c r="C25" s="147" t="s">
        <v>621</v>
      </c>
      <c r="D25" s="199"/>
      <c r="E25" s="200" t="s">
        <v>622</v>
      </c>
      <c r="F25" s="199"/>
    </row>
    <row r="26" spans="1:20" ht="15.75" customHeight="1" x14ac:dyDescent="0.25">
      <c r="C26" s="352">
        <v>0.46527777777777801</v>
      </c>
      <c r="D26" s="298"/>
      <c r="E26" s="353">
        <v>11.69</v>
      </c>
      <c r="F26" s="298"/>
    </row>
    <row r="27" spans="1:20" ht="15.75" customHeight="1" x14ac:dyDescent="0.25">
      <c r="C27" s="352">
        <v>0.46875</v>
      </c>
      <c r="D27" s="298"/>
      <c r="E27" s="353">
        <v>11.12</v>
      </c>
      <c r="F27" s="298"/>
    </row>
    <row r="28" spans="1:20" ht="15.75" customHeight="1" x14ac:dyDescent="0.25">
      <c r="C28" s="352">
        <v>0.47222222222222299</v>
      </c>
      <c r="D28" s="298"/>
      <c r="E28" s="353">
        <v>10.74</v>
      </c>
      <c r="F28" s="298"/>
    </row>
    <row r="29" spans="1:20" ht="15.75" customHeight="1" x14ac:dyDescent="0.25">
      <c r="C29" s="352">
        <v>0.47569444444444497</v>
      </c>
      <c r="D29" s="298"/>
      <c r="E29" s="353">
        <v>10.37</v>
      </c>
      <c r="F29" s="298"/>
    </row>
    <row r="30" spans="1:20" ht="15.75" customHeight="1" x14ac:dyDescent="0.2"/>
    <row r="31" spans="1:20" ht="15.75" customHeight="1" x14ac:dyDescent="0.2"/>
    <row r="32" spans="1:20"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2">
    <mergeCell ref="B11:G11"/>
    <mergeCell ref="C17:H17"/>
    <mergeCell ref="C28:D28"/>
    <mergeCell ref="C29:D29"/>
    <mergeCell ref="E29:F29"/>
    <mergeCell ref="C19:H19"/>
    <mergeCell ref="C24:H24"/>
    <mergeCell ref="C26:D26"/>
    <mergeCell ref="E26:F26"/>
    <mergeCell ref="C27:D27"/>
    <mergeCell ref="E27:F27"/>
    <mergeCell ref="E28:F28"/>
    <mergeCell ref="B4:G4"/>
    <mergeCell ref="I5:L5"/>
    <mergeCell ref="B6:G6"/>
    <mergeCell ref="I6:L6"/>
    <mergeCell ref="I10:L10"/>
    <mergeCell ref="J17:M17"/>
    <mergeCell ref="O17:T23"/>
    <mergeCell ref="J18:M18"/>
    <mergeCell ref="J19:M19"/>
    <mergeCell ref="J23:M23"/>
  </mergeCells>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workbookViewId="0"/>
  </sheetViews>
  <sheetFormatPr baseColWidth="10" defaultColWidth="12.625" defaultRowHeight="15" customHeight="1" x14ac:dyDescent="0.2"/>
  <cols>
    <col min="1" max="5" width="10" customWidth="1"/>
    <col min="6" max="6" width="10.375" customWidth="1"/>
    <col min="7" max="26" width="10" customWidth="1"/>
  </cols>
  <sheetData>
    <row r="1" spans="1:26" x14ac:dyDescent="0.25">
      <c r="A1" s="29"/>
      <c r="B1" s="29"/>
      <c r="C1" s="29"/>
      <c r="D1" s="29"/>
      <c r="E1" s="29"/>
      <c r="F1" s="29"/>
      <c r="G1" s="29"/>
      <c r="H1" s="29"/>
      <c r="I1" s="29"/>
      <c r="J1" s="29"/>
      <c r="K1" s="29"/>
      <c r="L1" s="29"/>
      <c r="M1" s="29"/>
      <c r="N1" s="29"/>
      <c r="O1" s="29"/>
      <c r="P1" s="29"/>
      <c r="Q1" s="29"/>
      <c r="R1" s="29"/>
      <c r="S1" s="29"/>
      <c r="T1" s="29"/>
      <c r="U1" s="29"/>
      <c r="V1" s="29"/>
      <c r="W1" s="29"/>
      <c r="X1" s="29"/>
      <c r="Y1" s="29"/>
      <c r="Z1" s="29"/>
    </row>
    <row r="2" spans="1:26" x14ac:dyDescent="0.25">
      <c r="B2" s="28" t="s">
        <v>623</v>
      </c>
      <c r="C2" s="28"/>
      <c r="D2" s="28"/>
      <c r="E2" s="28"/>
      <c r="F2" s="28"/>
      <c r="G2" s="28"/>
      <c r="H2" s="28"/>
      <c r="I2" s="28"/>
      <c r="J2" s="28"/>
      <c r="K2" s="28"/>
    </row>
    <row r="3" spans="1:26" x14ac:dyDescent="0.25">
      <c r="B3" s="28"/>
      <c r="C3" s="23"/>
      <c r="D3" s="23"/>
      <c r="E3" s="23"/>
      <c r="F3" s="23"/>
      <c r="G3" s="28"/>
      <c r="H3" s="28"/>
      <c r="I3" s="28"/>
      <c r="J3" s="28"/>
      <c r="K3" s="28"/>
    </row>
    <row r="4" spans="1:26" x14ac:dyDescent="0.25">
      <c r="B4" s="332"/>
      <c r="C4" s="297"/>
      <c r="D4" s="297"/>
      <c r="E4" s="297"/>
      <c r="F4" s="297"/>
    </row>
    <row r="5" spans="1:26" ht="36" x14ac:dyDescent="0.2">
      <c r="B5" s="4" t="s">
        <v>0</v>
      </c>
      <c r="C5" s="5" t="s">
        <v>1</v>
      </c>
      <c r="D5" s="5" t="s">
        <v>42</v>
      </c>
      <c r="E5" s="5" t="s">
        <v>43</v>
      </c>
      <c r="F5" s="5" t="s">
        <v>44</v>
      </c>
      <c r="H5" s="296" t="s">
        <v>45</v>
      </c>
      <c r="I5" s="297"/>
      <c r="J5" s="297"/>
      <c r="K5" s="298"/>
      <c r="M5" s="324" t="s">
        <v>626</v>
      </c>
      <c r="N5" s="315"/>
      <c r="O5" s="315"/>
      <c r="P5" s="315"/>
    </row>
    <row r="6" spans="1:26" ht="14.25" x14ac:dyDescent="0.2">
      <c r="B6" s="310" t="s">
        <v>275</v>
      </c>
      <c r="C6" s="297"/>
      <c r="D6" s="297"/>
      <c r="E6" s="297"/>
      <c r="F6" s="306"/>
      <c r="H6" s="305" t="s">
        <v>275</v>
      </c>
      <c r="I6" s="297"/>
      <c r="J6" s="297"/>
      <c r="K6" s="298"/>
      <c r="M6" s="315"/>
      <c r="N6" s="315"/>
      <c r="O6" s="315"/>
      <c r="P6" s="315"/>
    </row>
    <row r="7" spans="1:26" ht="14.25" x14ac:dyDescent="0.2">
      <c r="B7" s="9" t="s">
        <v>11</v>
      </c>
      <c r="C7" s="12" t="s">
        <v>12</v>
      </c>
      <c r="D7" s="17">
        <v>740</v>
      </c>
      <c r="E7" s="22">
        <v>801</v>
      </c>
      <c r="F7" s="11">
        <v>740</v>
      </c>
      <c r="H7" s="12"/>
      <c r="I7" s="12" t="s">
        <v>52</v>
      </c>
      <c r="J7" s="12" t="s">
        <v>53</v>
      </c>
      <c r="K7" s="12"/>
      <c r="M7" s="315"/>
      <c r="N7" s="315"/>
      <c r="O7" s="315"/>
      <c r="P7" s="315"/>
    </row>
    <row r="8" spans="1:26" ht="14.25" x14ac:dyDescent="0.2">
      <c r="B8" s="9" t="s">
        <v>11</v>
      </c>
      <c r="C8" s="12" t="s">
        <v>18</v>
      </c>
      <c r="D8" s="17">
        <v>0</v>
      </c>
      <c r="E8" s="22">
        <v>0</v>
      </c>
      <c r="F8" s="11">
        <v>0</v>
      </c>
      <c r="H8" s="12" t="s">
        <v>12</v>
      </c>
      <c r="I8" s="17">
        <v>740</v>
      </c>
      <c r="J8" s="11">
        <v>740</v>
      </c>
      <c r="K8" s="17" t="s">
        <v>627</v>
      </c>
      <c r="M8" s="315"/>
      <c r="N8" s="315"/>
      <c r="O8" s="315"/>
      <c r="P8" s="315"/>
    </row>
    <row r="9" spans="1:26" ht="25.5" x14ac:dyDescent="0.2">
      <c r="B9" s="9" t="s">
        <v>21</v>
      </c>
      <c r="C9" s="12" t="s">
        <v>59</v>
      </c>
      <c r="D9" s="17">
        <v>440</v>
      </c>
      <c r="E9" s="22">
        <v>509</v>
      </c>
      <c r="F9" s="11">
        <v>437</v>
      </c>
      <c r="H9" s="12" t="s">
        <v>18</v>
      </c>
      <c r="I9" s="24">
        <v>0</v>
      </c>
      <c r="J9" s="25">
        <v>0</v>
      </c>
      <c r="K9" s="24" t="s">
        <v>630</v>
      </c>
      <c r="M9" s="315"/>
      <c r="N9" s="315"/>
      <c r="O9" s="315"/>
      <c r="P9" s="315"/>
    </row>
    <row r="10" spans="1:26" ht="25.5" x14ac:dyDescent="0.2">
      <c r="B10" s="12" t="s">
        <v>21</v>
      </c>
      <c r="C10" s="12" t="s">
        <v>63</v>
      </c>
      <c r="D10" s="24">
        <v>160</v>
      </c>
      <c r="E10" s="26">
        <v>175</v>
      </c>
      <c r="F10" s="25">
        <v>163</v>
      </c>
      <c r="H10" s="330"/>
      <c r="I10" s="315"/>
      <c r="J10" s="315"/>
      <c r="K10" s="315"/>
    </row>
    <row r="15" spans="1:26" x14ac:dyDescent="0.25">
      <c r="A15" s="29"/>
      <c r="B15" s="29"/>
      <c r="C15" s="29"/>
      <c r="D15" s="29"/>
      <c r="E15" s="29"/>
      <c r="F15" s="29"/>
      <c r="G15" s="29"/>
      <c r="H15" s="29"/>
      <c r="I15" s="29"/>
      <c r="J15" s="29"/>
      <c r="K15" s="29"/>
      <c r="L15" s="29"/>
      <c r="M15" s="29"/>
      <c r="N15" s="29"/>
      <c r="O15" s="29"/>
      <c r="P15" s="29"/>
      <c r="Q15" s="29"/>
    </row>
    <row r="16" spans="1:26" x14ac:dyDescent="0.25">
      <c r="A16" s="28"/>
      <c r="B16" s="28" t="s">
        <v>623</v>
      </c>
      <c r="C16" s="28"/>
      <c r="D16" s="28"/>
      <c r="E16" s="28"/>
      <c r="F16" s="28"/>
      <c r="G16" s="28"/>
      <c r="H16" s="28"/>
      <c r="I16" s="28"/>
      <c r="J16" s="28"/>
      <c r="K16" s="28"/>
      <c r="L16" s="28"/>
      <c r="M16" s="28"/>
      <c r="N16" s="28"/>
      <c r="O16" s="28"/>
      <c r="P16" s="28"/>
      <c r="Q16" s="28"/>
    </row>
    <row r="17" spans="1:17" x14ac:dyDescent="0.25">
      <c r="A17" s="28"/>
      <c r="B17" s="28"/>
      <c r="C17" s="23"/>
      <c r="D17" s="23"/>
      <c r="E17" s="23"/>
      <c r="F17" s="23"/>
      <c r="G17" s="28"/>
      <c r="H17" s="28"/>
      <c r="I17" s="28"/>
      <c r="J17" s="28"/>
      <c r="K17" s="28"/>
      <c r="L17" s="28"/>
      <c r="M17" s="28"/>
      <c r="N17" s="28"/>
      <c r="O17" s="28"/>
      <c r="P17" s="28"/>
      <c r="Q17" s="28"/>
    </row>
    <row r="18" spans="1:17" x14ac:dyDescent="0.25">
      <c r="A18" s="28"/>
      <c r="B18" s="332" t="s">
        <v>633</v>
      </c>
      <c r="C18" s="297"/>
      <c r="D18" s="356"/>
      <c r="E18" s="297"/>
      <c r="F18" s="297"/>
      <c r="G18" s="28"/>
      <c r="H18" s="28"/>
      <c r="I18" s="28"/>
      <c r="J18" s="28"/>
      <c r="K18" s="28"/>
      <c r="L18" s="28"/>
      <c r="M18" s="28"/>
      <c r="N18" s="28"/>
      <c r="O18" s="28"/>
      <c r="P18" s="28"/>
      <c r="Q18" s="28"/>
    </row>
    <row r="19" spans="1:17" ht="36" x14ac:dyDescent="0.25">
      <c r="A19" s="28"/>
      <c r="B19" s="4" t="s">
        <v>0</v>
      </c>
      <c r="C19" s="5" t="s">
        <v>1</v>
      </c>
      <c r="D19" s="5" t="s">
        <v>42</v>
      </c>
      <c r="E19" s="5" t="s">
        <v>43</v>
      </c>
      <c r="F19" s="5" t="s">
        <v>44</v>
      </c>
      <c r="G19" s="28"/>
      <c r="H19" s="296" t="s">
        <v>45</v>
      </c>
      <c r="I19" s="297"/>
      <c r="J19" s="297"/>
      <c r="K19" s="298"/>
      <c r="L19" s="28"/>
      <c r="M19" s="324"/>
      <c r="N19" s="315"/>
      <c r="O19" s="315"/>
      <c r="P19" s="315"/>
      <c r="Q19" s="28"/>
    </row>
    <row r="20" spans="1:17" x14ac:dyDescent="0.25">
      <c r="A20" s="28"/>
      <c r="B20" s="310" t="s">
        <v>275</v>
      </c>
      <c r="C20" s="297"/>
      <c r="D20" s="297"/>
      <c r="E20" s="297"/>
      <c r="F20" s="306"/>
      <c r="G20" s="28"/>
      <c r="H20" s="305" t="s">
        <v>275</v>
      </c>
      <c r="I20" s="297"/>
      <c r="J20" s="297"/>
      <c r="K20" s="298"/>
      <c r="L20" s="28"/>
      <c r="M20" s="315"/>
      <c r="N20" s="315"/>
      <c r="O20" s="315"/>
      <c r="P20" s="315"/>
      <c r="Q20" s="28"/>
    </row>
    <row r="21" spans="1:17" ht="15.75" customHeight="1" x14ac:dyDescent="0.25">
      <c r="A21" s="28"/>
      <c r="B21" s="9" t="s">
        <v>11</v>
      </c>
      <c r="C21" s="12" t="s">
        <v>12</v>
      </c>
      <c r="D21" s="17">
        <v>740</v>
      </c>
      <c r="E21" s="22">
        <v>740</v>
      </c>
      <c r="F21" s="11">
        <v>745</v>
      </c>
      <c r="G21" s="28"/>
      <c r="H21" s="12"/>
      <c r="I21" s="12" t="s">
        <v>52</v>
      </c>
      <c r="J21" s="12" t="s">
        <v>53</v>
      </c>
      <c r="K21" s="12"/>
      <c r="L21" s="28"/>
      <c r="M21" s="315"/>
      <c r="N21" s="315"/>
      <c r="O21" s="315"/>
      <c r="P21" s="315"/>
      <c r="Q21" s="28"/>
    </row>
    <row r="22" spans="1:17" ht="15.75" customHeight="1" x14ac:dyDescent="0.25">
      <c r="A22" s="28"/>
      <c r="B22" s="9" t="s">
        <v>11</v>
      </c>
      <c r="C22" s="12" t="s">
        <v>18</v>
      </c>
      <c r="D22" s="17">
        <v>0</v>
      </c>
      <c r="E22" s="22">
        <v>0</v>
      </c>
      <c r="F22" s="11">
        <v>0</v>
      </c>
      <c r="G22" s="28"/>
      <c r="H22" s="12" t="s">
        <v>12</v>
      </c>
      <c r="I22" s="17">
        <v>740</v>
      </c>
      <c r="J22" s="11">
        <v>745</v>
      </c>
      <c r="K22" s="17" t="s">
        <v>640</v>
      </c>
      <c r="L22" s="28"/>
      <c r="M22" s="315"/>
      <c r="N22" s="315"/>
      <c r="O22" s="315"/>
      <c r="P22" s="315"/>
      <c r="Q22" s="28"/>
    </row>
    <row r="23" spans="1:17" ht="15.75" customHeight="1" x14ac:dyDescent="0.25">
      <c r="A23" s="28"/>
      <c r="B23" s="9" t="s">
        <v>21</v>
      </c>
      <c r="C23" s="12" t="s">
        <v>59</v>
      </c>
      <c r="D23" s="17">
        <v>440</v>
      </c>
      <c r="E23" s="22">
        <v>509</v>
      </c>
      <c r="F23" s="11">
        <v>457</v>
      </c>
      <c r="G23" s="28"/>
      <c r="H23" s="12" t="s">
        <v>18</v>
      </c>
      <c r="I23" s="24">
        <v>0</v>
      </c>
      <c r="J23" s="25">
        <v>0</v>
      </c>
      <c r="K23" s="24" t="s">
        <v>641</v>
      </c>
      <c r="L23" s="28"/>
      <c r="M23" s="315"/>
      <c r="N23" s="315"/>
      <c r="O23" s="315"/>
      <c r="P23" s="315"/>
      <c r="Q23" s="28"/>
    </row>
    <row r="24" spans="1:17" ht="15.75" customHeight="1" x14ac:dyDescent="0.25">
      <c r="A24" s="28"/>
      <c r="B24" s="12" t="s">
        <v>21</v>
      </c>
      <c r="C24" s="12" t="s">
        <v>63</v>
      </c>
      <c r="D24" s="24">
        <v>160</v>
      </c>
      <c r="E24" s="26">
        <v>175</v>
      </c>
      <c r="F24" s="25">
        <v>163</v>
      </c>
      <c r="G24" s="28"/>
      <c r="H24" s="354" t="s">
        <v>643</v>
      </c>
      <c r="I24" s="312"/>
      <c r="J24" s="355">
        <v>43590</v>
      </c>
      <c r="K24" s="315"/>
      <c r="L24" s="315"/>
      <c r="M24" s="28"/>
      <c r="N24" s="28"/>
      <c r="O24" s="28"/>
      <c r="P24" s="28"/>
      <c r="Q24" s="28"/>
    </row>
    <row r="25" spans="1:17" ht="15.75" customHeight="1" x14ac:dyDescent="0.25">
      <c r="A25" s="28"/>
      <c r="B25" s="12" t="s">
        <v>343</v>
      </c>
      <c r="C25" s="12" t="s">
        <v>343</v>
      </c>
      <c r="D25" s="24">
        <v>0</v>
      </c>
      <c r="E25" s="26">
        <v>0</v>
      </c>
      <c r="F25" s="25">
        <v>0</v>
      </c>
      <c r="G25" s="28"/>
      <c r="H25" s="28"/>
      <c r="I25" s="28"/>
      <c r="J25" s="28"/>
      <c r="K25" s="28"/>
      <c r="L25" s="28"/>
      <c r="M25" s="28"/>
      <c r="N25" s="28"/>
      <c r="O25" s="28"/>
      <c r="P25" s="28"/>
      <c r="Q25" s="28"/>
    </row>
    <row r="26" spans="1:17" ht="15.75" customHeight="1" x14ac:dyDescent="0.25">
      <c r="A26" s="28"/>
      <c r="B26" s="28"/>
      <c r="C26" s="28"/>
      <c r="D26" s="28"/>
      <c r="E26" s="28"/>
      <c r="F26" s="28"/>
      <c r="G26" s="28"/>
      <c r="H26" s="28"/>
      <c r="I26" s="28"/>
      <c r="J26" s="28"/>
      <c r="K26" s="28"/>
      <c r="L26" s="28"/>
      <c r="M26" s="28"/>
      <c r="N26" s="28"/>
      <c r="O26" s="28"/>
      <c r="P26" s="28"/>
      <c r="Q26" s="28"/>
    </row>
    <row r="27" spans="1:17" ht="15.75" customHeight="1" x14ac:dyDescent="0.2"/>
    <row r="28" spans="1:17" ht="15.75" customHeight="1" x14ac:dyDescent="0.2"/>
    <row r="29" spans="1:17" ht="15.75" customHeight="1" x14ac:dyDescent="0.2"/>
    <row r="30" spans="1:17" ht="15.75" customHeight="1" x14ac:dyDescent="0.2"/>
    <row r="31" spans="1:17" ht="15.75" customHeight="1" x14ac:dyDescent="0.2"/>
    <row r="32" spans="1: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4">
    <mergeCell ref="H24:I24"/>
    <mergeCell ref="J24:L24"/>
    <mergeCell ref="B4:F4"/>
    <mergeCell ref="H5:K5"/>
    <mergeCell ref="M5:P9"/>
    <mergeCell ref="B6:F6"/>
    <mergeCell ref="H6:K6"/>
    <mergeCell ref="H10:K10"/>
    <mergeCell ref="B18:C18"/>
    <mergeCell ref="D18:F18"/>
    <mergeCell ref="H19:K19"/>
    <mergeCell ref="M19:P23"/>
    <mergeCell ref="B20:F20"/>
    <mergeCell ref="H20:K20"/>
  </mergeCells>
  <pageMargins left="0.7" right="0.7" top="0.75" bottom="0.75" header="0" footer="0"/>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sheetViews>
  <sheetFormatPr baseColWidth="10" defaultColWidth="12.625" defaultRowHeight="15" customHeight="1" x14ac:dyDescent="0.2"/>
  <cols>
    <col min="1" max="5" width="10" customWidth="1"/>
    <col min="6" max="6" width="11.375" customWidth="1"/>
    <col min="7" max="26" width="10" customWidth="1"/>
  </cols>
  <sheetData>
    <row r="1" spans="2:11" x14ac:dyDescent="0.25">
      <c r="D1" s="184"/>
    </row>
    <row r="2" spans="2:11" x14ac:dyDescent="0.25">
      <c r="D2" s="184"/>
    </row>
    <row r="3" spans="2:11" x14ac:dyDescent="0.25">
      <c r="B3" s="28" t="s">
        <v>624</v>
      </c>
      <c r="C3" s="28"/>
      <c r="D3" s="184"/>
      <c r="E3" s="28"/>
      <c r="F3" s="28"/>
      <c r="G3" s="28"/>
      <c r="H3" s="28"/>
      <c r="I3" s="28"/>
      <c r="J3" s="28"/>
      <c r="K3" s="28"/>
    </row>
    <row r="4" spans="2:11" x14ac:dyDescent="0.25">
      <c r="B4" s="28"/>
      <c r="C4" s="23"/>
      <c r="D4" s="185"/>
      <c r="E4" s="23"/>
      <c r="F4" s="23"/>
      <c r="G4" s="28"/>
      <c r="H4" s="28"/>
      <c r="I4" s="28"/>
      <c r="J4" s="28"/>
      <c r="K4" s="28"/>
    </row>
    <row r="5" spans="2:11" x14ac:dyDescent="0.25">
      <c r="B5" s="332" t="s">
        <v>625</v>
      </c>
      <c r="C5" s="297"/>
      <c r="D5" s="297"/>
      <c r="E5" s="297"/>
      <c r="F5" s="297"/>
    </row>
    <row r="6" spans="2:11" ht="24" x14ac:dyDescent="0.2">
      <c r="B6" s="4" t="s">
        <v>0</v>
      </c>
      <c r="C6" s="5" t="s">
        <v>1</v>
      </c>
      <c r="D6" s="186" t="s">
        <v>42</v>
      </c>
      <c r="E6" s="5" t="s">
        <v>43</v>
      </c>
      <c r="F6" s="5" t="s">
        <v>44</v>
      </c>
      <c r="H6" s="296" t="s">
        <v>45</v>
      </c>
      <c r="I6" s="297"/>
      <c r="J6" s="297"/>
      <c r="K6" s="298"/>
    </row>
    <row r="7" spans="2:11" ht="14.25" x14ac:dyDescent="0.2">
      <c r="B7" s="310" t="s">
        <v>275</v>
      </c>
      <c r="C7" s="297"/>
      <c r="D7" s="297"/>
      <c r="E7" s="297"/>
      <c r="F7" s="306"/>
      <c r="H7" s="305" t="s">
        <v>275</v>
      </c>
      <c r="I7" s="297"/>
      <c r="J7" s="297"/>
      <c r="K7" s="298"/>
    </row>
    <row r="8" spans="2:11" ht="14.25" x14ac:dyDescent="0.2">
      <c r="B8" s="9" t="s">
        <v>11</v>
      </c>
      <c r="C8" s="12" t="s">
        <v>12</v>
      </c>
      <c r="D8" s="187">
        <v>470</v>
      </c>
      <c r="E8" s="22"/>
      <c r="F8" s="11">
        <v>470</v>
      </c>
      <c r="H8" s="12"/>
      <c r="I8" s="12" t="s">
        <v>52</v>
      </c>
      <c r="J8" s="12" t="s">
        <v>53</v>
      </c>
      <c r="K8" s="12"/>
    </row>
    <row r="9" spans="2:11" ht="14.25" x14ac:dyDescent="0.2">
      <c r="B9" s="9" t="s">
        <v>11</v>
      </c>
      <c r="C9" s="12" t="s">
        <v>18</v>
      </c>
      <c r="D9" s="187">
        <v>0</v>
      </c>
      <c r="E9" s="22"/>
      <c r="F9" s="11">
        <v>0</v>
      </c>
      <c r="H9" s="12" t="s">
        <v>12</v>
      </c>
      <c r="I9" s="17"/>
      <c r="J9" s="11">
        <v>470</v>
      </c>
      <c r="K9" s="17" t="s">
        <v>628</v>
      </c>
    </row>
    <row r="10" spans="2:11" ht="25.5" x14ac:dyDescent="0.2">
      <c r="B10" s="9" t="s">
        <v>21</v>
      </c>
      <c r="C10" s="12" t="s">
        <v>59</v>
      </c>
      <c r="D10" s="187">
        <v>440</v>
      </c>
      <c r="E10" s="22"/>
      <c r="F10" s="11">
        <v>440</v>
      </c>
      <c r="H10" s="12" t="s">
        <v>18</v>
      </c>
      <c r="I10" s="17"/>
      <c r="J10" s="11">
        <v>0</v>
      </c>
      <c r="K10" s="17" t="s">
        <v>629</v>
      </c>
    </row>
    <row r="11" spans="2:11" ht="25.5" x14ac:dyDescent="0.2">
      <c r="B11" s="9" t="s">
        <v>21</v>
      </c>
      <c r="C11" s="12" t="s">
        <v>63</v>
      </c>
      <c r="D11" s="187">
        <v>160</v>
      </c>
      <c r="E11" s="22"/>
      <c r="F11" s="11">
        <v>157</v>
      </c>
      <c r="H11" s="305" t="s">
        <v>313</v>
      </c>
      <c r="I11" s="297"/>
      <c r="J11" s="297"/>
      <c r="K11" s="298"/>
    </row>
    <row r="12" spans="2:11" ht="14.25" x14ac:dyDescent="0.2">
      <c r="B12" s="310" t="s">
        <v>313</v>
      </c>
      <c r="C12" s="297"/>
      <c r="D12" s="297"/>
      <c r="E12" s="297"/>
      <c r="F12" s="306"/>
      <c r="H12" s="12" t="s">
        <v>12</v>
      </c>
      <c r="I12" s="17"/>
      <c r="J12" s="11">
        <v>455</v>
      </c>
      <c r="K12" s="17" t="s">
        <v>631</v>
      </c>
    </row>
    <row r="13" spans="2:11" ht="14.25" x14ac:dyDescent="0.2">
      <c r="B13" s="9" t="s">
        <v>11</v>
      </c>
      <c r="C13" s="12" t="s">
        <v>12</v>
      </c>
      <c r="D13" s="187">
        <v>460</v>
      </c>
      <c r="E13" s="22"/>
      <c r="F13" s="22">
        <v>455</v>
      </c>
      <c r="H13" s="12" t="s">
        <v>18</v>
      </c>
      <c r="I13" s="17"/>
      <c r="J13" s="11">
        <v>0</v>
      </c>
      <c r="K13" s="17" t="s">
        <v>632</v>
      </c>
    </row>
    <row r="14" spans="2:11" ht="14.25" x14ac:dyDescent="0.2">
      <c r="B14" s="9" t="s">
        <v>11</v>
      </c>
      <c r="C14" s="12" t="s">
        <v>18</v>
      </c>
      <c r="D14" s="187">
        <v>0</v>
      </c>
      <c r="E14" s="22"/>
      <c r="F14" s="22">
        <v>0</v>
      </c>
    </row>
    <row r="15" spans="2:11" ht="25.5" x14ac:dyDescent="0.2">
      <c r="B15" s="9" t="s">
        <v>21</v>
      </c>
      <c r="C15" s="12" t="s">
        <v>59</v>
      </c>
      <c r="D15" s="187">
        <v>430</v>
      </c>
      <c r="E15" s="22"/>
      <c r="F15" s="22">
        <v>432</v>
      </c>
    </row>
    <row r="16" spans="2:11" ht="25.5" x14ac:dyDescent="0.2">
      <c r="B16" s="9" t="s">
        <v>21</v>
      </c>
      <c r="C16" s="12" t="s">
        <v>63</v>
      </c>
      <c r="D16" s="187">
        <v>150</v>
      </c>
      <c r="E16" s="22"/>
      <c r="F16" s="22">
        <v>152</v>
      </c>
    </row>
    <row r="17" spans="1:16" x14ac:dyDescent="0.2">
      <c r="C17" s="2"/>
      <c r="D17" s="188"/>
    </row>
    <row r="18" spans="1:16" x14ac:dyDescent="0.25">
      <c r="A18" s="29"/>
      <c r="B18" s="29"/>
      <c r="C18" s="32"/>
      <c r="D18" s="192"/>
      <c r="E18" s="29"/>
      <c r="F18" s="29"/>
      <c r="G18" s="29"/>
      <c r="H18" s="29"/>
      <c r="I18" s="29"/>
      <c r="J18" s="29"/>
      <c r="K18" s="29"/>
      <c r="L18" s="29"/>
      <c r="M18" s="29"/>
      <c r="N18" s="29"/>
      <c r="O18" s="29"/>
      <c r="P18" s="29"/>
    </row>
    <row r="19" spans="1:16" x14ac:dyDescent="0.2">
      <c r="C19" s="2"/>
      <c r="D19" s="189"/>
    </row>
    <row r="20" spans="1:16" x14ac:dyDescent="0.25">
      <c r="B20" s="28" t="s">
        <v>624</v>
      </c>
      <c r="C20" s="28"/>
      <c r="D20" s="184"/>
      <c r="E20" s="28"/>
      <c r="F20" s="28"/>
      <c r="G20" s="28"/>
      <c r="H20" s="28"/>
      <c r="I20" s="28"/>
      <c r="J20" s="28"/>
      <c r="K20" s="28"/>
    </row>
    <row r="21" spans="1:16" ht="15.75" customHeight="1" x14ac:dyDescent="0.25">
      <c r="B21" s="28"/>
      <c r="C21" s="23"/>
      <c r="D21" s="185"/>
      <c r="E21" s="23"/>
      <c r="F21" s="23"/>
      <c r="G21" s="28"/>
      <c r="H21" s="28"/>
      <c r="I21" s="28"/>
      <c r="J21" s="28"/>
      <c r="K21" s="28"/>
    </row>
    <row r="22" spans="1:16" ht="15.75" customHeight="1" x14ac:dyDescent="0.25">
      <c r="B22" s="332" t="s">
        <v>634</v>
      </c>
      <c r="C22" s="297"/>
      <c r="D22" s="297"/>
      <c r="E22" s="297"/>
      <c r="F22" s="297"/>
    </row>
    <row r="23" spans="1:16" ht="15.75" customHeight="1" x14ac:dyDescent="0.2">
      <c r="B23" s="4" t="s">
        <v>0</v>
      </c>
      <c r="C23" s="5" t="s">
        <v>1</v>
      </c>
      <c r="D23" s="186" t="s">
        <v>42</v>
      </c>
      <c r="E23" s="5" t="s">
        <v>43</v>
      </c>
      <c r="F23" s="5" t="s">
        <v>44</v>
      </c>
      <c r="H23" s="296" t="s">
        <v>45</v>
      </c>
      <c r="I23" s="297"/>
      <c r="J23" s="297"/>
      <c r="K23" s="298"/>
    </row>
    <row r="24" spans="1:16" ht="15.75" customHeight="1" x14ac:dyDescent="0.2">
      <c r="B24" s="310" t="s">
        <v>275</v>
      </c>
      <c r="C24" s="297"/>
      <c r="D24" s="297"/>
      <c r="E24" s="297"/>
      <c r="F24" s="306"/>
      <c r="H24" s="305" t="s">
        <v>275</v>
      </c>
      <c r="I24" s="297"/>
      <c r="J24" s="297"/>
      <c r="K24" s="298"/>
    </row>
    <row r="25" spans="1:16" ht="15.75" customHeight="1" x14ac:dyDescent="0.2">
      <c r="B25" s="9" t="s">
        <v>11</v>
      </c>
      <c r="C25" s="12" t="s">
        <v>12</v>
      </c>
      <c r="D25" s="187">
        <v>470</v>
      </c>
      <c r="E25" s="22">
        <v>469</v>
      </c>
      <c r="F25" s="11">
        <v>546</v>
      </c>
      <c r="H25" s="12"/>
      <c r="I25" s="12" t="s">
        <v>52</v>
      </c>
      <c r="J25" s="12" t="s">
        <v>53</v>
      </c>
      <c r="K25" s="12"/>
    </row>
    <row r="26" spans="1:16" ht="15.75" customHeight="1" x14ac:dyDescent="0.2">
      <c r="B26" s="9" t="s">
        <v>11</v>
      </c>
      <c r="C26" s="12" t="s">
        <v>18</v>
      </c>
      <c r="D26" s="187">
        <v>0</v>
      </c>
      <c r="E26" s="22">
        <v>0</v>
      </c>
      <c r="F26" s="11">
        <v>0</v>
      </c>
      <c r="H26" s="12" t="s">
        <v>12</v>
      </c>
      <c r="I26" s="17">
        <v>470</v>
      </c>
      <c r="J26" s="11">
        <v>545</v>
      </c>
      <c r="K26" s="17" t="s">
        <v>635</v>
      </c>
    </row>
    <row r="27" spans="1:16" ht="15.75" customHeight="1" x14ac:dyDescent="0.2">
      <c r="B27" s="9" t="s">
        <v>21</v>
      </c>
      <c r="C27" s="12" t="s">
        <v>59</v>
      </c>
      <c r="D27" s="187">
        <v>440</v>
      </c>
      <c r="E27" s="22">
        <v>374</v>
      </c>
      <c r="F27" s="11">
        <v>438</v>
      </c>
      <c r="H27" s="12" t="s">
        <v>18</v>
      </c>
      <c r="I27" s="17">
        <v>0</v>
      </c>
      <c r="J27" s="11">
        <v>0</v>
      </c>
      <c r="K27" s="17" t="s">
        <v>636</v>
      </c>
    </row>
    <row r="28" spans="1:16" ht="15.75" customHeight="1" x14ac:dyDescent="0.2">
      <c r="B28" s="9" t="s">
        <v>21</v>
      </c>
      <c r="C28" s="12" t="s">
        <v>63</v>
      </c>
      <c r="D28" s="187">
        <v>160</v>
      </c>
      <c r="E28" s="22">
        <v>129</v>
      </c>
      <c r="F28" s="11">
        <v>168</v>
      </c>
      <c r="H28" s="305" t="s">
        <v>313</v>
      </c>
      <c r="I28" s="297"/>
      <c r="J28" s="297"/>
      <c r="K28" s="298"/>
    </row>
    <row r="29" spans="1:16" ht="15.75" customHeight="1" x14ac:dyDescent="0.2">
      <c r="B29" s="310" t="s">
        <v>313</v>
      </c>
      <c r="C29" s="297"/>
      <c r="D29" s="297"/>
      <c r="E29" s="297"/>
      <c r="F29" s="306"/>
      <c r="H29" s="12" t="s">
        <v>12</v>
      </c>
      <c r="I29" s="17">
        <v>455</v>
      </c>
      <c r="J29" s="11">
        <v>525</v>
      </c>
      <c r="K29" s="17" t="s">
        <v>637</v>
      </c>
    </row>
    <row r="30" spans="1:16" ht="15.75" customHeight="1" x14ac:dyDescent="0.2">
      <c r="B30" s="9" t="s">
        <v>11</v>
      </c>
      <c r="C30" s="12" t="s">
        <v>12</v>
      </c>
      <c r="D30" s="187">
        <v>460</v>
      </c>
      <c r="E30" s="22">
        <v>455</v>
      </c>
      <c r="F30" s="22">
        <v>525</v>
      </c>
      <c r="H30" s="12" t="s">
        <v>18</v>
      </c>
      <c r="I30" s="17">
        <v>0</v>
      </c>
      <c r="J30" s="11">
        <v>0</v>
      </c>
      <c r="K30" s="17" t="s">
        <v>639</v>
      </c>
    </row>
    <row r="31" spans="1:16" ht="15.75" customHeight="1" x14ac:dyDescent="0.2">
      <c r="B31" s="9" t="s">
        <v>11</v>
      </c>
      <c r="C31" s="12" t="s">
        <v>18</v>
      </c>
      <c r="D31" s="187">
        <v>0</v>
      </c>
      <c r="E31" s="22">
        <v>0</v>
      </c>
      <c r="F31" s="22">
        <v>0</v>
      </c>
    </row>
    <row r="32" spans="1:16" ht="15.75" customHeight="1" x14ac:dyDescent="0.2">
      <c r="B32" s="9" t="s">
        <v>21</v>
      </c>
      <c r="C32" s="12" t="s">
        <v>59</v>
      </c>
      <c r="D32" s="187">
        <v>430</v>
      </c>
      <c r="E32" s="22">
        <v>362</v>
      </c>
      <c r="F32" s="22">
        <v>421</v>
      </c>
    </row>
    <row r="33" spans="1:26" ht="15.75" customHeight="1" x14ac:dyDescent="0.2">
      <c r="B33" s="9" t="s">
        <v>21</v>
      </c>
      <c r="C33" s="12" t="s">
        <v>63</v>
      </c>
      <c r="D33" s="187">
        <v>150</v>
      </c>
      <c r="E33" s="22">
        <v>125</v>
      </c>
      <c r="F33" s="22">
        <v>152</v>
      </c>
    </row>
    <row r="34" spans="1:26" ht="15.75" customHeight="1" x14ac:dyDescent="0.25">
      <c r="D34" s="184"/>
    </row>
    <row r="35" spans="1:26" ht="15.75" customHeight="1" x14ac:dyDescent="0.25">
      <c r="D35" s="184"/>
    </row>
    <row r="36" spans="1:26" ht="15.75" customHeight="1" x14ac:dyDescent="0.25">
      <c r="A36" s="29"/>
      <c r="B36" s="29"/>
      <c r="C36" s="29"/>
      <c r="D36" s="196"/>
      <c r="E36" s="29"/>
      <c r="F36" s="29"/>
      <c r="G36" s="29"/>
      <c r="H36" s="29"/>
      <c r="I36" s="29"/>
      <c r="J36" s="29"/>
      <c r="K36" s="29"/>
      <c r="L36" s="29"/>
      <c r="M36" s="29"/>
      <c r="N36" s="29"/>
      <c r="O36" s="29"/>
      <c r="P36" s="29"/>
      <c r="Q36" s="29"/>
      <c r="R36" s="29"/>
      <c r="S36" s="29"/>
      <c r="T36" s="29"/>
      <c r="U36" s="29"/>
      <c r="V36" s="29"/>
      <c r="W36" s="29"/>
      <c r="X36" s="29"/>
      <c r="Y36" s="29"/>
      <c r="Z36" s="29"/>
    </row>
    <row r="37" spans="1:26" ht="15.75" customHeight="1" x14ac:dyDescent="0.25">
      <c r="D37" s="184"/>
    </row>
    <row r="38" spans="1:26" ht="15.75" customHeight="1" x14ac:dyDescent="0.25">
      <c r="D38" s="184"/>
    </row>
    <row r="39" spans="1:26" ht="15.75" customHeight="1" x14ac:dyDescent="0.25">
      <c r="B39" s="21" t="s">
        <v>642</v>
      </c>
      <c r="D39" s="184"/>
    </row>
    <row r="40" spans="1:26" ht="15.75" customHeight="1" x14ac:dyDescent="0.25">
      <c r="D40" s="184"/>
    </row>
    <row r="41" spans="1:26" ht="15.75" customHeight="1" x14ac:dyDescent="0.25">
      <c r="B41" s="304" t="s">
        <v>644</v>
      </c>
      <c r="C41" s="297"/>
      <c r="D41" s="297"/>
      <c r="E41" s="297"/>
      <c r="F41" s="154"/>
      <c r="I41" s="3"/>
    </row>
    <row r="42" spans="1:26" ht="15.75" customHeight="1" x14ac:dyDescent="0.2">
      <c r="B42" s="4" t="s">
        <v>0</v>
      </c>
      <c r="C42" s="5" t="s">
        <v>1</v>
      </c>
      <c r="D42" s="186" t="s">
        <v>2</v>
      </c>
      <c r="E42" s="5" t="s">
        <v>43</v>
      </c>
      <c r="F42" s="45" t="s">
        <v>125</v>
      </c>
      <c r="H42" s="296" t="s">
        <v>6</v>
      </c>
      <c r="I42" s="297"/>
      <c r="J42" s="297"/>
      <c r="K42" s="297"/>
      <c r="L42" s="297"/>
      <c r="M42" s="298"/>
    </row>
    <row r="43" spans="1:26" ht="15.75" customHeight="1" x14ac:dyDescent="0.2">
      <c r="B43" s="9" t="s">
        <v>7</v>
      </c>
      <c r="C43" s="302" t="s">
        <v>9</v>
      </c>
      <c r="D43" s="47">
        <v>28.1</v>
      </c>
      <c r="E43" s="47">
        <f t="shared" ref="E43:E47" ca="1" si="0">RANDBETWEEN(1,7)*F43/10</f>
        <v>31.5</v>
      </c>
      <c r="F43" s="11">
        <v>45</v>
      </c>
      <c r="H43" s="296" t="s">
        <v>106</v>
      </c>
      <c r="I43" s="297"/>
      <c r="J43" s="298"/>
      <c r="K43" s="296" t="s">
        <v>107</v>
      </c>
      <c r="L43" s="297"/>
      <c r="M43" s="298"/>
    </row>
    <row r="44" spans="1:26" ht="15.75" customHeight="1" x14ac:dyDescent="0.2">
      <c r="B44" s="9" t="s">
        <v>17</v>
      </c>
      <c r="C44" s="300"/>
      <c r="D44" s="47">
        <v>63.911000000000001</v>
      </c>
      <c r="E44" s="47">
        <f t="shared" ca="1" si="0"/>
        <v>10.8</v>
      </c>
      <c r="F44" s="11">
        <v>36</v>
      </c>
      <c r="H44" s="13" t="s">
        <v>13</v>
      </c>
      <c r="I44" s="39">
        <f>I46+I46*0.05</f>
        <v>674.1</v>
      </c>
      <c r="J44" s="17" t="s">
        <v>646</v>
      </c>
      <c r="K44" s="13" t="s">
        <v>13</v>
      </c>
      <c r="L44" s="14">
        <f>L46+L46*0.05</f>
        <v>672</v>
      </c>
      <c r="M44" s="17" t="s">
        <v>647</v>
      </c>
    </row>
    <row r="45" spans="1:26" ht="15.75" customHeight="1" x14ac:dyDescent="0.2">
      <c r="B45" s="9" t="s">
        <v>26</v>
      </c>
      <c r="C45" s="300"/>
      <c r="D45" s="47">
        <v>69.921999999999997</v>
      </c>
      <c r="E45" s="47">
        <f t="shared" ca="1" si="0"/>
        <v>22.8</v>
      </c>
      <c r="F45" s="11">
        <v>38</v>
      </c>
      <c r="H45" s="13" t="s">
        <v>19</v>
      </c>
      <c r="I45" s="40">
        <f>I46-I46*0.05</f>
        <v>609.9</v>
      </c>
      <c r="J45" s="17" t="s">
        <v>648</v>
      </c>
      <c r="K45" s="13" t="s">
        <v>19</v>
      </c>
      <c r="L45" s="18">
        <f>L46-L46*0.05</f>
        <v>608</v>
      </c>
      <c r="M45" s="17" t="s">
        <v>649</v>
      </c>
    </row>
    <row r="46" spans="1:26" ht="15.75" customHeight="1" x14ac:dyDescent="0.2">
      <c r="B46" s="9" t="s">
        <v>32</v>
      </c>
      <c r="C46" s="300"/>
      <c r="D46" s="47">
        <v>96.744</v>
      </c>
      <c r="E46" s="47">
        <f t="shared" ca="1" si="0"/>
        <v>9.6</v>
      </c>
      <c r="F46" s="11">
        <v>96</v>
      </c>
      <c r="H46" s="13" t="s">
        <v>27</v>
      </c>
      <c r="I46" s="20">
        <v>642</v>
      </c>
      <c r="J46" s="17" t="s">
        <v>650</v>
      </c>
      <c r="K46" s="13" t="s">
        <v>27</v>
      </c>
      <c r="L46" s="20">
        <v>640</v>
      </c>
      <c r="M46" s="17" t="s">
        <v>651</v>
      </c>
    </row>
    <row r="47" spans="1:26" ht="15.75" customHeight="1" x14ac:dyDescent="0.2">
      <c r="B47" s="9" t="s">
        <v>33</v>
      </c>
      <c r="C47" s="301"/>
      <c r="D47" s="47">
        <v>128.11000000000001</v>
      </c>
      <c r="E47" s="47">
        <f t="shared" ca="1" si="0"/>
        <v>77</v>
      </c>
      <c r="F47" s="11">
        <v>110</v>
      </c>
      <c r="H47" s="13" t="s">
        <v>121</v>
      </c>
      <c r="I47" s="20">
        <v>660</v>
      </c>
      <c r="J47" s="17" t="s">
        <v>652</v>
      </c>
      <c r="K47" s="13" t="s">
        <v>121</v>
      </c>
      <c r="L47" s="20">
        <v>641</v>
      </c>
      <c r="M47" s="17" t="s">
        <v>653</v>
      </c>
    </row>
    <row r="48" spans="1:26" ht="15.75" customHeight="1" x14ac:dyDescent="0.25">
      <c r="B48" s="296"/>
      <c r="C48" s="297"/>
      <c r="D48" s="297"/>
      <c r="E48" s="297"/>
      <c r="F48" s="298"/>
      <c r="I48" s="3"/>
    </row>
    <row r="49" spans="2:9" ht="15.75" customHeight="1" x14ac:dyDescent="0.25">
      <c r="B49" s="9" t="s">
        <v>35</v>
      </c>
      <c r="C49" s="302" t="s">
        <v>36</v>
      </c>
      <c r="D49" s="47">
        <v>207.78</v>
      </c>
      <c r="E49" s="47">
        <f ca="1">RANDBETWEEN(1,3)*F49/10</f>
        <v>22.8</v>
      </c>
      <c r="F49" s="11">
        <v>228</v>
      </c>
      <c r="I49" s="3"/>
    </row>
    <row r="50" spans="2:9" ht="15.75" customHeight="1" x14ac:dyDescent="0.25">
      <c r="B50" s="9" t="s">
        <v>37</v>
      </c>
      <c r="C50" s="300"/>
      <c r="D50" s="47">
        <v>444.11</v>
      </c>
      <c r="E50" s="47">
        <f t="shared" ref="E50:E53" ca="1" si="1">RANDBETWEEN(1,7)*F50/10</f>
        <v>38.700000000000003</v>
      </c>
      <c r="F50" s="11">
        <v>387</v>
      </c>
      <c r="I50" s="3"/>
    </row>
    <row r="51" spans="2:9" ht="15.75" customHeight="1" x14ac:dyDescent="0.25">
      <c r="B51" s="9" t="s">
        <v>38</v>
      </c>
      <c r="C51" s="300"/>
      <c r="D51" s="47">
        <v>579.55999999999995</v>
      </c>
      <c r="E51" s="47">
        <f t="shared" ca="1" si="1"/>
        <v>95.2</v>
      </c>
      <c r="F51" s="11">
        <v>476</v>
      </c>
      <c r="I51" s="3"/>
    </row>
    <row r="52" spans="2:9" ht="15.75" customHeight="1" x14ac:dyDescent="0.25">
      <c r="B52" s="9" t="s">
        <v>39</v>
      </c>
      <c r="C52" s="300"/>
      <c r="D52" s="47">
        <v>746.22</v>
      </c>
      <c r="E52" s="47">
        <f t="shared" ca="1" si="1"/>
        <v>401.4</v>
      </c>
      <c r="F52" s="11">
        <v>669</v>
      </c>
      <c r="I52" s="3"/>
    </row>
    <row r="53" spans="2:9" ht="15.75" customHeight="1" x14ac:dyDescent="0.25">
      <c r="B53" s="49" t="s">
        <v>41</v>
      </c>
      <c r="C53" s="300"/>
      <c r="D53" s="50">
        <v>869.5</v>
      </c>
      <c r="E53" s="47">
        <f t="shared" ca="1" si="1"/>
        <v>231.3</v>
      </c>
      <c r="F53" s="11">
        <v>771</v>
      </c>
      <c r="I53" s="3"/>
    </row>
    <row r="54" spans="2:9" ht="15.75" customHeight="1" x14ac:dyDescent="0.25">
      <c r="B54" s="308"/>
      <c r="C54" s="297"/>
      <c r="D54" s="297"/>
      <c r="E54" s="297"/>
      <c r="F54" s="306"/>
      <c r="I54" s="3"/>
    </row>
    <row r="55" spans="2:9" ht="15.75" customHeight="1" x14ac:dyDescent="0.25">
      <c r="B55" s="9" t="s">
        <v>46</v>
      </c>
      <c r="C55" s="299" t="s">
        <v>47</v>
      </c>
      <c r="D55" s="47">
        <v>88.4</v>
      </c>
      <c r="E55" s="47">
        <f t="shared" ref="E55:E56" ca="1" si="2">RANDBETWEEN(1,7)*F55/10</f>
        <v>24.9</v>
      </c>
      <c r="F55" s="11">
        <v>83</v>
      </c>
      <c r="I55" s="3"/>
    </row>
    <row r="56" spans="2:9" ht="15.75" customHeight="1" x14ac:dyDescent="0.25">
      <c r="B56" s="9" t="s">
        <v>48</v>
      </c>
      <c r="C56" s="300"/>
      <c r="D56" s="47">
        <v>94.6</v>
      </c>
      <c r="E56" s="47">
        <f t="shared" ca="1" si="2"/>
        <v>16.600000000000001</v>
      </c>
      <c r="F56" s="11">
        <v>83</v>
      </c>
      <c r="I56" s="3"/>
    </row>
    <row r="57" spans="2:9" ht="15.75" customHeight="1" x14ac:dyDescent="0.25">
      <c r="B57" s="296"/>
      <c r="C57" s="297"/>
      <c r="D57" s="297"/>
      <c r="E57" s="297"/>
      <c r="F57" s="11"/>
      <c r="I57" s="3"/>
    </row>
    <row r="58" spans="2:9" ht="15.75" customHeight="1" x14ac:dyDescent="0.25">
      <c r="B58" s="9" t="s">
        <v>50</v>
      </c>
      <c r="C58" s="302" t="s">
        <v>51</v>
      </c>
      <c r="D58" s="47">
        <v>271.44400000000002</v>
      </c>
      <c r="E58" s="47">
        <f t="shared" ref="E58:E62" ca="1" si="3">RANDBETWEEN(1,7)*F58/10</f>
        <v>129</v>
      </c>
      <c r="F58" s="11">
        <v>258</v>
      </c>
      <c r="I58" s="3"/>
    </row>
    <row r="59" spans="2:9" ht="15.75" customHeight="1" x14ac:dyDescent="0.25">
      <c r="B59" s="9" t="s">
        <v>54</v>
      </c>
      <c r="C59" s="300"/>
      <c r="D59" s="47">
        <v>550.22199999999998</v>
      </c>
      <c r="E59" s="47">
        <f t="shared" ca="1" si="3"/>
        <v>94.4</v>
      </c>
      <c r="F59" s="11">
        <v>236</v>
      </c>
      <c r="I59" s="3"/>
    </row>
    <row r="60" spans="2:9" ht="15.75" customHeight="1" x14ac:dyDescent="0.25">
      <c r="B60" s="9" t="s">
        <v>55</v>
      </c>
      <c r="C60" s="300"/>
      <c r="D60" s="47">
        <v>609</v>
      </c>
      <c r="E60" s="47">
        <f t="shared" ca="1" si="3"/>
        <v>254</v>
      </c>
      <c r="F60" s="11">
        <v>635</v>
      </c>
      <c r="I60" s="3"/>
    </row>
    <row r="61" spans="2:9" ht="15.75" customHeight="1" x14ac:dyDescent="0.25">
      <c r="B61" s="9" t="s">
        <v>56</v>
      </c>
      <c r="C61" s="300"/>
      <c r="D61" s="47">
        <v>739.11099999999999</v>
      </c>
      <c r="E61" s="47">
        <f t="shared" ca="1" si="3"/>
        <v>75.2</v>
      </c>
      <c r="F61" s="11">
        <v>752</v>
      </c>
      <c r="I61" s="3"/>
    </row>
    <row r="62" spans="2:9" ht="15.75" customHeight="1" x14ac:dyDescent="0.25">
      <c r="B62" s="49" t="s">
        <v>57</v>
      </c>
      <c r="C62" s="300"/>
      <c r="D62" s="50">
        <v>746.88900000000001</v>
      </c>
      <c r="E62" s="47">
        <f t="shared" ca="1" si="3"/>
        <v>332.4</v>
      </c>
      <c r="F62" s="11">
        <v>554</v>
      </c>
      <c r="I62" s="3"/>
    </row>
    <row r="63" spans="2:9" ht="15.75" customHeight="1" x14ac:dyDescent="0.25">
      <c r="B63" s="308"/>
      <c r="C63" s="297"/>
      <c r="D63" s="297"/>
      <c r="E63" s="297"/>
      <c r="F63" s="306"/>
      <c r="I63" s="3"/>
    </row>
    <row r="64" spans="2:9" ht="15.75" customHeight="1" x14ac:dyDescent="0.25">
      <c r="B64" s="9" t="s">
        <v>60</v>
      </c>
      <c r="C64" s="299" t="s">
        <v>62</v>
      </c>
      <c r="D64" s="47">
        <v>21</v>
      </c>
      <c r="E64" s="47">
        <f t="shared" ref="E64:E66" ca="1" si="4">RANDBETWEEN(1,7)*F64/10</f>
        <v>2.1</v>
      </c>
      <c r="F64" s="11">
        <v>21</v>
      </c>
      <c r="I64" s="3"/>
    </row>
    <row r="65" spans="2:9" ht="15.75" customHeight="1" x14ac:dyDescent="0.25">
      <c r="B65" s="9" t="s">
        <v>64</v>
      </c>
      <c r="C65" s="300"/>
      <c r="D65" s="47">
        <v>33.31</v>
      </c>
      <c r="E65" s="47">
        <f t="shared" ca="1" si="4"/>
        <v>30.1</v>
      </c>
      <c r="F65" s="11">
        <v>43</v>
      </c>
      <c r="I65" s="3"/>
    </row>
    <row r="66" spans="2:9" ht="15.75" customHeight="1" x14ac:dyDescent="0.25">
      <c r="B66" s="9" t="s">
        <v>65</v>
      </c>
      <c r="C66" s="301"/>
      <c r="D66" s="47">
        <v>41.74</v>
      </c>
      <c r="E66" s="47">
        <f t="shared" ca="1" si="4"/>
        <v>6.3</v>
      </c>
      <c r="F66" s="11">
        <v>21</v>
      </c>
      <c r="I66" s="3"/>
    </row>
    <row r="67" spans="2:9" ht="15.75" customHeight="1" x14ac:dyDescent="0.25">
      <c r="B67" s="296"/>
      <c r="C67" s="297"/>
      <c r="D67" s="297"/>
      <c r="E67" s="297"/>
      <c r="F67" s="11"/>
      <c r="I67" s="3"/>
    </row>
    <row r="68" spans="2:9" ht="15.75" customHeight="1" x14ac:dyDescent="0.25">
      <c r="B68" s="9" t="s">
        <v>66</v>
      </c>
      <c r="C68" s="302" t="s">
        <v>68</v>
      </c>
      <c r="D68" s="47">
        <v>204.5</v>
      </c>
      <c r="E68" s="47">
        <f t="shared" ref="E68:E69" ca="1" si="5">RANDBETWEEN(1,7)*F68/10</f>
        <v>157.5</v>
      </c>
      <c r="F68" s="11">
        <v>225</v>
      </c>
      <c r="I68" s="3"/>
    </row>
    <row r="69" spans="2:9" ht="15.75" customHeight="1" x14ac:dyDescent="0.25">
      <c r="B69" s="49" t="s">
        <v>69</v>
      </c>
      <c r="C69" s="300"/>
      <c r="D69" s="50">
        <v>277.7</v>
      </c>
      <c r="E69" s="47">
        <f t="shared" ca="1" si="5"/>
        <v>57.2</v>
      </c>
      <c r="F69" s="11">
        <v>286</v>
      </c>
      <c r="I69" s="3"/>
    </row>
    <row r="70" spans="2:9" ht="15.75" customHeight="1" x14ac:dyDescent="0.25">
      <c r="B70" s="305"/>
      <c r="C70" s="297"/>
      <c r="D70" s="297"/>
      <c r="E70" s="297"/>
      <c r="F70" s="306"/>
      <c r="I70" s="3"/>
    </row>
    <row r="71" spans="2:9" ht="15.75" customHeight="1" x14ac:dyDescent="0.25">
      <c r="B71" s="9" t="s">
        <v>69</v>
      </c>
      <c r="C71" s="299" t="s">
        <v>71</v>
      </c>
      <c r="D71" s="47">
        <v>10.283300000000001</v>
      </c>
      <c r="E71" s="47">
        <f t="shared" ref="E71:E73" ca="1" si="6">RANDBETWEEN(1,7)*F71/10</f>
        <v>2.7</v>
      </c>
      <c r="F71" s="11">
        <v>9</v>
      </c>
      <c r="I71" s="3"/>
    </row>
    <row r="72" spans="2:9" ht="15.75" customHeight="1" x14ac:dyDescent="0.25">
      <c r="B72" s="9" t="s">
        <v>72</v>
      </c>
      <c r="C72" s="300"/>
      <c r="D72" s="47">
        <v>11.8833</v>
      </c>
      <c r="E72" s="47">
        <f t="shared" ca="1" si="6"/>
        <v>5</v>
      </c>
      <c r="F72" s="11">
        <v>10</v>
      </c>
      <c r="I72" s="3"/>
    </row>
    <row r="73" spans="2:9" ht="15.75" customHeight="1" x14ac:dyDescent="0.25">
      <c r="B73" s="9" t="s">
        <v>73</v>
      </c>
      <c r="C73" s="301"/>
      <c r="D73" s="47">
        <v>17.433299999999999</v>
      </c>
      <c r="E73" s="47">
        <f t="shared" ca="1" si="6"/>
        <v>5.6</v>
      </c>
      <c r="F73" s="11">
        <v>14</v>
      </c>
      <c r="I73" s="3"/>
    </row>
    <row r="74" spans="2:9" ht="15.75" customHeight="1" x14ac:dyDescent="0.25">
      <c r="B74" s="296"/>
      <c r="C74" s="297"/>
      <c r="D74" s="297"/>
      <c r="E74" s="297"/>
      <c r="F74" s="11"/>
      <c r="I74" s="3"/>
    </row>
    <row r="75" spans="2:9" ht="15.75" customHeight="1" x14ac:dyDescent="0.25">
      <c r="B75" s="9" t="s">
        <v>76</v>
      </c>
      <c r="C75" s="302" t="s">
        <v>77</v>
      </c>
      <c r="D75" s="47">
        <v>117.467</v>
      </c>
      <c r="E75" s="47">
        <f t="shared" ref="E75:E78" ca="1" si="7">RANDBETWEEN(1,7)*F75/10</f>
        <v>125.3</v>
      </c>
      <c r="F75" s="11">
        <v>179</v>
      </c>
      <c r="I75" s="3"/>
    </row>
    <row r="76" spans="2:9" ht="15.75" customHeight="1" x14ac:dyDescent="0.25">
      <c r="B76" s="9" t="s">
        <v>78</v>
      </c>
      <c r="C76" s="300"/>
      <c r="D76" s="47">
        <v>187.833</v>
      </c>
      <c r="E76" s="47">
        <f t="shared" ca="1" si="7"/>
        <v>44</v>
      </c>
      <c r="F76" s="11">
        <v>110</v>
      </c>
      <c r="I76" s="3"/>
    </row>
    <row r="77" spans="2:9" ht="15.75" customHeight="1" x14ac:dyDescent="0.25">
      <c r="B77" s="9" t="s">
        <v>79</v>
      </c>
      <c r="C77" s="300"/>
      <c r="D77" s="47">
        <v>218.333</v>
      </c>
      <c r="E77" s="47">
        <f t="shared" ca="1" si="7"/>
        <v>40.6</v>
      </c>
      <c r="F77" s="11">
        <v>203</v>
      </c>
      <c r="I77" s="3"/>
    </row>
    <row r="78" spans="2:9" ht="15.75" customHeight="1" x14ac:dyDescent="0.25">
      <c r="B78" s="49" t="s">
        <v>80</v>
      </c>
      <c r="C78" s="300"/>
      <c r="D78" s="50">
        <v>238.5</v>
      </c>
      <c r="E78" s="47">
        <f t="shared" ca="1" si="7"/>
        <v>44</v>
      </c>
      <c r="F78" s="11">
        <v>220</v>
      </c>
      <c r="I78" s="3"/>
    </row>
    <row r="79" spans="2:9" ht="15.75" customHeight="1" x14ac:dyDescent="0.25">
      <c r="B79" s="305"/>
      <c r="C79" s="297"/>
      <c r="D79" s="297"/>
      <c r="E79" s="297"/>
      <c r="F79" s="306"/>
      <c r="I79" s="3"/>
    </row>
    <row r="80" spans="2:9" ht="15.75" customHeight="1" x14ac:dyDescent="0.25">
      <c r="B80" s="9" t="s">
        <v>81</v>
      </c>
      <c r="C80" s="299" t="s">
        <v>82</v>
      </c>
      <c r="D80" s="47">
        <v>2</v>
      </c>
      <c r="E80" s="47">
        <f t="shared" ref="E80:E82" ca="1" si="8">RANDBETWEEN(1,7)*F80/10</f>
        <v>1.4</v>
      </c>
      <c r="F80" s="11">
        <v>2</v>
      </c>
      <c r="I80" s="3"/>
    </row>
    <row r="81" spans="2:9" ht="15.75" customHeight="1" x14ac:dyDescent="0.25">
      <c r="B81" s="9" t="s">
        <v>83</v>
      </c>
      <c r="C81" s="300"/>
      <c r="D81" s="47">
        <v>7.133</v>
      </c>
      <c r="E81" s="47">
        <f t="shared" ca="1" si="8"/>
        <v>3.6</v>
      </c>
      <c r="F81" s="11">
        <v>12</v>
      </c>
      <c r="I81" s="3"/>
    </row>
    <row r="82" spans="2:9" ht="15.75" customHeight="1" x14ac:dyDescent="0.25">
      <c r="B82" s="9" t="s">
        <v>84</v>
      </c>
      <c r="C82" s="301"/>
      <c r="D82" s="47">
        <v>10.72</v>
      </c>
      <c r="E82" s="47">
        <f t="shared" ca="1" si="8"/>
        <v>4</v>
      </c>
      <c r="F82" s="11">
        <v>8</v>
      </c>
      <c r="I82" s="3"/>
    </row>
    <row r="83" spans="2:9" ht="15.75" customHeight="1" x14ac:dyDescent="0.25">
      <c r="B83" s="296"/>
      <c r="C83" s="297"/>
      <c r="D83" s="297"/>
      <c r="E83" s="297"/>
      <c r="F83" s="11"/>
      <c r="I83" s="3"/>
    </row>
    <row r="84" spans="2:9" ht="15.75" customHeight="1" x14ac:dyDescent="0.25">
      <c r="B84" s="9" t="s">
        <v>86</v>
      </c>
      <c r="C84" s="302" t="s">
        <v>87</v>
      </c>
      <c r="D84" s="47">
        <v>20.466999999999999</v>
      </c>
      <c r="E84" s="47">
        <f t="shared" ref="E84:E85" ca="1" si="9">RANDBETWEEN(1,7)*F84/10</f>
        <v>7.2</v>
      </c>
      <c r="F84" s="11">
        <v>24</v>
      </c>
      <c r="I84" s="3"/>
    </row>
    <row r="85" spans="2:9" ht="15.75" customHeight="1" x14ac:dyDescent="0.25">
      <c r="B85" s="49" t="s">
        <v>88</v>
      </c>
      <c r="C85" s="300"/>
      <c r="D85" s="50">
        <v>20.367000000000001</v>
      </c>
      <c r="E85" s="47">
        <f t="shared" ca="1" si="9"/>
        <v>7.5</v>
      </c>
      <c r="F85" s="11">
        <v>25</v>
      </c>
      <c r="I85" s="3"/>
    </row>
    <row r="86" spans="2:9" ht="15.75" customHeight="1" x14ac:dyDescent="0.25">
      <c r="B86" s="305"/>
      <c r="C86" s="297"/>
      <c r="D86" s="297"/>
      <c r="E86" s="297"/>
      <c r="F86" s="306"/>
      <c r="I86" s="3"/>
    </row>
    <row r="87" spans="2:9" ht="15.75" customHeight="1" x14ac:dyDescent="0.25">
      <c r="B87" s="9" t="s">
        <v>89</v>
      </c>
      <c r="C87" s="299" t="s">
        <v>90</v>
      </c>
      <c r="D87" s="47">
        <v>5.15</v>
      </c>
      <c r="E87" s="47">
        <f t="shared" ref="E87:E88" ca="1" si="10">RANDBETWEEN(1,7)*F87/10</f>
        <v>1.9</v>
      </c>
      <c r="F87" s="11">
        <v>19</v>
      </c>
      <c r="I87" s="3"/>
    </row>
    <row r="88" spans="2:9" ht="15.75" customHeight="1" x14ac:dyDescent="0.25">
      <c r="B88" s="49" t="s">
        <v>91</v>
      </c>
      <c r="C88" s="300"/>
      <c r="D88" s="50">
        <v>16.2</v>
      </c>
      <c r="E88" s="47">
        <f t="shared" ca="1" si="10"/>
        <v>3.8</v>
      </c>
      <c r="F88" s="51">
        <v>19</v>
      </c>
      <c r="I88" s="3"/>
    </row>
    <row r="89" spans="2:9" ht="15.75" customHeight="1" x14ac:dyDescent="0.25">
      <c r="B89" s="296"/>
      <c r="C89" s="297"/>
      <c r="D89" s="297"/>
      <c r="E89" s="297"/>
      <c r="F89" s="298"/>
      <c r="I89" s="3"/>
    </row>
    <row r="90" spans="2:9" ht="15.75" customHeight="1" x14ac:dyDescent="0.25">
      <c r="B90" s="9" t="s">
        <v>94</v>
      </c>
      <c r="C90" s="299" t="s">
        <v>95</v>
      </c>
      <c r="D90" s="47">
        <v>50.082999999999998</v>
      </c>
      <c r="E90" s="47">
        <f t="shared" ref="E90:E94" ca="1" si="11">RANDBETWEEN(1,7)*F90/10</f>
        <v>5.3</v>
      </c>
      <c r="F90" s="11">
        <v>53</v>
      </c>
      <c r="I90" s="3"/>
    </row>
    <row r="91" spans="2:9" ht="15.75" customHeight="1" x14ac:dyDescent="0.25">
      <c r="B91" s="9" t="s">
        <v>96</v>
      </c>
      <c r="C91" s="300"/>
      <c r="D91" s="47">
        <v>93.992999999999995</v>
      </c>
      <c r="E91" s="47">
        <f t="shared" ca="1" si="11"/>
        <v>54.5</v>
      </c>
      <c r="F91" s="11">
        <v>109</v>
      </c>
      <c r="I91" s="3"/>
    </row>
    <row r="92" spans="2:9" ht="15.75" customHeight="1" x14ac:dyDescent="0.25">
      <c r="B92" s="9" t="s">
        <v>97</v>
      </c>
      <c r="C92" s="300"/>
      <c r="D92" s="47">
        <v>95.516999999999996</v>
      </c>
      <c r="E92" s="47">
        <f t="shared" ca="1" si="11"/>
        <v>21.2</v>
      </c>
      <c r="F92" s="11">
        <v>53</v>
      </c>
      <c r="I92" s="3"/>
    </row>
    <row r="93" spans="2:9" ht="15.75" customHeight="1" x14ac:dyDescent="0.25">
      <c r="B93" s="9" t="s">
        <v>98</v>
      </c>
      <c r="C93" s="300"/>
      <c r="D93" s="47">
        <v>100.92</v>
      </c>
      <c r="E93" s="47">
        <f t="shared" ca="1" si="11"/>
        <v>45.2</v>
      </c>
      <c r="F93" s="11">
        <v>113</v>
      </c>
      <c r="I93" s="3"/>
    </row>
    <row r="94" spans="2:9" ht="15.75" customHeight="1" x14ac:dyDescent="0.25">
      <c r="B94" s="9" t="s">
        <v>99</v>
      </c>
      <c r="C94" s="301"/>
      <c r="D94" s="47">
        <v>115.37</v>
      </c>
      <c r="E94" s="47">
        <f t="shared" ca="1" si="11"/>
        <v>23</v>
      </c>
      <c r="F94" s="11">
        <v>115</v>
      </c>
      <c r="I94" s="3"/>
    </row>
    <row r="95" spans="2:9" ht="15.75" customHeight="1" x14ac:dyDescent="0.25">
      <c r="D95" s="184"/>
    </row>
    <row r="96" spans="2:9" ht="15.75" customHeight="1" x14ac:dyDescent="0.25">
      <c r="D96" s="184"/>
    </row>
    <row r="97" spans="1:26" ht="15.75" customHeight="1" x14ac:dyDescent="0.25">
      <c r="A97" s="29"/>
      <c r="B97" s="29"/>
      <c r="C97" s="32"/>
      <c r="D97" s="192"/>
      <c r="E97" s="29"/>
      <c r="F97" s="29"/>
      <c r="G97" s="29"/>
      <c r="H97" s="29"/>
      <c r="I97" s="29"/>
      <c r="J97" s="29"/>
      <c r="K97" s="29"/>
      <c r="L97" s="29"/>
      <c r="M97" s="29"/>
      <c r="N97" s="29"/>
      <c r="O97" s="29"/>
      <c r="P97" s="29"/>
      <c r="Q97" s="28"/>
      <c r="R97" s="28"/>
      <c r="S97" s="28"/>
      <c r="T97" s="28"/>
      <c r="U97" s="28"/>
      <c r="V97" s="28"/>
      <c r="W97" s="28"/>
      <c r="X97" s="28"/>
      <c r="Y97" s="28"/>
      <c r="Z97" s="28"/>
    </row>
    <row r="98" spans="1:26" ht="15.75" customHeight="1" x14ac:dyDescent="0.25">
      <c r="A98" s="28"/>
      <c r="B98" s="28"/>
      <c r="C98" s="2"/>
      <c r="D98" s="189"/>
      <c r="E98" s="28"/>
      <c r="F98" s="28"/>
      <c r="G98" s="28"/>
      <c r="H98" s="28"/>
      <c r="I98" s="28"/>
      <c r="J98" s="28"/>
      <c r="K98" s="28"/>
      <c r="L98" s="28"/>
      <c r="M98" s="28"/>
      <c r="N98" s="28"/>
      <c r="O98" s="28"/>
      <c r="P98" s="28"/>
      <c r="Q98" s="28"/>
      <c r="R98" s="28"/>
      <c r="S98" s="28"/>
      <c r="T98" s="28"/>
      <c r="U98" s="28"/>
      <c r="V98" s="28"/>
      <c r="W98" s="28"/>
      <c r="X98" s="28"/>
      <c r="Y98" s="28"/>
      <c r="Z98" s="28"/>
    </row>
    <row r="99" spans="1:26" ht="15.75" customHeight="1" x14ac:dyDescent="0.25">
      <c r="A99" s="28"/>
      <c r="B99" s="28" t="s">
        <v>624</v>
      </c>
      <c r="C99" s="28"/>
      <c r="D99" s="184"/>
      <c r="E99" s="28"/>
      <c r="F99" s="28"/>
      <c r="G99" s="28"/>
      <c r="H99" s="28"/>
      <c r="I99" s="28"/>
      <c r="J99" s="28"/>
      <c r="K99" s="28"/>
      <c r="L99" s="28"/>
      <c r="M99" s="28"/>
      <c r="N99" s="28"/>
      <c r="O99" s="28"/>
      <c r="P99" s="28"/>
      <c r="Q99" s="28"/>
      <c r="R99" s="28"/>
      <c r="S99" s="28"/>
      <c r="T99" s="28"/>
      <c r="U99" s="28"/>
      <c r="V99" s="28"/>
      <c r="W99" s="28"/>
      <c r="X99" s="28"/>
      <c r="Y99" s="28"/>
      <c r="Z99" s="28"/>
    </row>
    <row r="100" spans="1:26" ht="15.75" customHeight="1" x14ac:dyDescent="0.25">
      <c r="A100" s="28"/>
      <c r="B100" s="28"/>
      <c r="C100" s="23"/>
      <c r="D100" s="185"/>
      <c r="E100" s="23"/>
      <c r="F100" s="23"/>
      <c r="G100" s="28"/>
      <c r="H100" s="28"/>
      <c r="I100" s="28"/>
      <c r="J100" s="28"/>
      <c r="K100" s="28"/>
      <c r="L100" s="28"/>
      <c r="M100" s="28"/>
      <c r="N100" s="28"/>
      <c r="O100" s="28"/>
      <c r="P100" s="28"/>
      <c r="Q100" s="28"/>
      <c r="R100" s="28"/>
      <c r="S100" s="28"/>
      <c r="T100" s="28"/>
      <c r="U100" s="28"/>
      <c r="V100" s="28"/>
      <c r="W100" s="28"/>
      <c r="X100" s="28"/>
      <c r="Y100" s="28"/>
      <c r="Z100" s="28"/>
    </row>
    <row r="101" spans="1:26" ht="15.75" customHeight="1" x14ac:dyDescent="0.25">
      <c r="A101" s="28"/>
      <c r="B101" s="332" t="s">
        <v>634</v>
      </c>
      <c r="C101" s="297"/>
      <c r="D101" s="297"/>
      <c r="E101" s="297"/>
      <c r="F101" s="297"/>
      <c r="G101" s="28"/>
      <c r="H101" s="28"/>
      <c r="I101" s="28"/>
      <c r="J101" s="28"/>
      <c r="K101" s="28"/>
      <c r="L101" s="28"/>
      <c r="M101" s="28"/>
      <c r="N101" s="28"/>
      <c r="O101" s="28"/>
      <c r="P101" s="28"/>
      <c r="Q101" s="28"/>
      <c r="R101" s="28"/>
      <c r="S101" s="28"/>
      <c r="T101" s="28"/>
      <c r="U101" s="28"/>
      <c r="V101" s="28"/>
      <c r="W101" s="28"/>
      <c r="X101" s="28"/>
      <c r="Y101" s="28"/>
      <c r="Z101" s="28"/>
    </row>
    <row r="102" spans="1:26" ht="15.75" customHeight="1" x14ac:dyDescent="0.25">
      <c r="A102" s="28"/>
      <c r="B102" s="4" t="s">
        <v>0</v>
      </c>
      <c r="C102" s="5" t="s">
        <v>1</v>
      </c>
      <c r="D102" s="186" t="s">
        <v>42</v>
      </c>
      <c r="E102" s="5" t="s">
        <v>43</v>
      </c>
      <c r="F102" s="5" t="s">
        <v>44</v>
      </c>
      <c r="G102" s="28"/>
      <c r="H102" s="296" t="s">
        <v>45</v>
      </c>
      <c r="I102" s="297"/>
      <c r="J102" s="297"/>
      <c r="K102" s="298"/>
      <c r="L102" s="28"/>
      <c r="M102" s="28"/>
      <c r="N102" s="28"/>
      <c r="O102" s="28"/>
      <c r="P102" s="28"/>
      <c r="Q102" s="28"/>
      <c r="R102" s="28"/>
      <c r="S102" s="28"/>
      <c r="T102" s="28"/>
      <c r="U102" s="28"/>
      <c r="V102" s="28"/>
      <c r="W102" s="28"/>
      <c r="X102" s="28"/>
      <c r="Y102" s="28"/>
      <c r="Z102" s="28"/>
    </row>
    <row r="103" spans="1:26" ht="15.75" customHeight="1" x14ac:dyDescent="0.25">
      <c r="A103" s="28"/>
      <c r="B103" s="310" t="s">
        <v>275</v>
      </c>
      <c r="C103" s="297"/>
      <c r="D103" s="297"/>
      <c r="E103" s="297"/>
      <c r="F103" s="306"/>
      <c r="G103" s="28"/>
      <c r="H103" s="305" t="s">
        <v>275</v>
      </c>
      <c r="I103" s="297"/>
      <c r="J103" s="297"/>
      <c r="K103" s="298"/>
      <c r="L103" s="28"/>
      <c r="M103" s="28"/>
      <c r="N103" s="28"/>
      <c r="O103" s="28"/>
      <c r="P103" s="28"/>
      <c r="Q103" s="28"/>
      <c r="R103" s="28"/>
      <c r="S103" s="28"/>
      <c r="T103" s="28"/>
      <c r="U103" s="28"/>
      <c r="V103" s="28"/>
      <c r="W103" s="28"/>
      <c r="X103" s="28"/>
      <c r="Y103" s="28"/>
      <c r="Z103" s="28"/>
    </row>
    <row r="104" spans="1:26" ht="15.75" customHeight="1" x14ac:dyDescent="0.25">
      <c r="A104" s="28"/>
      <c r="B104" s="9" t="s">
        <v>11</v>
      </c>
      <c r="C104" s="12" t="s">
        <v>12</v>
      </c>
      <c r="D104" s="187">
        <v>470</v>
      </c>
      <c r="E104" s="22">
        <v>545</v>
      </c>
      <c r="F104" s="11">
        <v>530</v>
      </c>
      <c r="G104" s="28"/>
      <c r="H104" s="12"/>
      <c r="I104" s="12" t="s">
        <v>52</v>
      </c>
      <c r="J104" s="12" t="s">
        <v>53</v>
      </c>
      <c r="K104" s="12"/>
      <c r="L104" s="28"/>
      <c r="M104" s="28"/>
      <c r="N104" s="28"/>
      <c r="O104" s="28"/>
      <c r="P104" s="28"/>
      <c r="Q104" s="28"/>
      <c r="R104" s="28"/>
      <c r="S104" s="28"/>
      <c r="T104" s="28"/>
      <c r="U104" s="28"/>
      <c r="V104" s="28"/>
      <c r="W104" s="28"/>
      <c r="X104" s="28"/>
      <c r="Y104" s="28"/>
      <c r="Z104" s="28"/>
    </row>
    <row r="105" spans="1:26" ht="15.75" customHeight="1" x14ac:dyDescent="0.25">
      <c r="A105" s="28"/>
      <c r="B105" s="9" t="s">
        <v>11</v>
      </c>
      <c r="C105" s="12" t="s">
        <v>18</v>
      </c>
      <c r="D105" s="187">
        <v>0</v>
      </c>
      <c r="E105" s="22">
        <v>0</v>
      </c>
      <c r="F105" s="11">
        <v>0</v>
      </c>
      <c r="G105" s="28"/>
      <c r="H105" s="12" t="s">
        <v>12</v>
      </c>
      <c r="I105" s="17">
        <v>545</v>
      </c>
      <c r="J105" s="11">
        <v>530</v>
      </c>
      <c r="K105" s="17" t="s">
        <v>663</v>
      </c>
      <c r="L105" s="28"/>
      <c r="M105" s="28"/>
      <c r="N105" s="28"/>
      <c r="O105" s="28"/>
      <c r="P105" s="28"/>
      <c r="Q105" s="28"/>
      <c r="R105" s="28"/>
      <c r="S105" s="28"/>
      <c r="T105" s="28"/>
      <c r="U105" s="28"/>
      <c r="V105" s="28"/>
      <c r="W105" s="28"/>
      <c r="X105" s="28"/>
      <c r="Y105" s="28"/>
      <c r="Z105" s="28"/>
    </row>
    <row r="106" spans="1:26" ht="15.75" customHeight="1" x14ac:dyDescent="0.25">
      <c r="A106" s="28"/>
      <c r="B106" s="9" t="s">
        <v>21</v>
      </c>
      <c r="C106" s="12" t="s">
        <v>59</v>
      </c>
      <c r="D106" s="187">
        <v>440</v>
      </c>
      <c r="E106" s="22">
        <v>410</v>
      </c>
      <c r="F106" s="11">
        <v>444</v>
      </c>
      <c r="G106" s="28"/>
      <c r="H106" s="12" t="s">
        <v>18</v>
      </c>
      <c r="I106" s="17">
        <v>0</v>
      </c>
      <c r="J106" s="11">
        <v>0</v>
      </c>
      <c r="K106" s="17" t="s">
        <v>665</v>
      </c>
      <c r="L106" s="28"/>
      <c r="M106" s="28"/>
      <c r="N106" s="28"/>
      <c r="O106" s="28"/>
      <c r="P106" s="28"/>
      <c r="Q106" s="28"/>
      <c r="R106" s="28"/>
      <c r="S106" s="28"/>
      <c r="T106" s="28"/>
      <c r="U106" s="28"/>
      <c r="V106" s="28"/>
      <c r="W106" s="28"/>
      <c r="X106" s="28"/>
      <c r="Y106" s="28"/>
      <c r="Z106" s="28"/>
    </row>
    <row r="107" spans="1:26" ht="15.75" customHeight="1" x14ac:dyDescent="0.25">
      <c r="A107" s="28"/>
      <c r="B107" s="9" t="s">
        <v>21</v>
      </c>
      <c r="C107" s="12" t="s">
        <v>63</v>
      </c>
      <c r="D107" s="187">
        <v>160</v>
      </c>
      <c r="E107" s="22">
        <v>120</v>
      </c>
      <c r="F107" s="11">
        <v>160</v>
      </c>
      <c r="G107" s="28"/>
      <c r="H107" s="305" t="s">
        <v>313</v>
      </c>
      <c r="I107" s="297"/>
      <c r="J107" s="297"/>
      <c r="K107" s="298"/>
      <c r="L107" s="28"/>
      <c r="M107" s="28"/>
      <c r="N107" s="28"/>
      <c r="O107" s="28"/>
      <c r="P107" s="28"/>
      <c r="Q107" s="28"/>
      <c r="R107" s="28"/>
      <c r="S107" s="28"/>
      <c r="T107" s="28"/>
      <c r="U107" s="28"/>
      <c r="V107" s="28"/>
      <c r="W107" s="28"/>
      <c r="X107" s="28"/>
      <c r="Y107" s="28"/>
      <c r="Z107" s="28"/>
    </row>
    <row r="108" spans="1:26" ht="15.75" customHeight="1" x14ac:dyDescent="0.25">
      <c r="A108" s="28"/>
      <c r="B108" s="9" t="s">
        <v>21</v>
      </c>
      <c r="C108" s="12" t="s">
        <v>218</v>
      </c>
      <c r="D108" s="187">
        <v>0</v>
      </c>
      <c r="E108" s="22">
        <v>0</v>
      </c>
      <c r="F108" s="11">
        <v>0</v>
      </c>
      <c r="G108" s="28"/>
      <c r="H108" s="12" t="s">
        <v>12</v>
      </c>
      <c r="I108" s="17">
        <v>525</v>
      </c>
      <c r="J108" s="11">
        <v>500</v>
      </c>
      <c r="K108" s="17" t="s">
        <v>667</v>
      </c>
      <c r="L108" s="28"/>
      <c r="M108" s="28"/>
      <c r="N108" s="28"/>
      <c r="O108" s="28"/>
      <c r="P108" s="28"/>
      <c r="Q108" s="28"/>
      <c r="R108" s="28"/>
      <c r="S108" s="28"/>
      <c r="T108" s="28"/>
      <c r="U108" s="28"/>
      <c r="V108" s="28"/>
      <c r="W108" s="28"/>
      <c r="X108" s="28"/>
      <c r="Y108" s="28"/>
      <c r="Z108" s="28"/>
    </row>
    <row r="109" spans="1:26" ht="15.75" customHeight="1" x14ac:dyDescent="0.25">
      <c r="A109" s="28"/>
      <c r="B109" s="310" t="s">
        <v>313</v>
      </c>
      <c r="C109" s="297"/>
      <c r="D109" s="297"/>
      <c r="E109" s="297"/>
      <c r="F109" s="306"/>
      <c r="G109" s="28"/>
      <c r="H109" s="12" t="s">
        <v>18</v>
      </c>
      <c r="I109" s="17">
        <v>0</v>
      </c>
      <c r="J109" s="11">
        <v>0</v>
      </c>
      <c r="K109" s="17" t="s">
        <v>669</v>
      </c>
      <c r="L109" s="28"/>
      <c r="M109" s="28"/>
      <c r="N109" s="28"/>
      <c r="O109" s="28"/>
      <c r="P109" s="28"/>
      <c r="Q109" s="28"/>
      <c r="R109" s="28"/>
      <c r="S109" s="28"/>
      <c r="T109" s="28"/>
      <c r="U109" s="28"/>
      <c r="V109" s="28"/>
      <c r="W109" s="28"/>
      <c r="X109" s="28"/>
      <c r="Y109" s="28"/>
      <c r="Z109" s="28"/>
    </row>
    <row r="110" spans="1:26" ht="15.75" customHeight="1" x14ac:dyDescent="0.25">
      <c r="A110" s="28"/>
      <c r="B110" s="9" t="s">
        <v>11</v>
      </c>
      <c r="C110" s="12" t="s">
        <v>12</v>
      </c>
      <c r="D110" s="187">
        <v>460</v>
      </c>
      <c r="E110" s="22">
        <v>525</v>
      </c>
      <c r="F110" s="22">
        <v>500</v>
      </c>
      <c r="G110" s="28"/>
      <c r="H110" s="28"/>
      <c r="I110" s="28"/>
      <c r="J110" s="28"/>
      <c r="K110" s="28"/>
      <c r="L110" s="28"/>
      <c r="M110" s="28"/>
      <c r="N110" s="28"/>
      <c r="O110" s="28"/>
      <c r="P110" s="28"/>
      <c r="Q110" s="28"/>
      <c r="R110" s="28"/>
      <c r="S110" s="28"/>
      <c r="T110" s="28"/>
      <c r="U110" s="28"/>
      <c r="V110" s="28"/>
      <c r="W110" s="28"/>
      <c r="X110" s="28"/>
      <c r="Y110" s="28"/>
      <c r="Z110" s="28"/>
    </row>
    <row r="111" spans="1:26" ht="15.75" customHeight="1" x14ac:dyDescent="0.25">
      <c r="A111" s="28"/>
      <c r="B111" s="9" t="s">
        <v>11</v>
      </c>
      <c r="C111" s="12" t="s">
        <v>18</v>
      </c>
      <c r="D111" s="187">
        <v>0</v>
      </c>
      <c r="E111" s="22">
        <v>0</v>
      </c>
      <c r="F111" s="22">
        <v>0</v>
      </c>
      <c r="G111" s="28"/>
      <c r="H111" s="28"/>
      <c r="I111" s="28"/>
      <c r="J111" s="28"/>
      <c r="K111" s="28"/>
      <c r="L111" s="28"/>
      <c r="M111" s="28"/>
      <c r="N111" s="28"/>
      <c r="O111" s="28"/>
      <c r="P111" s="28"/>
      <c r="Q111" s="28"/>
      <c r="R111" s="28"/>
      <c r="S111" s="28"/>
      <c r="T111" s="28"/>
      <c r="U111" s="28"/>
      <c r="V111" s="28"/>
      <c r="W111" s="28"/>
      <c r="X111" s="28"/>
      <c r="Y111" s="28"/>
      <c r="Z111" s="28"/>
    </row>
    <row r="112" spans="1:26" ht="15.75" customHeight="1" x14ac:dyDescent="0.25">
      <c r="A112" s="28"/>
      <c r="B112" s="9" t="s">
        <v>21</v>
      </c>
      <c r="C112" s="12" t="s">
        <v>59</v>
      </c>
      <c r="D112" s="187">
        <v>430</v>
      </c>
      <c r="E112" s="22">
        <v>450</v>
      </c>
      <c r="F112" s="22">
        <v>422</v>
      </c>
      <c r="G112" s="28"/>
      <c r="H112" s="28"/>
      <c r="I112" s="28"/>
      <c r="J112" s="28"/>
      <c r="K112" s="28"/>
      <c r="L112" s="28"/>
      <c r="M112" s="28"/>
      <c r="N112" s="28"/>
      <c r="O112" s="28"/>
      <c r="P112" s="28"/>
      <c r="Q112" s="28"/>
      <c r="R112" s="28"/>
      <c r="S112" s="28"/>
      <c r="T112" s="28"/>
      <c r="U112" s="28"/>
      <c r="V112" s="28"/>
      <c r="W112" s="28"/>
      <c r="X112" s="28"/>
      <c r="Y112" s="28"/>
      <c r="Z112" s="28"/>
    </row>
    <row r="113" spans="1:26" ht="15.75" customHeight="1" x14ac:dyDescent="0.2">
      <c r="B113" s="9" t="s">
        <v>21</v>
      </c>
      <c r="C113" s="12" t="s">
        <v>63</v>
      </c>
      <c r="D113" s="187">
        <v>150</v>
      </c>
      <c r="E113" s="22">
        <v>150</v>
      </c>
      <c r="F113" s="22">
        <v>155</v>
      </c>
    </row>
    <row r="114" spans="1:26" ht="15.75" customHeight="1" x14ac:dyDescent="0.2">
      <c r="B114" s="9" t="s">
        <v>21</v>
      </c>
      <c r="C114" s="12" t="s">
        <v>218</v>
      </c>
      <c r="D114" s="187">
        <v>0</v>
      </c>
      <c r="E114" s="22">
        <v>0</v>
      </c>
      <c r="F114" s="11">
        <v>0</v>
      </c>
    </row>
    <row r="115" spans="1:26" ht="15.75" customHeight="1" x14ac:dyDescent="0.25">
      <c r="D115" s="184"/>
    </row>
    <row r="116" spans="1:26" ht="15.75" customHeight="1" x14ac:dyDescent="0.25">
      <c r="A116" s="29"/>
      <c r="B116" s="29"/>
      <c r="C116" s="29"/>
      <c r="D116" s="196"/>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5.75" customHeight="1" x14ac:dyDescent="0.25">
      <c r="D117" s="184"/>
    </row>
    <row r="118" spans="1:26" ht="15.75" customHeight="1" x14ac:dyDescent="0.25">
      <c r="A118" s="28"/>
      <c r="B118" s="28" t="s">
        <v>642</v>
      </c>
      <c r="C118" s="28"/>
      <c r="D118" s="184"/>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5.75" customHeight="1" x14ac:dyDescent="0.25">
      <c r="A119" s="28"/>
      <c r="B119" s="28"/>
      <c r="C119" s="28"/>
      <c r="D119" s="184"/>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5.75" customHeight="1" x14ac:dyDescent="0.25">
      <c r="A120" s="28"/>
      <c r="B120" s="304" t="s">
        <v>674</v>
      </c>
      <c r="C120" s="297"/>
      <c r="D120" s="297"/>
      <c r="E120" s="297"/>
      <c r="F120" s="154"/>
      <c r="G120" s="28"/>
      <c r="H120" s="28"/>
      <c r="I120" s="3"/>
      <c r="J120" s="28"/>
      <c r="K120" s="28"/>
      <c r="L120" s="28"/>
      <c r="M120" s="28"/>
      <c r="N120" s="28"/>
      <c r="O120" s="28"/>
      <c r="P120" s="28"/>
      <c r="Q120" s="28"/>
      <c r="R120" s="28"/>
      <c r="S120" s="28"/>
      <c r="T120" s="28"/>
      <c r="U120" s="28"/>
      <c r="V120" s="28"/>
      <c r="W120" s="28"/>
      <c r="X120" s="28"/>
      <c r="Y120" s="28"/>
      <c r="Z120" s="28"/>
    </row>
    <row r="121" spans="1:26" ht="15.75" customHeight="1" x14ac:dyDescent="0.25">
      <c r="A121" s="28"/>
      <c r="B121" s="4" t="s">
        <v>0</v>
      </c>
      <c r="C121" s="5" t="s">
        <v>1</v>
      </c>
      <c r="D121" s="186" t="s">
        <v>2</v>
      </c>
      <c r="E121" s="5" t="s">
        <v>43</v>
      </c>
      <c r="F121" s="45" t="s">
        <v>125</v>
      </c>
      <c r="G121" s="28"/>
      <c r="H121" s="296" t="s">
        <v>6</v>
      </c>
      <c r="I121" s="297"/>
      <c r="J121" s="297"/>
      <c r="K121" s="297"/>
      <c r="L121" s="297"/>
      <c r="M121" s="298"/>
      <c r="N121" s="28"/>
      <c r="O121" s="28"/>
      <c r="P121" s="28"/>
      <c r="Q121" s="28"/>
      <c r="R121" s="28"/>
      <c r="S121" s="28"/>
      <c r="T121" s="28"/>
      <c r="U121" s="28"/>
      <c r="V121" s="28"/>
      <c r="W121" s="28"/>
      <c r="X121" s="28"/>
      <c r="Y121" s="28"/>
      <c r="Z121" s="28"/>
    </row>
    <row r="122" spans="1:26" ht="15.75" customHeight="1" x14ac:dyDescent="0.25">
      <c r="A122" s="28"/>
      <c r="B122" s="9" t="s">
        <v>7</v>
      </c>
      <c r="C122" s="302" t="s">
        <v>9</v>
      </c>
      <c r="D122" s="47">
        <v>28.1</v>
      </c>
      <c r="E122" s="11">
        <v>45</v>
      </c>
      <c r="F122" s="11">
        <v>32</v>
      </c>
      <c r="G122" s="28"/>
      <c r="H122" s="296" t="s">
        <v>106</v>
      </c>
      <c r="I122" s="297"/>
      <c r="J122" s="298"/>
      <c r="K122" s="296" t="s">
        <v>107</v>
      </c>
      <c r="L122" s="297"/>
      <c r="M122" s="298"/>
      <c r="N122" s="28"/>
      <c r="O122" s="28"/>
      <c r="P122" s="28"/>
      <c r="Q122" s="28"/>
      <c r="R122" s="28"/>
      <c r="S122" s="28"/>
      <c r="T122" s="28"/>
      <c r="U122" s="28"/>
      <c r="V122" s="28"/>
      <c r="W122" s="28"/>
      <c r="X122" s="28"/>
      <c r="Y122" s="28"/>
      <c r="Z122" s="28"/>
    </row>
    <row r="123" spans="1:26" ht="15.75" customHeight="1" x14ac:dyDescent="0.25">
      <c r="A123" s="28"/>
      <c r="B123" s="9" t="s">
        <v>17</v>
      </c>
      <c r="C123" s="300"/>
      <c r="D123" s="47">
        <v>63.911000000000001</v>
      </c>
      <c r="E123" s="11">
        <v>36</v>
      </c>
      <c r="F123" s="11">
        <v>35</v>
      </c>
      <c r="G123" s="28"/>
      <c r="H123" s="13" t="s">
        <v>13</v>
      </c>
      <c r="I123" s="39">
        <f>I125+I125*0.05</f>
        <v>673.05</v>
      </c>
      <c r="J123" s="17" t="s">
        <v>678</v>
      </c>
      <c r="K123" s="13" t="s">
        <v>13</v>
      </c>
      <c r="L123" s="39">
        <f>L125+L125*0.05</f>
        <v>696.15</v>
      </c>
      <c r="M123" s="17" t="s">
        <v>680</v>
      </c>
      <c r="N123" s="28"/>
      <c r="O123" s="28"/>
      <c r="P123" s="28"/>
      <c r="Q123" s="28"/>
      <c r="R123" s="28"/>
      <c r="S123" s="28"/>
      <c r="T123" s="28"/>
      <c r="U123" s="28"/>
      <c r="V123" s="28"/>
      <c r="W123" s="28"/>
      <c r="X123" s="28"/>
      <c r="Y123" s="28"/>
      <c r="Z123" s="28"/>
    </row>
    <row r="124" spans="1:26" ht="15.75" customHeight="1" x14ac:dyDescent="0.25">
      <c r="A124" s="28"/>
      <c r="B124" s="9" t="s">
        <v>26</v>
      </c>
      <c r="C124" s="300"/>
      <c r="D124" s="47">
        <v>69.921999999999997</v>
      </c>
      <c r="E124" s="11">
        <v>38</v>
      </c>
      <c r="F124" s="11">
        <v>41</v>
      </c>
      <c r="G124" s="28"/>
      <c r="H124" s="13" t="s">
        <v>19</v>
      </c>
      <c r="I124" s="40">
        <f>I125-I125*0.05</f>
        <v>608.95000000000005</v>
      </c>
      <c r="J124" s="17" t="s">
        <v>683</v>
      </c>
      <c r="K124" s="13" t="s">
        <v>19</v>
      </c>
      <c r="L124" s="40">
        <f>L125-L125*0.05</f>
        <v>629.85</v>
      </c>
      <c r="M124" s="17" t="s">
        <v>685</v>
      </c>
      <c r="N124" s="28"/>
      <c r="O124" s="28"/>
      <c r="P124" s="28"/>
      <c r="Q124" s="28"/>
      <c r="R124" s="28"/>
      <c r="S124" s="28"/>
      <c r="T124" s="28"/>
      <c r="U124" s="28"/>
      <c r="V124" s="28"/>
      <c r="W124" s="28"/>
      <c r="X124" s="28"/>
      <c r="Y124" s="28"/>
      <c r="Z124" s="28"/>
    </row>
    <row r="125" spans="1:26" ht="15.75" customHeight="1" x14ac:dyDescent="0.25">
      <c r="A125" s="28"/>
      <c r="B125" s="9" t="s">
        <v>32</v>
      </c>
      <c r="C125" s="300"/>
      <c r="D125" s="47">
        <v>96.744</v>
      </c>
      <c r="E125" s="11">
        <v>96</v>
      </c>
      <c r="F125" s="11">
        <v>97</v>
      </c>
      <c r="G125" s="28"/>
      <c r="H125" s="13" t="s">
        <v>27</v>
      </c>
      <c r="I125" s="20">
        <v>641</v>
      </c>
      <c r="J125" s="17" t="s">
        <v>687</v>
      </c>
      <c r="K125" s="13" t="s">
        <v>27</v>
      </c>
      <c r="L125" s="20">
        <v>663</v>
      </c>
      <c r="M125" s="17" t="s">
        <v>689</v>
      </c>
      <c r="N125" s="28"/>
      <c r="O125" s="28"/>
      <c r="P125" s="28"/>
      <c r="Q125" s="28"/>
      <c r="R125" s="28"/>
      <c r="S125" s="28"/>
      <c r="T125" s="28"/>
      <c r="U125" s="28"/>
      <c r="V125" s="28"/>
      <c r="W125" s="28"/>
      <c r="X125" s="28"/>
      <c r="Y125" s="28"/>
      <c r="Z125" s="28"/>
    </row>
    <row r="126" spans="1:26" ht="15.75" customHeight="1" x14ac:dyDescent="0.25">
      <c r="A126" s="28"/>
      <c r="B126" s="9" t="s">
        <v>33</v>
      </c>
      <c r="C126" s="301"/>
      <c r="D126" s="47">
        <v>128.11000000000001</v>
      </c>
      <c r="E126" s="11">
        <v>110</v>
      </c>
      <c r="F126" s="11">
        <v>110</v>
      </c>
      <c r="G126" s="28"/>
      <c r="H126" s="13" t="s">
        <v>121</v>
      </c>
      <c r="I126" s="20">
        <v>650</v>
      </c>
      <c r="J126" s="17" t="s">
        <v>692</v>
      </c>
      <c r="K126" s="13" t="s">
        <v>121</v>
      </c>
      <c r="L126" s="20">
        <v>662</v>
      </c>
      <c r="M126" s="17" t="s">
        <v>693</v>
      </c>
      <c r="N126" s="28"/>
      <c r="O126" s="28"/>
      <c r="P126" s="28"/>
      <c r="Q126" s="28"/>
      <c r="R126" s="28"/>
      <c r="S126" s="28"/>
      <c r="T126" s="28"/>
      <c r="U126" s="28"/>
      <c r="V126" s="28"/>
      <c r="W126" s="28"/>
      <c r="X126" s="28"/>
      <c r="Y126" s="28"/>
      <c r="Z126" s="28"/>
    </row>
    <row r="127" spans="1:26" ht="15.75" customHeight="1" x14ac:dyDescent="0.25">
      <c r="A127" s="28"/>
      <c r="B127" s="41"/>
      <c r="C127" s="42"/>
      <c r="D127" s="42"/>
      <c r="E127" s="201"/>
      <c r="F127" s="201"/>
      <c r="G127" s="28"/>
      <c r="H127" s="28"/>
      <c r="I127" s="3"/>
      <c r="J127" s="28"/>
      <c r="K127" s="28"/>
      <c r="L127" s="28"/>
      <c r="M127" s="28"/>
      <c r="N127" s="28"/>
      <c r="O127" s="28"/>
      <c r="P127" s="28"/>
      <c r="Q127" s="28"/>
      <c r="R127" s="28"/>
      <c r="S127" s="28"/>
      <c r="T127" s="28"/>
      <c r="U127" s="28"/>
      <c r="V127" s="28"/>
      <c r="W127" s="28"/>
      <c r="X127" s="28"/>
      <c r="Y127" s="28"/>
      <c r="Z127" s="28"/>
    </row>
    <row r="128" spans="1:26" ht="15.75" customHeight="1" x14ac:dyDescent="0.25">
      <c r="A128" s="28"/>
      <c r="B128" s="9" t="s">
        <v>35</v>
      </c>
      <c r="C128" s="302" t="s">
        <v>36</v>
      </c>
      <c r="D128" s="47">
        <v>207.78</v>
      </c>
      <c r="E128" s="11">
        <v>228</v>
      </c>
      <c r="F128" s="11">
        <v>231</v>
      </c>
      <c r="G128" s="28"/>
      <c r="H128" s="28"/>
      <c r="I128" s="3"/>
      <c r="J128" s="28"/>
      <c r="K128" s="28"/>
      <c r="L128" s="28"/>
      <c r="M128" s="28"/>
      <c r="N128" s="28"/>
      <c r="O128" s="28"/>
      <c r="P128" s="28"/>
      <c r="Q128" s="28"/>
      <c r="R128" s="28"/>
      <c r="S128" s="28"/>
      <c r="T128" s="28"/>
      <c r="U128" s="28"/>
      <c r="V128" s="28"/>
      <c r="W128" s="28"/>
      <c r="X128" s="28"/>
      <c r="Y128" s="28"/>
      <c r="Z128" s="28"/>
    </row>
    <row r="129" spans="1:26" ht="15.75" customHeight="1" x14ac:dyDescent="0.25">
      <c r="A129" s="28"/>
      <c r="B129" s="9" t="s">
        <v>37</v>
      </c>
      <c r="C129" s="300"/>
      <c r="D129" s="47">
        <v>444.11</v>
      </c>
      <c r="E129" s="11">
        <v>387</v>
      </c>
      <c r="F129" s="11">
        <v>382</v>
      </c>
      <c r="G129" s="28"/>
      <c r="H129" s="28"/>
      <c r="I129" s="3"/>
      <c r="J129" s="28"/>
      <c r="K129" s="28"/>
      <c r="L129" s="28"/>
      <c r="M129" s="28"/>
      <c r="N129" s="28"/>
      <c r="O129" s="28"/>
      <c r="P129" s="28"/>
      <c r="Q129" s="28"/>
      <c r="R129" s="28"/>
      <c r="S129" s="28"/>
      <c r="T129" s="28"/>
      <c r="U129" s="28"/>
      <c r="V129" s="28"/>
      <c r="W129" s="28"/>
      <c r="X129" s="28"/>
      <c r="Y129" s="28"/>
      <c r="Z129" s="28"/>
    </row>
    <row r="130" spans="1:26" ht="15.75" customHeight="1" x14ac:dyDescent="0.25">
      <c r="A130" s="28"/>
      <c r="B130" s="9" t="s">
        <v>38</v>
      </c>
      <c r="C130" s="300"/>
      <c r="D130" s="47">
        <v>579.55999999999995</v>
      </c>
      <c r="E130" s="11">
        <v>476</v>
      </c>
      <c r="F130" s="11">
        <v>477</v>
      </c>
      <c r="G130" s="28"/>
      <c r="H130" s="28"/>
      <c r="I130" s="3"/>
      <c r="J130" s="28"/>
      <c r="K130" s="28"/>
      <c r="L130" s="28"/>
      <c r="M130" s="28"/>
      <c r="N130" s="28"/>
      <c r="O130" s="28"/>
      <c r="P130" s="28"/>
      <c r="Q130" s="28"/>
      <c r="R130" s="28"/>
      <c r="S130" s="28"/>
      <c r="T130" s="28"/>
      <c r="U130" s="28"/>
      <c r="V130" s="28"/>
      <c r="W130" s="28"/>
      <c r="X130" s="28"/>
      <c r="Y130" s="28"/>
      <c r="Z130" s="28"/>
    </row>
    <row r="131" spans="1:26" ht="15.75" customHeight="1" x14ac:dyDescent="0.25">
      <c r="A131" s="28"/>
      <c r="B131" s="9" t="s">
        <v>39</v>
      </c>
      <c r="C131" s="300"/>
      <c r="D131" s="47">
        <v>746.22</v>
      </c>
      <c r="E131" s="11">
        <v>669</v>
      </c>
      <c r="F131" s="11">
        <v>689</v>
      </c>
      <c r="G131" s="28"/>
      <c r="H131" s="28"/>
      <c r="I131" s="3"/>
      <c r="J131" s="28"/>
      <c r="K131" s="28"/>
      <c r="L131" s="28"/>
      <c r="M131" s="28"/>
      <c r="N131" s="28"/>
      <c r="O131" s="28"/>
      <c r="P131" s="28"/>
      <c r="Q131" s="28"/>
      <c r="R131" s="28"/>
      <c r="S131" s="28"/>
      <c r="T131" s="28"/>
      <c r="U131" s="28"/>
      <c r="V131" s="28"/>
      <c r="W131" s="28"/>
      <c r="X131" s="28"/>
      <c r="Y131" s="28"/>
      <c r="Z131" s="28"/>
    </row>
    <row r="132" spans="1:26" ht="15.75" customHeight="1" x14ac:dyDescent="0.25">
      <c r="A132" s="28"/>
      <c r="B132" s="49" t="s">
        <v>41</v>
      </c>
      <c r="C132" s="300"/>
      <c r="D132" s="50">
        <v>869.5</v>
      </c>
      <c r="E132" s="11">
        <v>771</v>
      </c>
      <c r="F132" s="11">
        <v>740</v>
      </c>
      <c r="G132" s="28"/>
      <c r="H132" s="28"/>
      <c r="I132" s="3"/>
      <c r="J132" s="28"/>
      <c r="K132" s="28"/>
      <c r="L132" s="28"/>
      <c r="M132" s="28"/>
      <c r="N132" s="28"/>
      <c r="O132" s="28"/>
      <c r="P132" s="28"/>
      <c r="Q132" s="28"/>
      <c r="R132" s="28"/>
      <c r="S132" s="28"/>
      <c r="T132" s="28"/>
      <c r="U132" s="28"/>
      <c r="V132" s="28"/>
      <c r="W132" s="28"/>
      <c r="X132" s="28"/>
      <c r="Y132" s="28"/>
      <c r="Z132" s="28"/>
    </row>
    <row r="133" spans="1:26" ht="15.75" customHeight="1" x14ac:dyDescent="0.25">
      <c r="A133" s="28"/>
      <c r="B133" s="130"/>
      <c r="C133" s="131"/>
      <c r="D133" s="131"/>
      <c r="E133" s="131"/>
      <c r="F133" s="131"/>
      <c r="G133" s="28"/>
      <c r="H133" s="28"/>
      <c r="I133" s="3"/>
      <c r="J133" s="28"/>
      <c r="K133" s="28"/>
      <c r="L133" s="28"/>
      <c r="M133" s="28"/>
      <c r="N133" s="28"/>
      <c r="O133" s="28"/>
      <c r="P133" s="28"/>
      <c r="Q133" s="28"/>
      <c r="R133" s="28"/>
      <c r="S133" s="28"/>
      <c r="T133" s="28"/>
      <c r="U133" s="28"/>
      <c r="V133" s="28"/>
      <c r="W133" s="28"/>
      <c r="X133" s="28"/>
      <c r="Y133" s="28"/>
      <c r="Z133" s="28"/>
    </row>
    <row r="134" spans="1:26" ht="15.75" customHeight="1" x14ac:dyDescent="0.25">
      <c r="A134" s="28"/>
      <c r="B134" s="9" t="s">
        <v>46</v>
      </c>
      <c r="C134" s="299" t="s">
        <v>47</v>
      </c>
      <c r="D134" s="47">
        <v>88.4</v>
      </c>
      <c r="E134" s="11">
        <v>83</v>
      </c>
      <c r="F134" s="11">
        <v>80</v>
      </c>
      <c r="G134" s="28"/>
      <c r="H134" s="28"/>
      <c r="I134" s="3"/>
      <c r="J134" s="28"/>
      <c r="K134" s="28"/>
      <c r="L134" s="28"/>
      <c r="M134" s="28"/>
      <c r="N134" s="28"/>
      <c r="O134" s="28"/>
      <c r="P134" s="28"/>
      <c r="Q134" s="28"/>
      <c r="R134" s="28"/>
      <c r="S134" s="28"/>
      <c r="T134" s="28"/>
      <c r="U134" s="28"/>
      <c r="V134" s="28"/>
      <c r="W134" s="28"/>
      <c r="X134" s="28"/>
      <c r="Y134" s="28"/>
      <c r="Z134" s="28"/>
    </row>
    <row r="135" spans="1:26" ht="15.75" customHeight="1" x14ac:dyDescent="0.25">
      <c r="A135" s="28"/>
      <c r="B135" s="9" t="s">
        <v>48</v>
      </c>
      <c r="C135" s="300"/>
      <c r="D135" s="47">
        <v>94.6</v>
      </c>
      <c r="E135" s="11">
        <v>83</v>
      </c>
      <c r="F135" s="11">
        <v>90</v>
      </c>
      <c r="G135" s="28"/>
      <c r="H135" s="28"/>
      <c r="I135" s="3"/>
      <c r="J135" s="28"/>
      <c r="K135" s="28"/>
      <c r="L135" s="28"/>
      <c r="M135" s="28"/>
      <c r="N135" s="28"/>
      <c r="O135" s="28"/>
      <c r="P135" s="28"/>
      <c r="Q135" s="28"/>
      <c r="R135" s="28"/>
      <c r="S135" s="28"/>
      <c r="T135" s="28"/>
      <c r="U135" s="28"/>
      <c r="V135" s="28"/>
      <c r="W135" s="28"/>
      <c r="X135" s="28"/>
      <c r="Y135" s="28"/>
      <c r="Z135" s="28"/>
    </row>
    <row r="136" spans="1:26" ht="15.75" customHeight="1" x14ac:dyDescent="0.25">
      <c r="A136" s="28"/>
      <c r="B136" s="41"/>
      <c r="C136" s="42"/>
      <c r="D136" s="42"/>
      <c r="E136" s="11"/>
      <c r="F136" s="11"/>
      <c r="G136" s="28"/>
      <c r="H136" s="28"/>
      <c r="I136" s="3"/>
      <c r="J136" s="28"/>
      <c r="K136" s="28"/>
      <c r="L136" s="28"/>
      <c r="M136" s="28"/>
      <c r="N136" s="28"/>
      <c r="O136" s="28"/>
      <c r="P136" s="28"/>
      <c r="Q136" s="28"/>
      <c r="R136" s="28"/>
      <c r="S136" s="28"/>
      <c r="T136" s="28"/>
      <c r="U136" s="28"/>
      <c r="V136" s="28"/>
      <c r="W136" s="28"/>
      <c r="X136" s="28"/>
      <c r="Y136" s="28"/>
      <c r="Z136" s="28"/>
    </row>
    <row r="137" spans="1:26" ht="15.75" customHeight="1" x14ac:dyDescent="0.25">
      <c r="A137" s="28"/>
      <c r="B137" s="9" t="s">
        <v>50</v>
      </c>
      <c r="C137" s="302" t="s">
        <v>51</v>
      </c>
      <c r="D137" s="47">
        <v>271.44400000000002</v>
      </c>
      <c r="E137" s="11">
        <v>258</v>
      </c>
      <c r="F137" s="11">
        <v>230</v>
      </c>
      <c r="G137" s="28"/>
      <c r="H137" s="28"/>
      <c r="I137" s="3"/>
      <c r="J137" s="28"/>
      <c r="K137" s="28"/>
      <c r="L137" s="28"/>
      <c r="M137" s="28"/>
      <c r="N137" s="28"/>
      <c r="O137" s="28"/>
      <c r="P137" s="28"/>
      <c r="Q137" s="28"/>
      <c r="R137" s="28"/>
      <c r="S137" s="28"/>
      <c r="T137" s="28"/>
      <c r="U137" s="28"/>
      <c r="V137" s="28"/>
      <c r="W137" s="28"/>
      <c r="X137" s="28"/>
      <c r="Y137" s="28"/>
      <c r="Z137" s="28"/>
    </row>
    <row r="138" spans="1:26" ht="15.75" customHeight="1" x14ac:dyDescent="0.25">
      <c r="A138" s="28"/>
      <c r="B138" s="9" t="s">
        <v>54</v>
      </c>
      <c r="C138" s="300"/>
      <c r="D138" s="47">
        <v>550.22199999999998</v>
      </c>
      <c r="E138" s="11">
        <v>236</v>
      </c>
      <c r="F138" s="11">
        <v>220</v>
      </c>
      <c r="G138" s="28"/>
      <c r="H138" s="28"/>
      <c r="I138" s="3"/>
      <c r="J138" s="28"/>
      <c r="K138" s="28"/>
      <c r="L138" s="28"/>
      <c r="M138" s="28"/>
      <c r="N138" s="28"/>
      <c r="O138" s="28"/>
      <c r="P138" s="28"/>
      <c r="Q138" s="28"/>
      <c r="R138" s="28"/>
      <c r="S138" s="28"/>
      <c r="T138" s="28"/>
      <c r="U138" s="28"/>
      <c r="V138" s="28"/>
      <c r="W138" s="28"/>
      <c r="X138" s="28"/>
      <c r="Y138" s="28"/>
      <c r="Z138" s="28"/>
    </row>
    <row r="139" spans="1:26" ht="15.75" customHeight="1" x14ac:dyDescent="0.25">
      <c r="A139" s="28"/>
      <c r="B139" s="9" t="s">
        <v>55</v>
      </c>
      <c r="C139" s="300"/>
      <c r="D139" s="47">
        <v>609</v>
      </c>
      <c r="E139" s="11">
        <v>635</v>
      </c>
      <c r="F139" s="11">
        <v>610</v>
      </c>
      <c r="G139" s="28"/>
      <c r="H139" s="28"/>
      <c r="I139" s="3"/>
      <c r="J139" s="28"/>
      <c r="K139" s="28"/>
      <c r="L139" s="28"/>
      <c r="M139" s="28"/>
      <c r="N139" s="28"/>
      <c r="O139" s="28"/>
      <c r="P139" s="28"/>
      <c r="Q139" s="28"/>
      <c r="R139" s="28"/>
      <c r="S139" s="28"/>
      <c r="T139" s="28"/>
      <c r="U139" s="28"/>
      <c r="V139" s="28"/>
      <c r="W139" s="28"/>
      <c r="X139" s="28"/>
      <c r="Y139" s="28"/>
      <c r="Z139" s="28"/>
    </row>
    <row r="140" spans="1:26" ht="15.75" customHeight="1" x14ac:dyDescent="0.25">
      <c r="A140" s="28"/>
      <c r="B140" s="9" t="s">
        <v>56</v>
      </c>
      <c r="C140" s="300"/>
      <c r="D140" s="47">
        <v>739.11099999999999</v>
      </c>
      <c r="E140" s="11">
        <v>752</v>
      </c>
      <c r="F140" s="11">
        <v>720</v>
      </c>
      <c r="G140" s="28"/>
      <c r="H140" s="28"/>
      <c r="I140" s="3"/>
      <c r="J140" s="28"/>
      <c r="K140" s="28"/>
      <c r="L140" s="28"/>
      <c r="M140" s="28"/>
      <c r="N140" s="28"/>
      <c r="O140" s="28"/>
      <c r="P140" s="28"/>
      <c r="Q140" s="28"/>
      <c r="R140" s="28"/>
      <c r="S140" s="28"/>
      <c r="T140" s="28"/>
      <c r="U140" s="28"/>
      <c r="V140" s="28"/>
      <c r="W140" s="28"/>
      <c r="X140" s="28"/>
      <c r="Y140" s="28"/>
      <c r="Z140" s="28"/>
    </row>
    <row r="141" spans="1:26" ht="15.75" customHeight="1" x14ac:dyDescent="0.25">
      <c r="A141" s="28"/>
      <c r="B141" s="49" t="s">
        <v>57</v>
      </c>
      <c r="C141" s="300"/>
      <c r="D141" s="50">
        <v>746.88900000000001</v>
      </c>
      <c r="E141" s="11">
        <v>554</v>
      </c>
      <c r="F141" s="11">
        <v>560</v>
      </c>
      <c r="G141" s="28"/>
      <c r="H141" s="28"/>
      <c r="I141" s="3"/>
      <c r="J141" s="28"/>
      <c r="K141" s="28"/>
      <c r="L141" s="28"/>
      <c r="M141" s="28"/>
      <c r="N141" s="28"/>
      <c r="O141" s="28"/>
      <c r="P141" s="28"/>
      <c r="Q141" s="28"/>
      <c r="R141" s="28"/>
      <c r="S141" s="28"/>
      <c r="T141" s="28"/>
      <c r="U141" s="28"/>
      <c r="V141" s="28"/>
      <c r="W141" s="28"/>
      <c r="X141" s="28"/>
      <c r="Y141" s="28"/>
      <c r="Z141" s="28"/>
    </row>
    <row r="142" spans="1:26" ht="15.75" customHeight="1" x14ac:dyDescent="0.25">
      <c r="A142" s="28"/>
      <c r="B142" s="130"/>
      <c r="C142" s="131"/>
      <c r="D142" s="131"/>
      <c r="E142" s="131"/>
      <c r="F142" s="131"/>
      <c r="G142" s="28"/>
      <c r="H142" s="28"/>
      <c r="I142" s="3"/>
      <c r="J142" s="28"/>
      <c r="K142" s="28"/>
      <c r="L142" s="28"/>
      <c r="M142" s="28"/>
      <c r="N142" s="28"/>
      <c r="O142" s="28"/>
      <c r="P142" s="28"/>
      <c r="Q142" s="28"/>
      <c r="R142" s="28"/>
      <c r="S142" s="28"/>
      <c r="T142" s="28"/>
      <c r="U142" s="28"/>
      <c r="V142" s="28"/>
      <c r="W142" s="28"/>
      <c r="X142" s="28"/>
      <c r="Y142" s="28"/>
      <c r="Z142" s="28"/>
    </row>
    <row r="143" spans="1:26" ht="15.75" customHeight="1" x14ac:dyDescent="0.25">
      <c r="A143" s="28"/>
      <c r="B143" s="9" t="s">
        <v>60</v>
      </c>
      <c r="C143" s="299" t="s">
        <v>62</v>
      </c>
      <c r="D143" s="47">
        <v>21</v>
      </c>
      <c r="E143" s="11">
        <v>21</v>
      </c>
      <c r="F143" s="11">
        <v>14</v>
      </c>
      <c r="G143" s="28"/>
      <c r="H143" s="28"/>
      <c r="I143" s="3"/>
      <c r="J143" s="28"/>
      <c r="K143" s="28"/>
      <c r="L143" s="28"/>
      <c r="M143" s="28"/>
      <c r="N143" s="28"/>
      <c r="O143" s="28"/>
      <c r="P143" s="28"/>
      <c r="Q143" s="28"/>
      <c r="R143" s="28"/>
      <c r="S143" s="28"/>
      <c r="T143" s="28"/>
      <c r="U143" s="28"/>
      <c r="V143" s="28"/>
      <c r="W143" s="28"/>
      <c r="X143" s="28"/>
      <c r="Y143" s="28"/>
      <c r="Z143" s="28"/>
    </row>
    <row r="144" spans="1:26" ht="15.75" customHeight="1" x14ac:dyDescent="0.25">
      <c r="A144" s="28"/>
      <c r="B144" s="9" t="s">
        <v>64</v>
      </c>
      <c r="C144" s="300"/>
      <c r="D144" s="47">
        <v>33.31</v>
      </c>
      <c r="E144" s="11">
        <v>43</v>
      </c>
      <c r="F144" s="11">
        <v>43</v>
      </c>
      <c r="G144" s="28"/>
      <c r="H144" s="28"/>
      <c r="I144" s="3"/>
      <c r="J144" s="28"/>
      <c r="K144" s="28"/>
      <c r="L144" s="28"/>
      <c r="M144" s="28"/>
      <c r="N144" s="28"/>
      <c r="O144" s="28"/>
      <c r="P144" s="28"/>
      <c r="Q144" s="28"/>
      <c r="R144" s="28"/>
      <c r="S144" s="28"/>
      <c r="T144" s="28"/>
      <c r="U144" s="28"/>
      <c r="V144" s="28"/>
      <c r="W144" s="28"/>
      <c r="X144" s="28"/>
      <c r="Y144" s="28"/>
      <c r="Z144" s="28"/>
    </row>
    <row r="145" spans="1:26" ht="15.75" customHeight="1" x14ac:dyDescent="0.25">
      <c r="A145" s="28"/>
      <c r="B145" s="9" t="s">
        <v>65</v>
      </c>
      <c r="C145" s="301"/>
      <c r="D145" s="47">
        <v>41.74</v>
      </c>
      <c r="E145" s="11">
        <v>21</v>
      </c>
      <c r="F145" s="11">
        <v>18</v>
      </c>
      <c r="G145" s="28"/>
      <c r="H145" s="28"/>
      <c r="I145" s="3"/>
      <c r="J145" s="28"/>
      <c r="K145" s="28"/>
      <c r="L145" s="28"/>
      <c r="M145" s="28"/>
      <c r="N145" s="28"/>
      <c r="O145" s="28"/>
      <c r="P145" s="28"/>
      <c r="Q145" s="28"/>
      <c r="R145" s="28"/>
      <c r="S145" s="28"/>
      <c r="T145" s="28"/>
      <c r="U145" s="28"/>
      <c r="V145" s="28"/>
      <c r="W145" s="28"/>
      <c r="X145" s="28"/>
      <c r="Y145" s="28"/>
      <c r="Z145" s="28"/>
    </row>
    <row r="146" spans="1:26" ht="15.75" customHeight="1" x14ac:dyDescent="0.25">
      <c r="A146" s="28"/>
      <c r="B146" s="41"/>
      <c r="C146" s="42"/>
      <c r="D146" s="42"/>
      <c r="E146" s="11"/>
      <c r="F146" s="11"/>
      <c r="G146" s="28"/>
      <c r="H146" s="28"/>
      <c r="I146" s="3"/>
      <c r="J146" s="28"/>
      <c r="K146" s="28"/>
      <c r="L146" s="28"/>
      <c r="M146" s="28"/>
      <c r="N146" s="28"/>
      <c r="O146" s="28"/>
      <c r="P146" s="28"/>
      <c r="Q146" s="28"/>
      <c r="R146" s="28"/>
      <c r="S146" s="28"/>
      <c r="T146" s="28"/>
      <c r="U146" s="28"/>
      <c r="V146" s="28"/>
      <c r="W146" s="28"/>
      <c r="X146" s="28"/>
      <c r="Y146" s="28"/>
      <c r="Z146" s="28"/>
    </row>
    <row r="147" spans="1:26" ht="15.75" customHeight="1" x14ac:dyDescent="0.25">
      <c r="A147" s="28"/>
      <c r="B147" s="9" t="s">
        <v>66</v>
      </c>
      <c r="C147" s="302" t="s">
        <v>68</v>
      </c>
      <c r="D147" s="47">
        <v>204.5</v>
      </c>
      <c r="E147" s="11">
        <v>225</v>
      </c>
      <c r="F147" s="11">
        <v>230</v>
      </c>
      <c r="G147" s="28"/>
      <c r="H147" s="28"/>
      <c r="I147" s="3"/>
      <c r="J147" s="28"/>
      <c r="K147" s="28"/>
      <c r="L147" s="28"/>
      <c r="M147" s="28"/>
      <c r="N147" s="28"/>
      <c r="O147" s="28"/>
      <c r="P147" s="28"/>
      <c r="Q147" s="28"/>
      <c r="R147" s="28"/>
      <c r="S147" s="28"/>
      <c r="T147" s="28"/>
      <c r="U147" s="28"/>
      <c r="V147" s="28"/>
      <c r="W147" s="28"/>
      <c r="X147" s="28"/>
      <c r="Y147" s="28"/>
      <c r="Z147" s="28"/>
    </row>
    <row r="148" spans="1:26" ht="15.75" customHeight="1" x14ac:dyDescent="0.25">
      <c r="A148" s="28"/>
      <c r="B148" s="49" t="s">
        <v>69</v>
      </c>
      <c r="C148" s="300"/>
      <c r="D148" s="50">
        <v>277.7</v>
      </c>
      <c r="E148" s="11">
        <v>286</v>
      </c>
      <c r="F148" s="11">
        <v>290</v>
      </c>
      <c r="G148" s="28"/>
      <c r="H148" s="28"/>
      <c r="I148" s="3"/>
      <c r="J148" s="28"/>
      <c r="K148" s="28"/>
      <c r="L148" s="28"/>
      <c r="M148" s="28"/>
      <c r="N148" s="28"/>
      <c r="O148" s="28"/>
      <c r="P148" s="28"/>
      <c r="Q148" s="28"/>
      <c r="R148" s="28"/>
      <c r="S148" s="28"/>
      <c r="T148" s="28"/>
      <c r="U148" s="28"/>
      <c r="V148" s="28"/>
      <c r="W148" s="28"/>
      <c r="X148" s="28"/>
      <c r="Y148" s="28"/>
      <c r="Z148" s="28"/>
    </row>
    <row r="149" spans="1:26" ht="15.75" customHeight="1" x14ac:dyDescent="0.25">
      <c r="A149" s="28"/>
      <c r="B149" s="132"/>
      <c r="C149" s="133"/>
      <c r="D149" s="133"/>
      <c r="E149" s="133"/>
      <c r="F149" s="133"/>
      <c r="G149" s="28"/>
      <c r="H149" s="28"/>
      <c r="I149" s="3"/>
      <c r="J149" s="28"/>
      <c r="K149" s="28"/>
      <c r="L149" s="28"/>
      <c r="M149" s="28"/>
      <c r="N149" s="28"/>
      <c r="O149" s="28"/>
      <c r="P149" s="28"/>
      <c r="Q149" s="28"/>
      <c r="R149" s="28"/>
      <c r="S149" s="28"/>
      <c r="T149" s="28"/>
      <c r="U149" s="28"/>
      <c r="V149" s="28"/>
      <c r="W149" s="28"/>
      <c r="X149" s="28"/>
      <c r="Y149" s="28"/>
      <c r="Z149" s="28"/>
    </row>
    <row r="150" spans="1:26" ht="15.75" customHeight="1" x14ac:dyDescent="0.25">
      <c r="A150" s="28"/>
      <c r="B150" s="9" t="s">
        <v>69</v>
      </c>
      <c r="C150" s="299" t="s">
        <v>71</v>
      </c>
      <c r="D150" s="47">
        <v>10.283300000000001</v>
      </c>
      <c r="E150" s="11">
        <v>9</v>
      </c>
      <c r="F150" s="11">
        <v>9</v>
      </c>
      <c r="G150" s="28"/>
      <c r="H150" s="28"/>
      <c r="I150" s="3"/>
      <c r="J150" s="28"/>
      <c r="K150" s="28"/>
      <c r="L150" s="28"/>
      <c r="M150" s="28"/>
      <c r="N150" s="28"/>
      <c r="O150" s="28"/>
      <c r="P150" s="28"/>
      <c r="Q150" s="28"/>
      <c r="R150" s="28"/>
      <c r="S150" s="28"/>
      <c r="T150" s="28"/>
      <c r="U150" s="28"/>
      <c r="V150" s="28"/>
      <c r="W150" s="28"/>
      <c r="X150" s="28"/>
      <c r="Y150" s="28"/>
      <c r="Z150" s="28"/>
    </row>
    <row r="151" spans="1:26" ht="15.75" customHeight="1" x14ac:dyDescent="0.25">
      <c r="A151" s="28"/>
      <c r="B151" s="9" t="s">
        <v>72</v>
      </c>
      <c r="C151" s="300"/>
      <c r="D151" s="47">
        <v>11.8833</v>
      </c>
      <c r="E151" s="11">
        <v>10</v>
      </c>
      <c r="F151" s="11">
        <v>11</v>
      </c>
      <c r="G151" s="28"/>
      <c r="H151" s="28"/>
      <c r="I151" s="3"/>
      <c r="J151" s="28"/>
      <c r="K151" s="28"/>
      <c r="L151" s="28"/>
      <c r="M151" s="28"/>
      <c r="N151" s="28"/>
      <c r="O151" s="28"/>
      <c r="P151" s="28"/>
      <c r="Q151" s="28"/>
      <c r="R151" s="28"/>
      <c r="S151" s="28"/>
      <c r="T151" s="28"/>
      <c r="U151" s="28"/>
      <c r="V151" s="28"/>
      <c r="W151" s="28"/>
      <c r="X151" s="28"/>
      <c r="Y151" s="28"/>
      <c r="Z151" s="28"/>
    </row>
    <row r="152" spans="1:26" ht="15.75" customHeight="1" x14ac:dyDescent="0.25">
      <c r="A152" s="28"/>
      <c r="B152" s="9" t="s">
        <v>73</v>
      </c>
      <c r="C152" s="301"/>
      <c r="D152" s="47">
        <v>17.433299999999999</v>
      </c>
      <c r="E152" s="11">
        <v>14</v>
      </c>
      <c r="F152" s="11">
        <v>16</v>
      </c>
      <c r="G152" s="28"/>
      <c r="H152" s="28"/>
      <c r="I152" s="3"/>
      <c r="J152" s="28"/>
      <c r="K152" s="28"/>
      <c r="L152" s="28"/>
      <c r="M152" s="28"/>
      <c r="N152" s="28"/>
      <c r="O152" s="28"/>
      <c r="P152" s="28"/>
      <c r="Q152" s="28"/>
      <c r="R152" s="28"/>
      <c r="S152" s="28"/>
      <c r="T152" s="28"/>
      <c r="U152" s="28"/>
      <c r="V152" s="28"/>
      <c r="W152" s="28"/>
      <c r="X152" s="28"/>
      <c r="Y152" s="28"/>
      <c r="Z152" s="28"/>
    </row>
    <row r="153" spans="1:26" ht="15.75" customHeight="1" x14ac:dyDescent="0.25">
      <c r="A153" s="28"/>
      <c r="B153" s="41"/>
      <c r="C153" s="42"/>
      <c r="D153" s="42"/>
      <c r="E153" s="11"/>
      <c r="F153" s="11"/>
      <c r="G153" s="28"/>
      <c r="H153" s="28"/>
      <c r="I153" s="3"/>
      <c r="J153" s="28"/>
      <c r="K153" s="28"/>
      <c r="L153" s="28"/>
      <c r="M153" s="28"/>
      <c r="N153" s="28"/>
      <c r="O153" s="28"/>
      <c r="P153" s="28"/>
      <c r="Q153" s="28"/>
      <c r="R153" s="28"/>
      <c r="S153" s="28"/>
      <c r="T153" s="28"/>
      <c r="U153" s="28"/>
      <c r="V153" s="28"/>
      <c r="W153" s="28"/>
      <c r="X153" s="28"/>
      <c r="Y153" s="28"/>
      <c r="Z153" s="28"/>
    </row>
    <row r="154" spans="1:26" ht="15.75" customHeight="1" x14ac:dyDescent="0.25">
      <c r="A154" s="28"/>
      <c r="B154" s="9" t="s">
        <v>76</v>
      </c>
      <c r="C154" s="302" t="s">
        <v>77</v>
      </c>
      <c r="D154" s="47">
        <v>117.467</v>
      </c>
      <c r="E154" s="11">
        <v>179</v>
      </c>
      <c r="F154" s="11">
        <v>166</v>
      </c>
      <c r="G154" s="28"/>
      <c r="H154" s="28"/>
      <c r="I154" s="3"/>
      <c r="J154" s="28"/>
      <c r="K154" s="28"/>
      <c r="L154" s="28"/>
      <c r="M154" s="28"/>
      <c r="N154" s="28"/>
      <c r="O154" s="28"/>
      <c r="P154" s="28"/>
      <c r="Q154" s="28"/>
      <c r="R154" s="28"/>
      <c r="S154" s="28"/>
      <c r="T154" s="28"/>
      <c r="U154" s="28"/>
      <c r="V154" s="28"/>
      <c r="W154" s="28"/>
      <c r="X154" s="28"/>
      <c r="Y154" s="28"/>
      <c r="Z154" s="28"/>
    </row>
    <row r="155" spans="1:26" ht="15.75" customHeight="1" x14ac:dyDescent="0.25">
      <c r="A155" s="28"/>
      <c r="B155" s="9" t="s">
        <v>78</v>
      </c>
      <c r="C155" s="300"/>
      <c r="D155" s="47">
        <v>187.833</v>
      </c>
      <c r="E155" s="11">
        <v>110</v>
      </c>
      <c r="F155" s="11">
        <v>123</v>
      </c>
      <c r="G155" s="28"/>
      <c r="H155" s="28"/>
      <c r="I155" s="3"/>
      <c r="J155" s="28"/>
      <c r="K155" s="28"/>
      <c r="L155" s="28"/>
      <c r="M155" s="28"/>
      <c r="N155" s="28"/>
      <c r="O155" s="28"/>
      <c r="P155" s="28"/>
      <c r="Q155" s="28"/>
      <c r="R155" s="28"/>
      <c r="S155" s="28"/>
      <c r="T155" s="28"/>
      <c r="U155" s="28"/>
      <c r="V155" s="28"/>
      <c r="W155" s="28"/>
      <c r="X155" s="28"/>
      <c r="Y155" s="28"/>
      <c r="Z155" s="28"/>
    </row>
    <row r="156" spans="1:26" ht="15.75" customHeight="1" x14ac:dyDescent="0.25">
      <c r="A156" s="28"/>
      <c r="B156" s="9" t="s">
        <v>79</v>
      </c>
      <c r="C156" s="300"/>
      <c r="D156" s="47">
        <v>218.333</v>
      </c>
      <c r="E156" s="11">
        <v>203</v>
      </c>
      <c r="F156" s="11">
        <v>209</v>
      </c>
      <c r="G156" s="28"/>
      <c r="H156" s="28"/>
      <c r="I156" s="3"/>
      <c r="J156" s="28"/>
      <c r="K156" s="28"/>
      <c r="L156" s="28"/>
      <c r="M156" s="28"/>
      <c r="N156" s="28"/>
      <c r="O156" s="28"/>
      <c r="P156" s="28"/>
      <c r="Q156" s="28"/>
      <c r="R156" s="28"/>
      <c r="S156" s="28"/>
      <c r="T156" s="28"/>
      <c r="U156" s="28"/>
      <c r="V156" s="28"/>
      <c r="W156" s="28"/>
      <c r="X156" s="28"/>
      <c r="Y156" s="28"/>
      <c r="Z156" s="28"/>
    </row>
    <row r="157" spans="1:26" ht="15.75" customHeight="1" x14ac:dyDescent="0.25">
      <c r="A157" s="28"/>
      <c r="B157" s="49" t="s">
        <v>80</v>
      </c>
      <c r="C157" s="300"/>
      <c r="D157" s="50">
        <v>238.5</v>
      </c>
      <c r="E157" s="11">
        <v>220</v>
      </c>
      <c r="F157" s="11">
        <v>220</v>
      </c>
      <c r="G157" s="28"/>
      <c r="H157" s="28"/>
      <c r="I157" s="3"/>
      <c r="J157" s="28"/>
      <c r="K157" s="28"/>
      <c r="L157" s="28"/>
      <c r="M157" s="28"/>
      <c r="N157" s="28"/>
      <c r="O157" s="28"/>
      <c r="P157" s="28"/>
      <c r="Q157" s="28"/>
      <c r="R157" s="28"/>
      <c r="S157" s="28"/>
      <c r="T157" s="28"/>
      <c r="U157" s="28"/>
      <c r="V157" s="28"/>
      <c r="W157" s="28"/>
      <c r="X157" s="28"/>
      <c r="Y157" s="28"/>
      <c r="Z157" s="28"/>
    </row>
    <row r="158" spans="1:26" ht="15.75" customHeight="1" x14ac:dyDescent="0.25">
      <c r="A158" s="28"/>
      <c r="B158" s="132"/>
      <c r="C158" s="133"/>
      <c r="D158" s="133"/>
      <c r="E158" s="133"/>
      <c r="F158" s="133"/>
      <c r="G158" s="28"/>
      <c r="H158" s="28"/>
      <c r="I158" s="3"/>
      <c r="J158" s="28"/>
      <c r="K158" s="28"/>
      <c r="L158" s="28"/>
      <c r="M158" s="28"/>
      <c r="N158" s="28"/>
      <c r="O158" s="28"/>
      <c r="P158" s="28"/>
      <c r="Q158" s="28"/>
      <c r="R158" s="28"/>
      <c r="S158" s="28"/>
      <c r="T158" s="28"/>
      <c r="U158" s="28"/>
      <c r="V158" s="28"/>
      <c r="W158" s="28"/>
      <c r="X158" s="28"/>
      <c r="Y158" s="28"/>
      <c r="Z158" s="28"/>
    </row>
    <row r="159" spans="1:26" ht="15.75" customHeight="1" x14ac:dyDescent="0.25">
      <c r="A159" s="28"/>
      <c r="B159" s="9" t="s">
        <v>81</v>
      </c>
      <c r="C159" s="299" t="s">
        <v>82</v>
      </c>
      <c r="D159" s="47">
        <v>2</v>
      </c>
      <c r="E159" s="11">
        <v>2</v>
      </c>
      <c r="F159" s="11">
        <v>2</v>
      </c>
      <c r="G159" s="28"/>
      <c r="H159" s="28"/>
      <c r="I159" s="3"/>
      <c r="J159" s="28"/>
      <c r="K159" s="28"/>
      <c r="L159" s="28"/>
      <c r="M159" s="28"/>
      <c r="N159" s="28"/>
      <c r="O159" s="28"/>
      <c r="P159" s="28"/>
      <c r="Q159" s="28"/>
      <c r="R159" s="28"/>
      <c r="S159" s="28"/>
      <c r="T159" s="28"/>
      <c r="U159" s="28"/>
      <c r="V159" s="28"/>
      <c r="W159" s="28"/>
      <c r="X159" s="28"/>
      <c r="Y159" s="28"/>
      <c r="Z159" s="28"/>
    </row>
    <row r="160" spans="1:26" ht="15.75" customHeight="1" x14ac:dyDescent="0.25">
      <c r="A160" s="28"/>
      <c r="B160" s="9" t="s">
        <v>83</v>
      </c>
      <c r="C160" s="300"/>
      <c r="D160" s="47">
        <v>7.133</v>
      </c>
      <c r="E160" s="11">
        <v>12</v>
      </c>
      <c r="F160" s="11">
        <v>11</v>
      </c>
      <c r="G160" s="28"/>
      <c r="H160" s="28"/>
      <c r="I160" s="3"/>
      <c r="J160" s="28"/>
      <c r="K160" s="28"/>
      <c r="L160" s="28"/>
      <c r="M160" s="28"/>
      <c r="N160" s="28"/>
      <c r="O160" s="28"/>
      <c r="P160" s="28"/>
      <c r="Q160" s="28"/>
      <c r="R160" s="28"/>
      <c r="S160" s="28"/>
      <c r="T160" s="28"/>
      <c r="U160" s="28"/>
      <c r="V160" s="28"/>
      <c r="W160" s="28"/>
      <c r="X160" s="28"/>
      <c r="Y160" s="28"/>
      <c r="Z160" s="28"/>
    </row>
    <row r="161" spans="1:26" ht="15.75" customHeight="1" x14ac:dyDescent="0.25">
      <c r="A161" s="28"/>
      <c r="B161" s="9" t="s">
        <v>84</v>
      </c>
      <c r="C161" s="301"/>
      <c r="D161" s="47">
        <v>10.72</v>
      </c>
      <c r="E161" s="11">
        <v>8</v>
      </c>
      <c r="F161" s="11">
        <v>11</v>
      </c>
      <c r="G161" s="28"/>
      <c r="H161" s="28"/>
      <c r="I161" s="3"/>
      <c r="J161" s="28"/>
      <c r="K161" s="28"/>
      <c r="L161" s="28"/>
      <c r="M161" s="28"/>
      <c r="N161" s="28"/>
      <c r="O161" s="28"/>
      <c r="P161" s="28"/>
      <c r="Q161" s="28"/>
      <c r="R161" s="28"/>
      <c r="S161" s="28"/>
      <c r="T161" s="28"/>
      <c r="U161" s="28"/>
      <c r="V161" s="28"/>
      <c r="W161" s="28"/>
      <c r="X161" s="28"/>
      <c r="Y161" s="28"/>
      <c r="Z161" s="28"/>
    </row>
    <row r="162" spans="1:26" ht="15.75" customHeight="1" x14ac:dyDescent="0.25">
      <c r="A162" s="28"/>
      <c r="B162" s="41"/>
      <c r="C162" s="42"/>
      <c r="D162" s="42"/>
      <c r="E162" s="11"/>
      <c r="F162" s="11"/>
      <c r="G162" s="28"/>
      <c r="H162" s="28"/>
      <c r="I162" s="3"/>
      <c r="J162" s="28"/>
      <c r="K162" s="28"/>
      <c r="L162" s="28"/>
      <c r="M162" s="28"/>
      <c r="N162" s="28"/>
      <c r="O162" s="28"/>
      <c r="P162" s="28"/>
      <c r="Q162" s="28"/>
      <c r="R162" s="28"/>
      <c r="S162" s="28"/>
      <c r="T162" s="28"/>
      <c r="U162" s="28"/>
      <c r="V162" s="28"/>
      <c r="W162" s="28"/>
      <c r="X162" s="28"/>
      <c r="Y162" s="28"/>
      <c r="Z162" s="28"/>
    </row>
    <row r="163" spans="1:26" ht="15.75" customHeight="1" x14ac:dyDescent="0.25">
      <c r="A163" s="28"/>
      <c r="B163" s="9" t="s">
        <v>86</v>
      </c>
      <c r="C163" s="302" t="s">
        <v>87</v>
      </c>
      <c r="D163" s="47">
        <v>20.466999999999999</v>
      </c>
      <c r="E163" s="11">
        <v>24</v>
      </c>
      <c r="F163" s="11">
        <v>24</v>
      </c>
      <c r="G163" s="28"/>
      <c r="H163" s="28"/>
      <c r="I163" s="3"/>
      <c r="J163" s="28"/>
      <c r="K163" s="28"/>
      <c r="L163" s="28"/>
      <c r="M163" s="28"/>
      <c r="N163" s="28"/>
      <c r="O163" s="28"/>
      <c r="P163" s="28"/>
      <c r="Q163" s="28"/>
      <c r="R163" s="28"/>
      <c r="S163" s="28"/>
      <c r="T163" s="28"/>
      <c r="U163" s="28"/>
      <c r="V163" s="28"/>
      <c r="W163" s="28"/>
      <c r="X163" s="28"/>
      <c r="Y163" s="28"/>
      <c r="Z163" s="28"/>
    </row>
    <row r="164" spans="1:26" ht="15.75" customHeight="1" x14ac:dyDescent="0.25">
      <c r="A164" s="28"/>
      <c r="B164" s="49" t="s">
        <v>88</v>
      </c>
      <c r="C164" s="300"/>
      <c r="D164" s="50">
        <v>20.367000000000001</v>
      </c>
      <c r="E164" s="11">
        <v>25</v>
      </c>
      <c r="F164" s="11">
        <v>24</v>
      </c>
      <c r="G164" s="28"/>
      <c r="H164" s="28"/>
      <c r="I164" s="3"/>
      <c r="J164" s="28"/>
      <c r="K164" s="28"/>
      <c r="L164" s="28"/>
      <c r="M164" s="28"/>
      <c r="N164" s="28"/>
      <c r="O164" s="28"/>
      <c r="P164" s="28"/>
      <c r="Q164" s="28"/>
      <c r="R164" s="28"/>
      <c r="S164" s="28"/>
      <c r="T164" s="28"/>
      <c r="U164" s="28"/>
      <c r="V164" s="28"/>
      <c r="W164" s="28"/>
      <c r="X164" s="28"/>
      <c r="Y164" s="28"/>
      <c r="Z164" s="28"/>
    </row>
    <row r="165" spans="1:26" ht="15.75" customHeight="1" x14ac:dyDescent="0.25">
      <c r="A165" s="28"/>
      <c r="B165" s="132"/>
      <c r="C165" s="133"/>
      <c r="D165" s="133"/>
      <c r="E165" s="133"/>
      <c r="F165" s="133"/>
      <c r="G165" s="28"/>
      <c r="H165" s="28"/>
      <c r="I165" s="3"/>
      <c r="J165" s="28"/>
      <c r="K165" s="28"/>
      <c r="L165" s="28"/>
      <c r="M165" s="28"/>
      <c r="N165" s="28"/>
      <c r="O165" s="28"/>
      <c r="P165" s="28"/>
      <c r="Q165" s="28"/>
      <c r="R165" s="28"/>
      <c r="S165" s="28"/>
      <c r="T165" s="28"/>
      <c r="U165" s="28"/>
      <c r="V165" s="28"/>
      <c r="W165" s="28"/>
      <c r="X165" s="28"/>
      <c r="Y165" s="28"/>
      <c r="Z165" s="28"/>
    </row>
    <row r="166" spans="1:26" ht="15.75" customHeight="1" x14ac:dyDescent="0.25">
      <c r="A166" s="28"/>
      <c r="B166" s="12" t="s">
        <v>89</v>
      </c>
      <c r="C166" s="302" t="s">
        <v>90</v>
      </c>
      <c r="D166" s="71">
        <v>5.15</v>
      </c>
      <c r="E166" s="25">
        <v>19</v>
      </c>
      <c r="F166" s="25">
        <v>17</v>
      </c>
      <c r="G166" s="28"/>
      <c r="H166" s="28"/>
      <c r="I166" s="3"/>
      <c r="J166" s="28"/>
      <c r="K166" s="28"/>
      <c r="L166" s="28"/>
      <c r="M166" s="28"/>
      <c r="N166" s="28"/>
      <c r="O166" s="28"/>
      <c r="P166" s="28"/>
      <c r="Q166" s="28"/>
      <c r="R166" s="28"/>
      <c r="S166" s="28"/>
      <c r="T166" s="28"/>
      <c r="U166" s="28"/>
      <c r="V166" s="28"/>
      <c r="W166" s="28"/>
      <c r="X166" s="28"/>
      <c r="Y166" s="28"/>
      <c r="Z166" s="28"/>
    </row>
    <row r="167" spans="1:26" ht="15.75" customHeight="1" x14ac:dyDescent="0.25">
      <c r="A167" s="28"/>
      <c r="B167" s="9" t="s">
        <v>91</v>
      </c>
      <c r="C167" s="301"/>
      <c r="D167" s="47">
        <v>16.2</v>
      </c>
      <c r="E167" s="11">
        <v>19</v>
      </c>
      <c r="F167" s="11">
        <v>18</v>
      </c>
      <c r="G167" s="28"/>
      <c r="H167" s="28"/>
      <c r="I167" s="3"/>
      <c r="J167" s="28"/>
      <c r="K167" s="28"/>
      <c r="L167" s="28"/>
      <c r="M167" s="28"/>
      <c r="N167" s="28"/>
      <c r="O167" s="28"/>
      <c r="P167" s="28"/>
      <c r="Q167" s="28"/>
      <c r="R167" s="28"/>
      <c r="S167" s="28"/>
      <c r="T167" s="28"/>
      <c r="U167" s="28"/>
      <c r="V167" s="28"/>
      <c r="W167" s="28"/>
      <c r="X167" s="28"/>
      <c r="Y167" s="28"/>
      <c r="Z167" s="28"/>
    </row>
    <row r="168" spans="1:26" ht="15.75" customHeight="1" x14ac:dyDescent="0.25">
      <c r="A168" s="28"/>
      <c r="B168" s="135"/>
      <c r="C168" s="136"/>
      <c r="D168" s="136"/>
      <c r="E168" s="203"/>
      <c r="F168" s="203"/>
      <c r="G168" s="28"/>
      <c r="H168" s="28"/>
      <c r="I168" s="3"/>
      <c r="J168" s="28"/>
      <c r="K168" s="28"/>
      <c r="L168" s="28"/>
      <c r="M168" s="28"/>
      <c r="N168" s="28"/>
      <c r="O168" s="28"/>
      <c r="P168" s="28"/>
      <c r="Q168" s="28"/>
      <c r="R168" s="28"/>
      <c r="S168" s="28"/>
      <c r="T168" s="28"/>
      <c r="U168" s="28"/>
      <c r="V168" s="28"/>
      <c r="W168" s="28"/>
      <c r="X168" s="28"/>
      <c r="Y168" s="28"/>
      <c r="Z168" s="28"/>
    </row>
    <row r="169" spans="1:26" ht="15.75" customHeight="1" x14ac:dyDescent="0.25">
      <c r="A169" s="28"/>
      <c r="B169" s="9" t="s">
        <v>94</v>
      </c>
      <c r="C169" s="299" t="s">
        <v>95</v>
      </c>
      <c r="D169" s="47">
        <v>50.082999999999998</v>
      </c>
      <c r="E169" s="11">
        <v>53</v>
      </c>
      <c r="F169" s="11">
        <v>99</v>
      </c>
      <c r="G169" s="28"/>
      <c r="H169" s="28"/>
      <c r="I169" s="3"/>
      <c r="J169" s="28"/>
      <c r="K169" s="28"/>
      <c r="L169" s="28"/>
      <c r="M169" s="28"/>
      <c r="N169" s="28"/>
      <c r="O169" s="28"/>
      <c r="P169" s="28"/>
      <c r="Q169" s="28"/>
      <c r="R169" s="28"/>
      <c r="S169" s="28"/>
      <c r="T169" s="28"/>
      <c r="U169" s="28"/>
      <c r="V169" s="28"/>
      <c r="W169" s="28"/>
      <c r="X169" s="28"/>
      <c r="Y169" s="28"/>
      <c r="Z169" s="28"/>
    </row>
    <row r="170" spans="1:26" ht="15.75" customHeight="1" x14ac:dyDescent="0.25">
      <c r="A170" s="28"/>
      <c r="B170" s="9" t="s">
        <v>96</v>
      </c>
      <c r="C170" s="300"/>
      <c r="D170" s="47">
        <v>93.992999999999995</v>
      </c>
      <c r="E170" s="11">
        <v>109</v>
      </c>
      <c r="F170" s="11">
        <v>104</v>
      </c>
      <c r="G170" s="28"/>
      <c r="H170" s="28"/>
      <c r="I170" s="3"/>
      <c r="J170" s="28"/>
      <c r="K170" s="28"/>
      <c r="L170" s="28"/>
      <c r="M170" s="28"/>
      <c r="N170" s="28"/>
      <c r="O170" s="28"/>
      <c r="P170" s="28"/>
      <c r="Q170" s="28"/>
      <c r="R170" s="28"/>
      <c r="S170" s="28"/>
      <c r="T170" s="28"/>
      <c r="U170" s="28"/>
      <c r="V170" s="28"/>
      <c r="W170" s="28"/>
      <c r="X170" s="28"/>
      <c r="Y170" s="28"/>
      <c r="Z170" s="28"/>
    </row>
    <row r="171" spans="1:26" ht="15.75" customHeight="1" x14ac:dyDescent="0.25">
      <c r="A171" s="28"/>
      <c r="B171" s="9" t="s">
        <v>97</v>
      </c>
      <c r="C171" s="300"/>
      <c r="D171" s="47">
        <v>95.516999999999996</v>
      </c>
      <c r="E171" s="11">
        <v>53</v>
      </c>
      <c r="F171" s="11">
        <v>51</v>
      </c>
      <c r="G171" s="28"/>
      <c r="H171" s="28"/>
      <c r="I171" s="3"/>
      <c r="J171" s="28"/>
      <c r="K171" s="28"/>
      <c r="L171" s="28"/>
      <c r="M171" s="28"/>
      <c r="N171" s="28"/>
      <c r="O171" s="28"/>
      <c r="P171" s="28"/>
      <c r="Q171" s="28"/>
      <c r="R171" s="28"/>
      <c r="S171" s="28"/>
      <c r="T171" s="28"/>
      <c r="U171" s="28"/>
      <c r="V171" s="28"/>
      <c r="W171" s="28"/>
      <c r="X171" s="28"/>
      <c r="Y171" s="28"/>
      <c r="Z171" s="28"/>
    </row>
    <row r="172" spans="1:26" ht="15.75" customHeight="1" x14ac:dyDescent="0.25">
      <c r="A172" s="28"/>
      <c r="B172" s="9" t="s">
        <v>98</v>
      </c>
      <c r="C172" s="300"/>
      <c r="D172" s="47">
        <v>100.92</v>
      </c>
      <c r="E172" s="11">
        <v>113</v>
      </c>
      <c r="F172" s="11">
        <v>110</v>
      </c>
      <c r="G172" s="28"/>
      <c r="H172" s="28"/>
      <c r="I172" s="3"/>
      <c r="J172" s="28"/>
      <c r="K172" s="28"/>
      <c r="L172" s="28"/>
      <c r="M172" s="28"/>
      <c r="N172" s="28"/>
      <c r="O172" s="28"/>
      <c r="P172" s="28"/>
      <c r="Q172" s="28"/>
      <c r="R172" s="28"/>
      <c r="S172" s="28"/>
      <c r="T172" s="28"/>
      <c r="U172" s="28"/>
      <c r="V172" s="28"/>
      <c r="W172" s="28"/>
      <c r="X172" s="28"/>
      <c r="Y172" s="28"/>
      <c r="Z172" s="28"/>
    </row>
    <row r="173" spans="1:26" ht="15.75" customHeight="1" x14ac:dyDescent="0.25">
      <c r="A173" s="28"/>
      <c r="B173" s="9" t="s">
        <v>99</v>
      </c>
      <c r="C173" s="301"/>
      <c r="D173" s="47">
        <v>115.37</v>
      </c>
      <c r="E173" s="11">
        <v>115</v>
      </c>
      <c r="F173" s="11">
        <v>118</v>
      </c>
      <c r="G173" s="28"/>
      <c r="H173" s="28"/>
      <c r="I173" s="3"/>
      <c r="J173" s="28"/>
      <c r="K173" s="28"/>
      <c r="L173" s="28"/>
      <c r="M173" s="28"/>
      <c r="N173" s="28"/>
      <c r="O173" s="28"/>
      <c r="P173" s="28"/>
      <c r="Q173" s="28"/>
      <c r="R173" s="28"/>
      <c r="S173" s="28"/>
      <c r="T173" s="28"/>
      <c r="U173" s="28"/>
      <c r="V173" s="28"/>
      <c r="W173" s="28"/>
      <c r="X173" s="28"/>
      <c r="Y173" s="28"/>
      <c r="Z173" s="28"/>
    </row>
    <row r="174" spans="1:26" ht="15.75" customHeight="1" x14ac:dyDescent="0.25">
      <c r="A174" s="28"/>
      <c r="B174" s="28"/>
      <c r="C174" s="28"/>
      <c r="D174" s="184"/>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5.75" customHeight="1" x14ac:dyDescent="0.25">
      <c r="D175" s="184"/>
    </row>
    <row r="176" spans="1:26" ht="15.75" customHeight="1" x14ac:dyDescent="0.25">
      <c r="D176" s="184"/>
    </row>
    <row r="177" spans="4:4" ht="15.75" customHeight="1" x14ac:dyDescent="0.25">
      <c r="D177" s="184"/>
    </row>
    <row r="178" spans="4:4" ht="15.75" customHeight="1" x14ac:dyDescent="0.25">
      <c r="D178" s="184"/>
    </row>
    <row r="179" spans="4:4" ht="15.75" customHeight="1" x14ac:dyDescent="0.25">
      <c r="D179" s="184"/>
    </row>
    <row r="180" spans="4:4" ht="15.75" customHeight="1" x14ac:dyDescent="0.25">
      <c r="D180" s="184"/>
    </row>
    <row r="181" spans="4:4" ht="15.75" customHeight="1" x14ac:dyDescent="0.25">
      <c r="D181" s="184"/>
    </row>
    <row r="182" spans="4:4" ht="15.75" customHeight="1" x14ac:dyDescent="0.25">
      <c r="D182" s="184"/>
    </row>
    <row r="183" spans="4:4" ht="15.75" customHeight="1" x14ac:dyDescent="0.25">
      <c r="D183" s="184"/>
    </row>
    <row r="184" spans="4:4" ht="15.75" customHeight="1" x14ac:dyDescent="0.25">
      <c r="D184" s="184"/>
    </row>
    <row r="185" spans="4:4" ht="15.75" customHeight="1" x14ac:dyDescent="0.25">
      <c r="D185" s="184"/>
    </row>
    <row r="186" spans="4:4" ht="15.75" customHeight="1" x14ac:dyDescent="0.25">
      <c r="D186" s="184"/>
    </row>
    <row r="187" spans="4:4" ht="15.75" customHeight="1" x14ac:dyDescent="0.25">
      <c r="D187" s="184"/>
    </row>
    <row r="188" spans="4:4" ht="15.75" customHeight="1" x14ac:dyDescent="0.25">
      <c r="D188" s="184"/>
    </row>
    <row r="189" spans="4:4" ht="15.75" customHeight="1" x14ac:dyDescent="0.25">
      <c r="D189" s="184"/>
    </row>
    <row r="190" spans="4:4" ht="15.75" customHeight="1" x14ac:dyDescent="0.25">
      <c r="D190" s="184"/>
    </row>
    <row r="191" spans="4:4" ht="15.75" customHeight="1" x14ac:dyDescent="0.25">
      <c r="D191" s="184"/>
    </row>
    <row r="192" spans="4:4" ht="15.75" customHeight="1" x14ac:dyDescent="0.25">
      <c r="D192" s="184"/>
    </row>
    <row r="193" spans="4:4" ht="15.75" customHeight="1" x14ac:dyDescent="0.25">
      <c r="D193" s="184"/>
    </row>
    <row r="194" spans="4:4" ht="15.75" customHeight="1" x14ac:dyDescent="0.25">
      <c r="D194" s="184"/>
    </row>
    <row r="195" spans="4:4" ht="15.75" customHeight="1" x14ac:dyDescent="0.25">
      <c r="D195" s="184"/>
    </row>
    <row r="196" spans="4:4" ht="15.75" customHeight="1" x14ac:dyDescent="0.25">
      <c r="D196" s="184"/>
    </row>
    <row r="197" spans="4:4" ht="15.75" customHeight="1" x14ac:dyDescent="0.25">
      <c r="D197" s="184"/>
    </row>
    <row r="198" spans="4:4" ht="15.75" customHeight="1" x14ac:dyDescent="0.25">
      <c r="D198" s="184"/>
    </row>
    <row r="199" spans="4:4" ht="15.75" customHeight="1" x14ac:dyDescent="0.25">
      <c r="D199" s="184"/>
    </row>
    <row r="200" spans="4:4" ht="15.75" customHeight="1" x14ac:dyDescent="0.25">
      <c r="D200" s="184"/>
    </row>
    <row r="201" spans="4:4" ht="15.75" customHeight="1" x14ac:dyDescent="0.25">
      <c r="D201" s="184"/>
    </row>
    <row r="202" spans="4:4" ht="15.75" customHeight="1" x14ac:dyDescent="0.25">
      <c r="D202" s="184"/>
    </row>
    <row r="203" spans="4:4" ht="15.75" customHeight="1" x14ac:dyDescent="0.25">
      <c r="D203" s="184"/>
    </row>
    <row r="204" spans="4:4" ht="15.75" customHeight="1" x14ac:dyDescent="0.25">
      <c r="D204" s="184"/>
    </row>
    <row r="205" spans="4:4" ht="15.75" customHeight="1" x14ac:dyDescent="0.25">
      <c r="D205" s="184"/>
    </row>
    <row r="206" spans="4:4" ht="15.75" customHeight="1" x14ac:dyDescent="0.25">
      <c r="D206" s="184"/>
    </row>
    <row r="207" spans="4:4" ht="15.75" customHeight="1" x14ac:dyDescent="0.25">
      <c r="D207" s="184"/>
    </row>
    <row r="208" spans="4:4" ht="15.75" customHeight="1" x14ac:dyDescent="0.25">
      <c r="D208" s="184"/>
    </row>
    <row r="209" spans="4:4" ht="15.75" customHeight="1" x14ac:dyDescent="0.25">
      <c r="D209" s="184"/>
    </row>
    <row r="210" spans="4:4" ht="15.75" customHeight="1" x14ac:dyDescent="0.25">
      <c r="D210" s="184"/>
    </row>
    <row r="211" spans="4:4" ht="15.75" customHeight="1" x14ac:dyDescent="0.25">
      <c r="D211" s="184"/>
    </row>
    <row r="212" spans="4:4" ht="15.75" customHeight="1" x14ac:dyDescent="0.25">
      <c r="D212" s="184"/>
    </row>
    <row r="213" spans="4:4" ht="15.75" customHeight="1" x14ac:dyDescent="0.25">
      <c r="D213" s="184"/>
    </row>
    <row r="214" spans="4:4" ht="15.75" customHeight="1" x14ac:dyDescent="0.25">
      <c r="D214" s="184"/>
    </row>
    <row r="215" spans="4:4" ht="15.75" customHeight="1" x14ac:dyDescent="0.25">
      <c r="D215" s="184"/>
    </row>
    <row r="216" spans="4:4" ht="15.75" customHeight="1" x14ac:dyDescent="0.25">
      <c r="D216" s="184"/>
    </row>
    <row r="217" spans="4:4" ht="15.75" customHeight="1" x14ac:dyDescent="0.25">
      <c r="D217" s="184"/>
    </row>
    <row r="218" spans="4:4" ht="15.75" customHeight="1" x14ac:dyDescent="0.25">
      <c r="D218" s="184"/>
    </row>
    <row r="219" spans="4:4" ht="15.75" customHeight="1" x14ac:dyDescent="0.25">
      <c r="D219" s="184"/>
    </row>
    <row r="220" spans="4:4" ht="15.75" customHeight="1" x14ac:dyDescent="0.25">
      <c r="D220" s="184"/>
    </row>
    <row r="221" spans="4:4" ht="15.75" customHeight="1" x14ac:dyDescent="0.25">
      <c r="D221" s="184"/>
    </row>
    <row r="222" spans="4:4" ht="15.75" customHeight="1" x14ac:dyDescent="0.25">
      <c r="D222" s="184"/>
    </row>
    <row r="223" spans="4:4" ht="15.75" customHeight="1" x14ac:dyDescent="0.25">
      <c r="D223" s="184"/>
    </row>
    <row r="224" spans="4:4" ht="15.75" customHeight="1" x14ac:dyDescent="0.25">
      <c r="D224" s="184"/>
    </row>
    <row r="225" spans="4:4" ht="15.75" customHeight="1" x14ac:dyDescent="0.25">
      <c r="D225" s="184"/>
    </row>
    <row r="226" spans="4:4" ht="15.75" customHeight="1" x14ac:dyDescent="0.25">
      <c r="D226" s="184"/>
    </row>
    <row r="227" spans="4:4" ht="15.75" customHeight="1" x14ac:dyDescent="0.25">
      <c r="D227" s="184"/>
    </row>
    <row r="228" spans="4:4" ht="15.75" customHeight="1" x14ac:dyDescent="0.25">
      <c r="D228" s="184"/>
    </row>
    <row r="229" spans="4:4" ht="15.75" customHeight="1" x14ac:dyDescent="0.25">
      <c r="D229" s="184"/>
    </row>
    <row r="230" spans="4:4" ht="15.75" customHeight="1" x14ac:dyDescent="0.25">
      <c r="D230" s="184"/>
    </row>
    <row r="231" spans="4:4" ht="15.75" customHeight="1" x14ac:dyDescent="0.25">
      <c r="D231" s="184"/>
    </row>
    <row r="232" spans="4:4" ht="15.75" customHeight="1" x14ac:dyDescent="0.25">
      <c r="D232" s="184"/>
    </row>
    <row r="233" spans="4:4" ht="15.75" customHeight="1" x14ac:dyDescent="0.25">
      <c r="D233" s="184"/>
    </row>
    <row r="234" spans="4:4" ht="15.75" customHeight="1" x14ac:dyDescent="0.25">
      <c r="D234" s="184"/>
    </row>
    <row r="235" spans="4:4" ht="15.75" customHeight="1" x14ac:dyDescent="0.25">
      <c r="D235" s="184"/>
    </row>
    <row r="236" spans="4:4" ht="15.75" customHeight="1" x14ac:dyDescent="0.25">
      <c r="D236" s="184"/>
    </row>
    <row r="237" spans="4:4" ht="15.75" customHeight="1" x14ac:dyDescent="0.25">
      <c r="D237" s="184"/>
    </row>
    <row r="238" spans="4:4" ht="15.75" customHeight="1" x14ac:dyDescent="0.25">
      <c r="D238" s="184"/>
    </row>
    <row r="239" spans="4:4" ht="15.75" customHeight="1" x14ac:dyDescent="0.25">
      <c r="D239" s="184"/>
    </row>
    <row r="240" spans="4:4" ht="15.75" customHeight="1" x14ac:dyDescent="0.25">
      <c r="D240" s="184"/>
    </row>
    <row r="241" spans="4:4" ht="15.75" customHeight="1" x14ac:dyDescent="0.25">
      <c r="D241" s="184"/>
    </row>
    <row r="242" spans="4:4" ht="15.75" customHeight="1" x14ac:dyDescent="0.25">
      <c r="D242" s="184"/>
    </row>
    <row r="243" spans="4:4" ht="15.75" customHeight="1" x14ac:dyDescent="0.25">
      <c r="D243" s="184"/>
    </row>
    <row r="244" spans="4:4" ht="15.75" customHeight="1" x14ac:dyDescent="0.25">
      <c r="D244" s="184"/>
    </row>
    <row r="245" spans="4:4" ht="15.75" customHeight="1" x14ac:dyDescent="0.25">
      <c r="D245" s="184"/>
    </row>
    <row r="246" spans="4:4" ht="15.75" customHeight="1" x14ac:dyDescent="0.25">
      <c r="D246" s="184"/>
    </row>
    <row r="247" spans="4:4" ht="15.75" customHeight="1" x14ac:dyDescent="0.25">
      <c r="D247" s="184"/>
    </row>
    <row r="248" spans="4:4" ht="15.75" customHeight="1" x14ac:dyDescent="0.25">
      <c r="D248" s="184"/>
    </row>
    <row r="249" spans="4:4" ht="15.75" customHeight="1" x14ac:dyDescent="0.25">
      <c r="D249" s="184"/>
    </row>
    <row r="250" spans="4:4" ht="15.75" customHeight="1" x14ac:dyDescent="0.25">
      <c r="D250" s="184"/>
    </row>
    <row r="251" spans="4:4" ht="15.75" customHeight="1" x14ac:dyDescent="0.25">
      <c r="D251" s="184"/>
    </row>
    <row r="252" spans="4:4" ht="15.75" customHeight="1" x14ac:dyDescent="0.25">
      <c r="D252" s="184"/>
    </row>
    <row r="253" spans="4:4" ht="15.75" customHeight="1" x14ac:dyDescent="0.25">
      <c r="D253" s="184"/>
    </row>
    <row r="254" spans="4:4" ht="15.75" customHeight="1" x14ac:dyDescent="0.25">
      <c r="D254" s="184"/>
    </row>
    <row r="255" spans="4:4" ht="15.75" customHeight="1" x14ac:dyDescent="0.25">
      <c r="D255" s="184"/>
    </row>
    <row r="256" spans="4:4" ht="15.75" customHeight="1" x14ac:dyDescent="0.25">
      <c r="D256" s="184"/>
    </row>
    <row r="257" spans="4:4" ht="15.75" customHeight="1" x14ac:dyDescent="0.25">
      <c r="D257" s="184"/>
    </row>
    <row r="258" spans="4:4" ht="15.75" customHeight="1" x14ac:dyDescent="0.25">
      <c r="D258" s="184"/>
    </row>
    <row r="259" spans="4:4" ht="15.75" customHeight="1" x14ac:dyDescent="0.25">
      <c r="D259" s="184"/>
    </row>
    <row r="260" spans="4:4" ht="15.75" customHeight="1" x14ac:dyDescent="0.25">
      <c r="D260" s="184"/>
    </row>
    <row r="261" spans="4:4" ht="15.75" customHeight="1" x14ac:dyDescent="0.25">
      <c r="D261" s="184"/>
    </row>
    <row r="262" spans="4:4" ht="15.75" customHeight="1" x14ac:dyDescent="0.25">
      <c r="D262" s="184"/>
    </row>
    <row r="263" spans="4:4" ht="15.75" customHeight="1" x14ac:dyDescent="0.25">
      <c r="D263" s="184"/>
    </row>
    <row r="264" spans="4:4" ht="15.75" customHeight="1" x14ac:dyDescent="0.25">
      <c r="D264" s="184"/>
    </row>
    <row r="265" spans="4:4" ht="15.75" customHeight="1" x14ac:dyDescent="0.25">
      <c r="D265" s="184"/>
    </row>
    <row r="266" spans="4:4" ht="15.75" customHeight="1" x14ac:dyDescent="0.25">
      <c r="D266" s="184"/>
    </row>
    <row r="267" spans="4:4" ht="15.75" customHeight="1" x14ac:dyDescent="0.25">
      <c r="D267" s="184"/>
    </row>
    <row r="268" spans="4:4" ht="15.75" customHeight="1" x14ac:dyDescent="0.25">
      <c r="D268" s="184"/>
    </row>
    <row r="269" spans="4:4" ht="15.75" customHeight="1" x14ac:dyDescent="0.25">
      <c r="D269" s="184"/>
    </row>
    <row r="270" spans="4:4" ht="15.75" customHeight="1" x14ac:dyDescent="0.25">
      <c r="D270" s="184"/>
    </row>
    <row r="271" spans="4:4" ht="15.75" customHeight="1" x14ac:dyDescent="0.25">
      <c r="D271" s="184"/>
    </row>
    <row r="272" spans="4:4" ht="15.75" customHeight="1" x14ac:dyDescent="0.25">
      <c r="D272" s="184"/>
    </row>
    <row r="273" spans="4:4" ht="15.75" customHeight="1" x14ac:dyDescent="0.25">
      <c r="D273" s="184"/>
    </row>
    <row r="274" spans="4:4" ht="15.75" customHeight="1" x14ac:dyDescent="0.25">
      <c r="D274" s="184"/>
    </row>
    <row r="275" spans="4:4" ht="15.75" customHeight="1" x14ac:dyDescent="0.25">
      <c r="D275" s="184"/>
    </row>
    <row r="276" spans="4:4" ht="15.75" customHeight="1" x14ac:dyDescent="0.25">
      <c r="D276" s="184"/>
    </row>
    <row r="277" spans="4:4" ht="15.75" customHeight="1" x14ac:dyDescent="0.25">
      <c r="D277" s="184"/>
    </row>
    <row r="278" spans="4:4" ht="15.75" customHeight="1" x14ac:dyDescent="0.25">
      <c r="D278" s="184"/>
    </row>
    <row r="279" spans="4:4" ht="15.75" customHeight="1" x14ac:dyDescent="0.25">
      <c r="D279" s="184"/>
    </row>
    <row r="280" spans="4:4" ht="15.75" customHeight="1" x14ac:dyDescent="0.25">
      <c r="D280" s="184"/>
    </row>
    <row r="281" spans="4:4" ht="15.75" customHeight="1" x14ac:dyDescent="0.25">
      <c r="D281" s="184"/>
    </row>
    <row r="282" spans="4:4" ht="15.75" customHeight="1" x14ac:dyDescent="0.25">
      <c r="D282" s="184"/>
    </row>
    <row r="283" spans="4:4" ht="15.75" customHeight="1" x14ac:dyDescent="0.25">
      <c r="D283" s="184"/>
    </row>
    <row r="284" spans="4:4" ht="15.75" customHeight="1" x14ac:dyDescent="0.25">
      <c r="D284" s="184"/>
    </row>
    <row r="285" spans="4:4" ht="15.75" customHeight="1" x14ac:dyDescent="0.25">
      <c r="D285" s="184"/>
    </row>
    <row r="286" spans="4:4" ht="15.75" customHeight="1" x14ac:dyDescent="0.25">
      <c r="D286" s="184"/>
    </row>
    <row r="287" spans="4:4" ht="15.75" customHeight="1" x14ac:dyDescent="0.25">
      <c r="D287" s="184"/>
    </row>
    <row r="288" spans="4:4" ht="15.75" customHeight="1" x14ac:dyDescent="0.25">
      <c r="D288" s="184"/>
    </row>
    <row r="289" spans="4:4" ht="15.75" customHeight="1" x14ac:dyDescent="0.25">
      <c r="D289" s="184"/>
    </row>
    <row r="290" spans="4:4" ht="15.75" customHeight="1" x14ac:dyDescent="0.25">
      <c r="D290" s="184"/>
    </row>
    <row r="291" spans="4:4" ht="15.75" customHeight="1" x14ac:dyDescent="0.25">
      <c r="D291" s="184"/>
    </row>
    <row r="292" spans="4:4" ht="15.75" customHeight="1" x14ac:dyDescent="0.25">
      <c r="D292" s="184"/>
    </row>
    <row r="293" spans="4:4" ht="15.75" customHeight="1" x14ac:dyDescent="0.25">
      <c r="D293" s="184"/>
    </row>
    <row r="294" spans="4:4" ht="15.75" customHeight="1" x14ac:dyDescent="0.25">
      <c r="D294" s="184"/>
    </row>
    <row r="295" spans="4:4" ht="15.75" customHeight="1" x14ac:dyDescent="0.25">
      <c r="D295" s="184"/>
    </row>
    <row r="296" spans="4:4" ht="15.75" customHeight="1" x14ac:dyDescent="0.25">
      <c r="D296" s="184"/>
    </row>
    <row r="297" spans="4:4" ht="15.75" customHeight="1" x14ac:dyDescent="0.25">
      <c r="D297" s="184"/>
    </row>
    <row r="298" spans="4:4" ht="15.75" customHeight="1" x14ac:dyDescent="0.25">
      <c r="D298" s="184"/>
    </row>
    <row r="299" spans="4:4" ht="15.75" customHeight="1" x14ac:dyDescent="0.25">
      <c r="D299" s="184"/>
    </row>
    <row r="300" spans="4:4" ht="15.75" customHeight="1" x14ac:dyDescent="0.25">
      <c r="D300" s="184"/>
    </row>
    <row r="301" spans="4:4" ht="15.75" customHeight="1" x14ac:dyDescent="0.25">
      <c r="D301" s="184"/>
    </row>
    <row r="302" spans="4:4" ht="15.75" customHeight="1" x14ac:dyDescent="0.25">
      <c r="D302" s="184"/>
    </row>
    <row r="303" spans="4:4" ht="15.75" customHeight="1" x14ac:dyDescent="0.25">
      <c r="D303" s="184"/>
    </row>
    <row r="304" spans="4:4" ht="15.75" customHeight="1" x14ac:dyDescent="0.25">
      <c r="D304" s="184"/>
    </row>
    <row r="305" spans="4:4" ht="15.75" customHeight="1" x14ac:dyDescent="0.25">
      <c r="D305" s="184"/>
    </row>
    <row r="306" spans="4:4" ht="15.75" customHeight="1" x14ac:dyDescent="0.25">
      <c r="D306" s="184"/>
    </row>
    <row r="307" spans="4:4" ht="15.75" customHeight="1" x14ac:dyDescent="0.25">
      <c r="D307" s="184"/>
    </row>
    <row r="308" spans="4:4" ht="15.75" customHeight="1" x14ac:dyDescent="0.25">
      <c r="D308" s="184"/>
    </row>
    <row r="309" spans="4:4" ht="15.75" customHeight="1" x14ac:dyDescent="0.25">
      <c r="D309" s="184"/>
    </row>
    <row r="310" spans="4:4" ht="15.75" customHeight="1" x14ac:dyDescent="0.25">
      <c r="D310" s="184"/>
    </row>
    <row r="311" spans="4:4" ht="15.75" customHeight="1" x14ac:dyDescent="0.25">
      <c r="D311" s="184"/>
    </row>
    <row r="312" spans="4:4" ht="15.75" customHeight="1" x14ac:dyDescent="0.25">
      <c r="D312" s="184"/>
    </row>
    <row r="313" spans="4:4" ht="15.75" customHeight="1" x14ac:dyDescent="0.25">
      <c r="D313" s="184"/>
    </row>
    <row r="314" spans="4:4" ht="15.75" customHeight="1" x14ac:dyDescent="0.25">
      <c r="D314" s="184"/>
    </row>
    <row r="315" spans="4:4" ht="15.75" customHeight="1" x14ac:dyDescent="0.25">
      <c r="D315" s="184"/>
    </row>
    <row r="316" spans="4:4" ht="15.75" customHeight="1" x14ac:dyDescent="0.25">
      <c r="D316" s="184"/>
    </row>
    <row r="317" spans="4:4" ht="15.75" customHeight="1" x14ac:dyDescent="0.25">
      <c r="D317" s="184"/>
    </row>
    <row r="318" spans="4:4" ht="15.75" customHeight="1" x14ac:dyDescent="0.25">
      <c r="D318" s="184"/>
    </row>
    <row r="319" spans="4:4" ht="15.75" customHeight="1" x14ac:dyDescent="0.25">
      <c r="D319" s="184"/>
    </row>
    <row r="320" spans="4:4" ht="15.75" customHeight="1" x14ac:dyDescent="0.25">
      <c r="D320" s="184"/>
    </row>
    <row r="321" spans="4:4" ht="15.75" customHeight="1" x14ac:dyDescent="0.25">
      <c r="D321" s="184"/>
    </row>
    <row r="322" spans="4:4" ht="15.75" customHeight="1" x14ac:dyDescent="0.25">
      <c r="D322" s="184"/>
    </row>
    <row r="323" spans="4:4" ht="15.75" customHeight="1" x14ac:dyDescent="0.25">
      <c r="D323" s="184"/>
    </row>
    <row r="324" spans="4:4" ht="15.75" customHeight="1" x14ac:dyDescent="0.25">
      <c r="D324" s="184"/>
    </row>
    <row r="325" spans="4:4" ht="15.75" customHeight="1" x14ac:dyDescent="0.25">
      <c r="D325" s="184"/>
    </row>
    <row r="326" spans="4:4" ht="15.75" customHeight="1" x14ac:dyDescent="0.25">
      <c r="D326" s="184"/>
    </row>
    <row r="327" spans="4:4" ht="15.75" customHeight="1" x14ac:dyDescent="0.25">
      <c r="D327" s="184"/>
    </row>
    <row r="328" spans="4:4" ht="15.75" customHeight="1" x14ac:dyDescent="0.25">
      <c r="D328" s="184"/>
    </row>
    <row r="329" spans="4:4" ht="15.75" customHeight="1" x14ac:dyDescent="0.25">
      <c r="D329" s="184"/>
    </row>
    <row r="330" spans="4:4" ht="15.75" customHeight="1" x14ac:dyDescent="0.25">
      <c r="D330" s="184"/>
    </row>
    <row r="331" spans="4:4" ht="15.75" customHeight="1" x14ac:dyDescent="0.25">
      <c r="D331" s="184"/>
    </row>
    <row r="332" spans="4:4" ht="15.75" customHeight="1" x14ac:dyDescent="0.25">
      <c r="D332" s="184"/>
    </row>
    <row r="333" spans="4:4" ht="15.75" customHeight="1" x14ac:dyDescent="0.25">
      <c r="D333" s="184"/>
    </row>
    <row r="334" spans="4:4" ht="15.75" customHeight="1" x14ac:dyDescent="0.25">
      <c r="D334" s="184"/>
    </row>
    <row r="335" spans="4:4" ht="15.75" customHeight="1" x14ac:dyDescent="0.25">
      <c r="D335" s="184"/>
    </row>
    <row r="336" spans="4:4" ht="15.75" customHeight="1" x14ac:dyDescent="0.25">
      <c r="D336" s="184"/>
    </row>
    <row r="337" spans="4:4" ht="15.75" customHeight="1" x14ac:dyDescent="0.25">
      <c r="D337" s="184"/>
    </row>
    <row r="338" spans="4:4" ht="15.75" customHeight="1" x14ac:dyDescent="0.25">
      <c r="D338" s="184"/>
    </row>
    <row r="339" spans="4:4" ht="15.75" customHeight="1" x14ac:dyDescent="0.25">
      <c r="D339" s="184"/>
    </row>
    <row r="340" spans="4:4" ht="15.75" customHeight="1" x14ac:dyDescent="0.25">
      <c r="D340" s="184"/>
    </row>
    <row r="341" spans="4:4" ht="15.75" customHeight="1" x14ac:dyDescent="0.25">
      <c r="D341" s="184"/>
    </row>
    <row r="342" spans="4:4" ht="15.75" customHeight="1" x14ac:dyDescent="0.25">
      <c r="D342" s="184"/>
    </row>
    <row r="343" spans="4:4" ht="15.75" customHeight="1" x14ac:dyDescent="0.25">
      <c r="D343" s="184"/>
    </row>
    <row r="344" spans="4:4" ht="15.75" customHeight="1" x14ac:dyDescent="0.25">
      <c r="D344" s="184"/>
    </row>
    <row r="345" spans="4:4" ht="15.75" customHeight="1" x14ac:dyDescent="0.25">
      <c r="D345" s="184"/>
    </row>
    <row r="346" spans="4:4" ht="15.75" customHeight="1" x14ac:dyDescent="0.25">
      <c r="D346" s="184"/>
    </row>
    <row r="347" spans="4:4" ht="15.75" customHeight="1" x14ac:dyDescent="0.25">
      <c r="D347" s="184"/>
    </row>
    <row r="348" spans="4:4" ht="15.75" customHeight="1" x14ac:dyDescent="0.25">
      <c r="D348" s="184"/>
    </row>
    <row r="349" spans="4:4" ht="15.75" customHeight="1" x14ac:dyDescent="0.25">
      <c r="D349" s="184"/>
    </row>
    <row r="350" spans="4:4" ht="15.75" customHeight="1" x14ac:dyDescent="0.25">
      <c r="D350" s="184"/>
    </row>
    <row r="351" spans="4:4" ht="15.75" customHeight="1" x14ac:dyDescent="0.25">
      <c r="D351" s="184"/>
    </row>
    <row r="352" spans="4:4" ht="15.75" customHeight="1" x14ac:dyDescent="0.25">
      <c r="D352" s="184"/>
    </row>
    <row r="353" spans="4:4" ht="15.75" customHeight="1" x14ac:dyDescent="0.25">
      <c r="D353" s="184"/>
    </row>
    <row r="354" spans="4:4" ht="15.75" customHeight="1" x14ac:dyDescent="0.25">
      <c r="D354" s="184"/>
    </row>
    <row r="355" spans="4:4" ht="15.75" customHeight="1" x14ac:dyDescent="0.25">
      <c r="D355" s="184"/>
    </row>
    <row r="356" spans="4:4" ht="15.75" customHeight="1" x14ac:dyDescent="0.25">
      <c r="D356" s="184"/>
    </row>
    <row r="357" spans="4:4" ht="15.75" customHeight="1" x14ac:dyDescent="0.25">
      <c r="D357" s="184"/>
    </row>
    <row r="358" spans="4:4" ht="15.75" customHeight="1" x14ac:dyDescent="0.25">
      <c r="D358" s="184"/>
    </row>
    <row r="359" spans="4:4" ht="15.75" customHeight="1" x14ac:dyDescent="0.25">
      <c r="D359" s="184"/>
    </row>
    <row r="360" spans="4:4" ht="15.75" customHeight="1" x14ac:dyDescent="0.25">
      <c r="D360" s="184"/>
    </row>
    <row r="361" spans="4:4" ht="15.75" customHeight="1" x14ac:dyDescent="0.25">
      <c r="D361" s="184"/>
    </row>
    <row r="362" spans="4:4" ht="15.75" customHeight="1" x14ac:dyDescent="0.25">
      <c r="D362" s="184"/>
    </row>
    <row r="363" spans="4:4" ht="15.75" customHeight="1" x14ac:dyDescent="0.25">
      <c r="D363" s="184"/>
    </row>
    <row r="364" spans="4:4" ht="15.75" customHeight="1" x14ac:dyDescent="0.25">
      <c r="D364" s="184"/>
    </row>
    <row r="365" spans="4:4" ht="15.75" customHeight="1" x14ac:dyDescent="0.25">
      <c r="D365" s="184"/>
    </row>
    <row r="366" spans="4:4" ht="15.75" customHeight="1" x14ac:dyDescent="0.25">
      <c r="D366" s="184"/>
    </row>
    <row r="367" spans="4:4" ht="15.75" customHeight="1" x14ac:dyDescent="0.25">
      <c r="D367" s="184"/>
    </row>
    <row r="368" spans="4:4" ht="15.75" customHeight="1" x14ac:dyDescent="0.25">
      <c r="D368" s="184"/>
    </row>
    <row r="369" spans="4:4" ht="15.75" customHeight="1" x14ac:dyDescent="0.25">
      <c r="D369" s="184"/>
    </row>
    <row r="370" spans="4:4" ht="15.75" customHeight="1" x14ac:dyDescent="0.25">
      <c r="D370" s="184"/>
    </row>
    <row r="371" spans="4:4" ht="15.75" customHeight="1" x14ac:dyDescent="0.25">
      <c r="D371" s="184"/>
    </row>
    <row r="372" spans="4:4" ht="15.75" customHeight="1" x14ac:dyDescent="0.25">
      <c r="D372" s="184"/>
    </row>
    <row r="373" spans="4:4" ht="15.75" customHeight="1" x14ac:dyDescent="0.25">
      <c r="D373" s="184"/>
    </row>
    <row r="374" spans="4:4" ht="15.75" customHeight="1" x14ac:dyDescent="0.25">
      <c r="D374" s="184"/>
    </row>
    <row r="375" spans="4:4" ht="15.75" customHeight="1" x14ac:dyDescent="0.25">
      <c r="D375" s="184"/>
    </row>
    <row r="376" spans="4:4" ht="15.75" customHeight="1" x14ac:dyDescent="0.25">
      <c r="D376" s="184"/>
    </row>
    <row r="377" spans="4:4" ht="15.75" customHeight="1" x14ac:dyDescent="0.25">
      <c r="D377" s="184"/>
    </row>
    <row r="378" spans="4:4" ht="15.75" customHeight="1" x14ac:dyDescent="0.25">
      <c r="D378" s="184"/>
    </row>
    <row r="379" spans="4:4" ht="15.75" customHeight="1" x14ac:dyDescent="0.25">
      <c r="D379" s="184"/>
    </row>
    <row r="380" spans="4:4" ht="15.75" customHeight="1" x14ac:dyDescent="0.25">
      <c r="D380" s="184"/>
    </row>
    <row r="381" spans="4:4" ht="15.75" customHeight="1" x14ac:dyDescent="0.25">
      <c r="D381" s="184"/>
    </row>
    <row r="382" spans="4:4" ht="15.75" customHeight="1" x14ac:dyDescent="0.25">
      <c r="D382" s="184"/>
    </row>
    <row r="383" spans="4:4" ht="15.75" customHeight="1" x14ac:dyDescent="0.25">
      <c r="D383" s="184"/>
    </row>
    <row r="384" spans="4:4" ht="15.75" customHeight="1" x14ac:dyDescent="0.25">
      <c r="D384" s="184"/>
    </row>
    <row r="385" spans="4:4" ht="15.75" customHeight="1" x14ac:dyDescent="0.25">
      <c r="D385" s="184"/>
    </row>
    <row r="386" spans="4:4" ht="15.75" customHeight="1" x14ac:dyDescent="0.25">
      <c r="D386" s="184"/>
    </row>
    <row r="387" spans="4:4" ht="15.75" customHeight="1" x14ac:dyDescent="0.25">
      <c r="D387" s="184"/>
    </row>
    <row r="388" spans="4:4" ht="15.75" customHeight="1" x14ac:dyDescent="0.25">
      <c r="D388" s="184"/>
    </row>
    <row r="389" spans="4:4" ht="15.75" customHeight="1" x14ac:dyDescent="0.25">
      <c r="D389" s="184"/>
    </row>
    <row r="390" spans="4:4" ht="15.75" customHeight="1" x14ac:dyDescent="0.25">
      <c r="D390" s="184"/>
    </row>
    <row r="391" spans="4:4" ht="15.75" customHeight="1" x14ac:dyDescent="0.25">
      <c r="D391" s="184"/>
    </row>
    <row r="392" spans="4:4" ht="15.75" customHeight="1" x14ac:dyDescent="0.25">
      <c r="D392" s="184"/>
    </row>
    <row r="393" spans="4:4" ht="15.75" customHeight="1" x14ac:dyDescent="0.25">
      <c r="D393" s="184"/>
    </row>
    <row r="394" spans="4:4" ht="15.75" customHeight="1" x14ac:dyDescent="0.25">
      <c r="D394" s="184"/>
    </row>
    <row r="395" spans="4:4" ht="15.75" customHeight="1" x14ac:dyDescent="0.25">
      <c r="D395" s="184"/>
    </row>
    <row r="396" spans="4:4" ht="15.75" customHeight="1" x14ac:dyDescent="0.25">
      <c r="D396" s="184"/>
    </row>
    <row r="397" spans="4:4" ht="15.75" customHeight="1" x14ac:dyDescent="0.25">
      <c r="D397" s="184"/>
    </row>
    <row r="398" spans="4:4" ht="15.75" customHeight="1" x14ac:dyDescent="0.25">
      <c r="D398" s="184"/>
    </row>
    <row r="399" spans="4:4" ht="15.75" customHeight="1" x14ac:dyDescent="0.25">
      <c r="D399" s="184"/>
    </row>
    <row r="400" spans="4:4" ht="15.75" customHeight="1" x14ac:dyDescent="0.25">
      <c r="D400" s="184"/>
    </row>
    <row r="401" spans="4:4" ht="15.75" customHeight="1" x14ac:dyDescent="0.25">
      <c r="D401" s="184"/>
    </row>
    <row r="402" spans="4:4" ht="15.75" customHeight="1" x14ac:dyDescent="0.25">
      <c r="D402" s="184"/>
    </row>
    <row r="403" spans="4:4" ht="15.75" customHeight="1" x14ac:dyDescent="0.25">
      <c r="D403" s="184"/>
    </row>
    <row r="404" spans="4:4" ht="15.75" customHeight="1" x14ac:dyDescent="0.25">
      <c r="D404" s="184"/>
    </row>
    <row r="405" spans="4:4" ht="15.75" customHeight="1" x14ac:dyDescent="0.25">
      <c r="D405" s="184"/>
    </row>
    <row r="406" spans="4:4" ht="15.75" customHeight="1" x14ac:dyDescent="0.25">
      <c r="D406" s="184"/>
    </row>
    <row r="407" spans="4:4" ht="15.75" customHeight="1" x14ac:dyDescent="0.25">
      <c r="D407" s="184"/>
    </row>
    <row r="408" spans="4:4" ht="15.75" customHeight="1" x14ac:dyDescent="0.25">
      <c r="D408" s="184"/>
    </row>
    <row r="409" spans="4:4" ht="15.75" customHeight="1" x14ac:dyDescent="0.25">
      <c r="D409" s="184"/>
    </row>
    <row r="410" spans="4:4" ht="15.75" customHeight="1" x14ac:dyDescent="0.25">
      <c r="D410" s="184"/>
    </row>
    <row r="411" spans="4:4" ht="15.75" customHeight="1" x14ac:dyDescent="0.25">
      <c r="D411" s="184"/>
    </row>
    <row r="412" spans="4:4" ht="15.75" customHeight="1" x14ac:dyDescent="0.25">
      <c r="D412" s="184"/>
    </row>
    <row r="413" spans="4:4" ht="15.75" customHeight="1" x14ac:dyDescent="0.25">
      <c r="D413" s="184"/>
    </row>
    <row r="414" spans="4:4" ht="15.75" customHeight="1" x14ac:dyDescent="0.25">
      <c r="D414" s="184"/>
    </row>
    <row r="415" spans="4:4" ht="15.75" customHeight="1" x14ac:dyDescent="0.25">
      <c r="D415" s="184"/>
    </row>
    <row r="416" spans="4:4" ht="15.75" customHeight="1" x14ac:dyDescent="0.25">
      <c r="D416" s="184"/>
    </row>
    <row r="417" spans="4:4" ht="15.75" customHeight="1" x14ac:dyDescent="0.25">
      <c r="D417" s="184"/>
    </row>
    <row r="418" spans="4:4" ht="15.75" customHeight="1" x14ac:dyDescent="0.25">
      <c r="D418" s="184"/>
    </row>
    <row r="419" spans="4:4" ht="15.75" customHeight="1" x14ac:dyDescent="0.25">
      <c r="D419" s="184"/>
    </row>
    <row r="420" spans="4:4" ht="15.75" customHeight="1" x14ac:dyDescent="0.25">
      <c r="D420" s="184"/>
    </row>
    <row r="421" spans="4:4" ht="15.75" customHeight="1" x14ac:dyDescent="0.25">
      <c r="D421" s="184"/>
    </row>
    <row r="422" spans="4:4" ht="15.75" customHeight="1" x14ac:dyDescent="0.25">
      <c r="D422" s="184"/>
    </row>
    <row r="423" spans="4:4" ht="15.75" customHeight="1" x14ac:dyDescent="0.25">
      <c r="D423" s="184"/>
    </row>
    <row r="424" spans="4:4" ht="15.75" customHeight="1" x14ac:dyDescent="0.25">
      <c r="D424" s="184"/>
    </row>
    <row r="425" spans="4:4" ht="15.75" customHeight="1" x14ac:dyDescent="0.25">
      <c r="D425" s="184"/>
    </row>
    <row r="426" spans="4:4" ht="15.75" customHeight="1" x14ac:dyDescent="0.25">
      <c r="D426" s="184"/>
    </row>
    <row r="427" spans="4:4" ht="15.75" customHeight="1" x14ac:dyDescent="0.25">
      <c r="D427" s="184"/>
    </row>
    <row r="428" spans="4:4" ht="15.75" customHeight="1" x14ac:dyDescent="0.25">
      <c r="D428" s="184"/>
    </row>
    <row r="429" spans="4:4" ht="15.75" customHeight="1" x14ac:dyDescent="0.25">
      <c r="D429" s="184"/>
    </row>
    <row r="430" spans="4:4" ht="15.75" customHeight="1" x14ac:dyDescent="0.25">
      <c r="D430" s="184"/>
    </row>
    <row r="431" spans="4:4" ht="15.75" customHeight="1" x14ac:dyDescent="0.25">
      <c r="D431" s="184"/>
    </row>
    <row r="432" spans="4:4" ht="15.75" customHeight="1" x14ac:dyDescent="0.25">
      <c r="D432" s="184"/>
    </row>
    <row r="433" spans="4:4" ht="15.75" customHeight="1" x14ac:dyDescent="0.25">
      <c r="D433" s="184"/>
    </row>
    <row r="434" spans="4:4" ht="15.75" customHeight="1" x14ac:dyDescent="0.25">
      <c r="D434" s="184"/>
    </row>
    <row r="435" spans="4:4" ht="15.75" customHeight="1" x14ac:dyDescent="0.25">
      <c r="D435" s="184"/>
    </row>
    <row r="436" spans="4:4" ht="15.75" customHeight="1" x14ac:dyDescent="0.25">
      <c r="D436" s="184"/>
    </row>
    <row r="437" spans="4:4" ht="15.75" customHeight="1" x14ac:dyDescent="0.25">
      <c r="D437" s="184"/>
    </row>
    <row r="438" spans="4:4" ht="15.75" customHeight="1" x14ac:dyDescent="0.25">
      <c r="D438" s="184"/>
    </row>
    <row r="439" spans="4:4" ht="15.75" customHeight="1" x14ac:dyDescent="0.25">
      <c r="D439" s="184"/>
    </row>
    <row r="440" spans="4:4" ht="15.75" customHeight="1" x14ac:dyDescent="0.25">
      <c r="D440" s="184"/>
    </row>
    <row r="441" spans="4:4" ht="15.75" customHeight="1" x14ac:dyDescent="0.25">
      <c r="D441" s="184"/>
    </row>
    <row r="442" spans="4:4" ht="15.75" customHeight="1" x14ac:dyDescent="0.25">
      <c r="D442" s="184"/>
    </row>
    <row r="443" spans="4:4" ht="15.75" customHeight="1" x14ac:dyDescent="0.25">
      <c r="D443" s="184"/>
    </row>
    <row r="444" spans="4:4" ht="15.75" customHeight="1" x14ac:dyDescent="0.25">
      <c r="D444" s="184"/>
    </row>
    <row r="445" spans="4:4" ht="15.75" customHeight="1" x14ac:dyDescent="0.25">
      <c r="D445" s="184"/>
    </row>
    <row r="446" spans="4:4" ht="15.75" customHeight="1" x14ac:dyDescent="0.25">
      <c r="D446" s="184"/>
    </row>
    <row r="447" spans="4:4" ht="15.75" customHeight="1" x14ac:dyDescent="0.25">
      <c r="D447" s="184"/>
    </row>
    <row r="448" spans="4:4" ht="15.75" customHeight="1" x14ac:dyDescent="0.25">
      <c r="D448" s="184"/>
    </row>
    <row r="449" spans="4:4" ht="15.75" customHeight="1" x14ac:dyDescent="0.25">
      <c r="D449" s="184"/>
    </row>
    <row r="450" spans="4:4" ht="15.75" customHeight="1" x14ac:dyDescent="0.25">
      <c r="D450" s="184"/>
    </row>
    <row r="451" spans="4:4" ht="15.75" customHeight="1" x14ac:dyDescent="0.25">
      <c r="D451" s="184"/>
    </row>
    <row r="452" spans="4:4" ht="15.75" customHeight="1" x14ac:dyDescent="0.25">
      <c r="D452" s="184"/>
    </row>
    <row r="453" spans="4:4" ht="15.75" customHeight="1" x14ac:dyDescent="0.25">
      <c r="D453" s="184"/>
    </row>
    <row r="454" spans="4:4" ht="15.75" customHeight="1" x14ac:dyDescent="0.25">
      <c r="D454" s="184"/>
    </row>
    <row r="455" spans="4:4" ht="15.75" customHeight="1" x14ac:dyDescent="0.25">
      <c r="D455" s="184"/>
    </row>
    <row r="456" spans="4:4" ht="15.75" customHeight="1" x14ac:dyDescent="0.25">
      <c r="D456" s="184"/>
    </row>
    <row r="457" spans="4:4" ht="15.75" customHeight="1" x14ac:dyDescent="0.25">
      <c r="D457" s="184"/>
    </row>
    <row r="458" spans="4:4" ht="15.75" customHeight="1" x14ac:dyDescent="0.25">
      <c r="D458" s="184"/>
    </row>
    <row r="459" spans="4:4" ht="15.75" customHeight="1" x14ac:dyDescent="0.25">
      <c r="D459" s="184"/>
    </row>
    <row r="460" spans="4:4" ht="15.75" customHeight="1" x14ac:dyDescent="0.25">
      <c r="D460" s="184"/>
    </row>
    <row r="461" spans="4:4" ht="15.75" customHeight="1" x14ac:dyDescent="0.25">
      <c r="D461" s="184"/>
    </row>
    <row r="462" spans="4:4" ht="15.75" customHeight="1" x14ac:dyDescent="0.25">
      <c r="D462" s="184"/>
    </row>
    <row r="463" spans="4:4" ht="15.75" customHeight="1" x14ac:dyDescent="0.25">
      <c r="D463" s="184"/>
    </row>
    <row r="464" spans="4:4" ht="15.75" customHeight="1" x14ac:dyDescent="0.25">
      <c r="D464" s="184"/>
    </row>
    <row r="465" spans="4:4" ht="15.75" customHeight="1" x14ac:dyDescent="0.25">
      <c r="D465" s="184"/>
    </row>
    <row r="466" spans="4:4" ht="15.75" customHeight="1" x14ac:dyDescent="0.25">
      <c r="D466" s="184"/>
    </row>
    <row r="467" spans="4:4" ht="15.75" customHeight="1" x14ac:dyDescent="0.25">
      <c r="D467" s="184"/>
    </row>
    <row r="468" spans="4:4" ht="15.75" customHeight="1" x14ac:dyDescent="0.25">
      <c r="D468" s="184"/>
    </row>
    <row r="469" spans="4:4" ht="15.75" customHeight="1" x14ac:dyDescent="0.25">
      <c r="D469" s="184"/>
    </row>
    <row r="470" spans="4:4" ht="15.75" customHeight="1" x14ac:dyDescent="0.25">
      <c r="D470" s="184"/>
    </row>
    <row r="471" spans="4:4" ht="15.75" customHeight="1" x14ac:dyDescent="0.25">
      <c r="D471" s="184"/>
    </row>
    <row r="472" spans="4:4" ht="15.75" customHeight="1" x14ac:dyDescent="0.25">
      <c r="D472" s="184"/>
    </row>
    <row r="473" spans="4:4" ht="15.75" customHeight="1" x14ac:dyDescent="0.25">
      <c r="D473" s="184"/>
    </row>
    <row r="474" spans="4:4" ht="15.75" customHeight="1" x14ac:dyDescent="0.25">
      <c r="D474" s="184"/>
    </row>
    <row r="475" spans="4:4" ht="15.75" customHeight="1" x14ac:dyDescent="0.25">
      <c r="D475" s="184"/>
    </row>
    <row r="476" spans="4:4" ht="15.75" customHeight="1" x14ac:dyDescent="0.25">
      <c r="D476" s="184"/>
    </row>
    <row r="477" spans="4:4" ht="15.75" customHeight="1" x14ac:dyDescent="0.25">
      <c r="D477" s="184"/>
    </row>
    <row r="478" spans="4:4" ht="15.75" customHeight="1" x14ac:dyDescent="0.25">
      <c r="D478" s="184"/>
    </row>
    <row r="479" spans="4:4" ht="15.75" customHeight="1" x14ac:dyDescent="0.25">
      <c r="D479" s="184"/>
    </row>
    <row r="480" spans="4:4" ht="15.75" customHeight="1" x14ac:dyDescent="0.25">
      <c r="D480" s="184"/>
    </row>
    <row r="481" spans="4:4" ht="15.75" customHeight="1" x14ac:dyDescent="0.25">
      <c r="D481" s="184"/>
    </row>
    <row r="482" spans="4:4" ht="15.75" customHeight="1" x14ac:dyDescent="0.25">
      <c r="D482" s="184"/>
    </row>
    <row r="483" spans="4:4" ht="15.75" customHeight="1" x14ac:dyDescent="0.25">
      <c r="D483" s="184"/>
    </row>
    <row r="484" spans="4:4" ht="15.75" customHeight="1" x14ac:dyDescent="0.25">
      <c r="D484" s="184"/>
    </row>
    <row r="485" spans="4:4" ht="15.75" customHeight="1" x14ac:dyDescent="0.25">
      <c r="D485" s="184"/>
    </row>
    <row r="486" spans="4:4" ht="15.75" customHeight="1" x14ac:dyDescent="0.25">
      <c r="D486" s="184"/>
    </row>
    <row r="487" spans="4:4" ht="15.75" customHeight="1" x14ac:dyDescent="0.25">
      <c r="D487" s="184"/>
    </row>
    <row r="488" spans="4:4" ht="15.75" customHeight="1" x14ac:dyDescent="0.25">
      <c r="D488" s="184"/>
    </row>
    <row r="489" spans="4:4" ht="15.75" customHeight="1" x14ac:dyDescent="0.25">
      <c r="D489" s="184"/>
    </row>
    <row r="490" spans="4:4" ht="15.75" customHeight="1" x14ac:dyDescent="0.25">
      <c r="D490" s="184"/>
    </row>
    <row r="491" spans="4:4" ht="15.75" customHeight="1" x14ac:dyDescent="0.25">
      <c r="D491" s="184"/>
    </row>
    <row r="492" spans="4:4" ht="15.75" customHeight="1" x14ac:dyDescent="0.25">
      <c r="D492" s="184"/>
    </row>
    <row r="493" spans="4:4" ht="15.75" customHeight="1" x14ac:dyDescent="0.25">
      <c r="D493" s="184"/>
    </row>
    <row r="494" spans="4:4" ht="15.75" customHeight="1" x14ac:dyDescent="0.25">
      <c r="D494" s="184"/>
    </row>
    <row r="495" spans="4:4" ht="15.75" customHeight="1" x14ac:dyDescent="0.25">
      <c r="D495" s="184"/>
    </row>
    <row r="496" spans="4:4" ht="15.75" customHeight="1" x14ac:dyDescent="0.25">
      <c r="D496" s="184"/>
    </row>
    <row r="497" spans="4:4" ht="15.75" customHeight="1" x14ac:dyDescent="0.25">
      <c r="D497" s="184"/>
    </row>
    <row r="498" spans="4:4" ht="15.75" customHeight="1" x14ac:dyDescent="0.25">
      <c r="D498" s="184"/>
    </row>
    <row r="499" spans="4:4" ht="15.75" customHeight="1" x14ac:dyDescent="0.25">
      <c r="D499" s="184"/>
    </row>
    <row r="500" spans="4:4" ht="15.75" customHeight="1" x14ac:dyDescent="0.25">
      <c r="D500" s="184"/>
    </row>
    <row r="501" spans="4:4" ht="15.75" customHeight="1" x14ac:dyDescent="0.25">
      <c r="D501" s="184"/>
    </row>
    <row r="502" spans="4:4" ht="15.75" customHeight="1" x14ac:dyDescent="0.25">
      <c r="D502" s="184"/>
    </row>
    <row r="503" spans="4:4" ht="15.75" customHeight="1" x14ac:dyDescent="0.25">
      <c r="D503" s="184"/>
    </row>
    <row r="504" spans="4:4" ht="15.75" customHeight="1" x14ac:dyDescent="0.25">
      <c r="D504" s="184"/>
    </row>
    <row r="505" spans="4:4" ht="15.75" customHeight="1" x14ac:dyDescent="0.25">
      <c r="D505" s="184"/>
    </row>
    <row r="506" spans="4:4" ht="15.75" customHeight="1" x14ac:dyDescent="0.25">
      <c r="D506" s="184"/>
    </row>
    <row r="507" spans="4:4" ht="15.75" customHeight="1" x14ac:dyDescent="0.25">
      <c r="D507" s="184"/>
    </row>
    <row r="508" spans="4:4" ht="15.75" customHeight="1" x14ac:dyDescent="0.25">
      <c r="D508" s="184"/>
    </row>
    <row r="509" spans="4:4" ht="15.75" customHeight="1" x14ac:dyDescent="0.25">
      <c r="D509" s="184"/>
    </row>
    <row r="510" spans="4:4" ht="15.75" customHeight="1" x14ac:dyDescent="0.25">
      <c r="D510" s="184"/>
    </row>
    <row r="511" spans="4:4" ht="15.75" customHeight="1" x14ac:dyDescent="0.25">
      <c r="D511" s="184"/>
    </row>
    <row r="512" spans="4:4" ht="15.75" customHeight="1" x14ac:dyDescent="0.25">
      <c r="D512" s="184"/>
    </row>
    <row r="513" spans="4:4" ht="15.75" customHeight="1" x14ac:dyDescent="0.25">
      <c r="D513" s="184"/>
    </row>
    <row r="514" spans="4:4" ht="15.75" customHeight="1" x14ac:dyDescent="0.25">
      <c r="D514" s="184"/>
    </row>
    <row r="515" spans="4:4" ht="15.75" customHeight="1" x14ac:dyDescent="0.25">
      <c r="D515" s="184"/>
    </row>
    <row r="516" spans="4:4" ht="15.75" customHeight="1" x14ac:dyDescent="0.25">
      <c r="D516" s="184"/>
    </row>
    <row r="517" spans="4:4" ht="15.75" customHeight="1" x14ac:dyDescent="0.25">
      <c r="D517" s="184"/>
    </row>
    <row r="518" spans="4:4" ht="15.75" customHeight="1" x14ac:dyDescent="0.25">
      <c r="D518" s="184"/>
    </row>
    <row r="519" spans="4:4" ht="15.75" customHeight="1" x14ac:dyDescent="0.25">
      <c r="D519" s="184"/>
    </row>
    <row r="520" spans="4:4" ht="15.75" customHeight="1" x14ac:dyDescent="0.25">
      <c r="D520" s="184"/>
    </row>
    <row r="521" spans="4:4" ht="15.75" customHeight="1" x14ac:dyDescent="0.25">
      <c r="D521" s="184"/>
    </row>
    <row r="522" spans="4:4" ht="15.75" customHeight="1" x14ac:dyDescent="0.25">
      <c r="D522" s="184"/>
    </row>
    <row r="523" spans="4:4" ht="15.75" customHeight="1" x14ac:dyDescent="0.25">
      <c r="D523" s="184"/>
    </row>
    <row r="524" spans="4:4" ht="15.75" customHeight="1" x14ac:dyDescent="0.25">
      <c r="D524" s="184"/>
    </row>
    <row r="525" spans="4:4" ht="15.75" customHeight="1" x14ac:dyDescent="0.25">
      <c r="D525" s="184"/>
    </row>
    <row r="526" spans="4:4" ht="15.75" customHeight="1" x14ac:dyDescent="0.25">
      <c r="D526" s="184"/>
    </row>
    <row r="527" spans="4:4" ht="15.75" customHeight="1" x14ac:dyDescent="0.25">
      <c r="D527" s="184"/>
    </row>
    <row r="528" spans="4:4" ht="15.75" customHeight="1" x14ac:dyDescent="0.25">
      <c r="D528" s="184"/>
    </row>
    <row r="529" spans="4:4" ht="15.75" customHeight="1" x14ac:dyDescent="0.25">
      <c r="D529" s="184"/>
    </row>
    <row r="530" spans="4:4" ht="15.75" customHeight="1" x14ac:dyDescent="0.25">
      <c r="D530" s="184"/>
    </row>
    <row r="531" spans="4:4" ht="15.75" customHeight="1" x14ac:dyDescent="0.25">
      <c r="D531" s="184"/>
    </row>
    <row r="532" spans="4:4" ht="15.75" customHeight="1" x14ac:dyDescent="0.25">
      <c r="D532" s="184"/>
    </row>
    <row r="533" spans="4:4" ht="15.75" customHeight="1" x14ac:dyDescent="0.25">
      <c r="D533" s="184"/>
    </row>
    <row r="534" spans="4:4" ht="15.75" customHeight="1" x14ac:dyDescent="0.25">
      <c r="D534" s="184"/>
    </row>
    <row r="535" spans="4:4" ht="15.75" customHeight="1" x14ac:dyDescent="0.25">
      <c r="D535" s="184"/>
    </row>
    <row r="536" spans="4:4" ht="15.75" customHeight="1" x14ac:dyDescent="0.25">
      <c r="D536" s="184"/>
    </row>
    <row r="537" spans="4:4" ht="15.75" customHeight="1" x14ac:dyDescent="0.25">
      <c r="D537" s="184"/>
    </row>
    <row r="538" spans="4:4" ht="15.75" customHeight="1" x14ac:dyDescent="0.25">
      <c r="D538" s="184"/>
    </row>
    <row r="539" spans="4:4" ht="15.75" customHeight="1" x14ac:dyDescent="0.25">
      <c r="D539" s="184"/>
    </row>
    <row r="540" spans="4:4" ht="15.75" customHeight="1" x14ac:dyDescent="0.25">
      <c r="D540" s="184"/>
    </row>
    <row r="541" spans="4:4" ht="15.75" customHeight="1" x14ac:dyDescent="0.25">
      <c r="D541" s="184"/>
    </row>
    <row r="542" spans="4:4" ht="15.75" customHeight="1" x14ac:dyDescent="0.25">
      <c r="D542" s="184"/>
    </row>
    <row r="543" spans="4:4" ht="15.75" customHeight="1" x14ac:dyDescent="0.25">
      <c r="D543" s="184"/>
    </row>
    <row r="544" spans="4:4" ht="15.75" customHeight="1" x14ac:dyDescent="0.25">
      <c r="D544" s="184"/>
    </row>
    <row r="545" spans="4:4" ht="15.75" customHeight="1" x14ac:dyDescent="0.25">
      <c r="D545" s="184"/>
    </row>
    <row r="546" spans="4:4" ht="15.75" customHeight="1" x14ac:dyDescent="0.25">
      <c r="D546" s="184"/>
    </row>
    <row r="547" spans="4:4" ht="15.75" customHeight="1" x14ac:dyDescent="0.25">
      <c r="D547" s="184"/>
    </row>
    <row r="548" spans="4:4" ht="15.75" customHeight="1" x14ac:dyDescent="0.25">
      <c r="D548" s="184"/>
    </row>
    <row r="549" spans="4:4" ht="15.75" customHeight="1" x14ac:dyDescent="0.25">
      <c r="D549" s="184"/>
    </row>
    <row r="550" spans="4:4" ht="15.75" customHeight="1" x14ac:dyDescent="0.25">
      <c r="D550" s="184"/>
    </row>
    <row r="551" spans="4:4" ht="15.75" customHeight="1" x14ac:dyDescent="0.25">
      <c r="D551" s="184"/>
    </row>
    <row r="552" spans="4:4" ht="15.75" customHeight="1" x14ac:dyDescent="0.25">
      <c r="D552" s="184"/>
    </row>
    <row r="553" spans="4:4" ht="15.75" customHeight="1" x14ac:dyDescent="0.25">
      <c r="D553" s="184"/>
    </row>
    <row r="554" spans="4:4" ht="15.75" customHeight="1" x14ac:dyDescent="0.25">
      <c r="D554" s="184"/>
    </row>
    <row r="555" spans="4:4" ht="15.75" customHeight="1" x14ac:dyDescent="0.25">
      <c r="D555" s="184"/>
    </row>
    <row r="556" spans="4:4" ht="15.75" customHeight="1" x14ac:dyDescent="0.25">
      <c r="D556" s="184"/>
    </row>
    <row r="557" spans="4:4" ht="15.75" customHeight="1" x14ac:dyDescent="0.25">
      <c r="D557" s="184"/>
    </row>
    <row r="558" spans="4:4" ht="15.75" customHeight="1" x14ac:dyDescent="0.25">
      <c r="D558" s="184"/>
    </row>
    <row r="559" spans="4:4" ht="15.75" customHeight="1" x14ac:dyDescent="0.25">
      <c r="D559" s="184"/>
    </row>
    <row r="560" spans="4:4" ht="15.75" customHeight="1" x14ac:dyDescent="0.25">
      <c r="D560" s="184"/>
    </row>
    <row r="561" spans="4:4" ht="15.75" customHeight="1" x14ac:dyDescent="0.25">
      <c r="D561" s="184"/>
    </row>
    <row r="562" spans="4:4" ht="15.75" customHeight="1" x14ac:dyDescent="0.25">
      <c r="D562" s="184"/>
    </row>
    <row r="563" spans="4:4" ht="15.75" customHeight="1" x14ac:dyDescent="0.25">
      <c r="D563" s="184"/>
    </row>
    <row r="564" spans="4:4" ht="15.75" customHeight="1" x14ac:dyDescent="0.25">
      <c r="D564" s="184"/>
    </row>
    <row r="565" spans="4:4" ht="15.75" customHeight="1" x14ac:dyDescent="0.25">
      <c r="D565" s="184"/>
    </row>
    <row r="566" spans="4:4" ht="15.75" customHeight="1" x14ac:dyDescent="0.25">
      <c r="D566" s="184"/>
    </row>
    <row r="567" spans="4:4" ht="15.75" customHeight="1" x14ac:dyDescent="0.25">
      <c r="D567" s="184"/>
    </row>
    <row r="568" spans="4:4" ht="15.75" customHeight="1" x14ac:dyDescent="0.25">
      <c r="D568" s="184"/>
    </row>
    <row r="569" spans="4:4" ht="15.75" customHeight="1" x14ac:dyDescent="0.25">
      <c r="D569" s="184"/>
    </row>
    <row r="570" spans="4:4" ht="15.75" customHeight="1" x14ac:dyDescent="0.25">
      <c r="D570" s="184"/>
    </row>
    <row r="571" spans="4:4" ht="15.75" customHeight="1" x14ac:dyDescent="0.25">
      <c r="D571" s="184"/>
    </row>
    <row r="572" spans="4:4" ht="15.75" customHeight="1" x14ac:dyDescent="0.25">
      <c r="D572" s="184"/>
    </row>
    <row r="573" spans="4:4" ht="15.75" customHeight="1" x14ac:dyDescent="0.25">
      <c r="D573" s="184"/>
    </row>
    <row r="574" spans="4:4" ht="15.75" customHeight="1" x14ac:dyDescent="0.25">
      <c r="D574" s="184"/>
    </row>
    <row r="575" spans="4:4" ht="15.75" customHeight="1" x14ac:dyDescent="0.25">
      <c r="D575" s="184"/>
    </row>
    <row r="576" spans="4:4" ht="15.75" customHeight="1" x14ac:dyDescent="0.25">
      <c r="D576" s="184"/>
    </row>
    <row r="577" spans="4:4" ht="15.75" customHeight="1" x14ac:dyDescent="0.25">
      <c r="D577" s="184"/>
    </row>
    <row r="578" spans="4:4" ht="15.75" customHeight="1" x14ac:dyDescent="0.25">
      <c r="D578" s="184"/>
    </row>
    <row r="579" spans="4:4" ht="15.75" customHeight="1" x14ac:dyDescent="0.25">
      <c r="D579" s="184"/>
    </row>
    <row r="580" spans="4:4" ht="15.75" customHeight="1" x14ac:dyDescent="0.25">
      <c r="D580" s="184"/>
    </row>
    <row r="581" spans="4:4" ht="15.75" customHeight="1" x14ac:dyDescent="0.25">
      <c r="D581" s="184"/>
    </row>
    <row r="582" spans="4:4" ht="15.75" customHeight="1" x14ac:dyDescent="0.25">
      <c r="D582" s="184"/>
    </row>
    <row r="583" spans="4:4" ht="15.75" customHeight="1" x14ac:dyDescent="0.25">
      <c r="D583" s="184"/>
    </row>
    <row r="584" spans="4:4" ht="15.75" customHeight="1" x14ac:dyDescent="0.25">
      <c r="D584" s="184"/>
    </row>
    <row r="585" spans="4:4" ht="15.75" customHeight="1" x14ac:dyDescent="0.25">
      <c r="D585" s="184"/>
    </row>
    <row r="586" spans="4:4" ht="15.75" customHeight="1" x14ac:dyDescent="0.25">
      <c r="D586" s="184"/>
    </row>
    <row r="587" spans="4:4" ht="15.75" customHeight="1" x14ac:dyDescent="0.25">
      <c r="D587" s="184"/>
    </row>
    <row r="588" spans="4:4" ht="15.75" customHeight="1" x14ac:dyDescent="0.25">
      <c r="D588" s="184"/>
    </row>
    <row r="589" spans="4:4" ht="15.75" customHeight="1" x14ac:dyDescent="0.25">
      <c r="D589" s="184"/>
    </row>
    <row r="590" spans="4:4" ht="15.75" customHeight="1" x14ac:dyDescent="0.25">
      <c r="D590" s="184"/>
    </row>
    <row r="591" spans="4:4" ht="15.75" customHeight="1" x14ac:dyDescent="0.25">
      <c r="D591" s="184"/>
    </row>
    <row r="592" spans="4:4" ht="15.75" customHeight="1" x14ac:dyDescent="0.25">
      <c r="D592" s="184"/>
    </row>
    <row r="593" spans="4:4" ht="15.75" customHeight="1" x14ac:dyDescent="0.25">
      <c r="D593" s="184"/>
    </row>
    <row r="594" spans="4:4" ht="15.75" customHeight="1" x14ac:dyDescent="0.25">
      <c r="D594" s="184"/>
    </row>
    <row r="595" spans="4:4" ht="15.75" customHeight="1" x14ac:dyDescent="0.25">
      <c r="D595" s="184"/>
    </row>
    <row r="596" spans="4:4" ht="15.75" customHeight="1" x14ac:dyDescent="0.25">
      <c r="D596" s="184"/>
    </row>
    <row r="597" spans="4:4" ht="15.75" customHeight="1" x14ac:dyDescent="0.25">
      <c r="D597" s="184"/>
    </row>
    <row r="598" spans="4:4" ht="15.75" customHeight="1" x14ac:dyDescent="0.25">
      <c r="D598" s="184"/>
    </row>
    <row r="599" spans="4:4" ht="15.75" customHeight="1" x14ac:dyDescent="0.25">
      <c r="D599" s="184"/>
    </row>
    <row r="600" spans="4:4" ht="15.75" customHeight="1" x14ac:dyDescent="0.25">
      <c r="D600" s="184"/>
    </row>
    <row r="601" spans="4:4" ht="15.75" customHeight="1" x14ac:dyDescent="0.25">
      <c r="D601" s="184"/>
    </row>
    <row r="602" spans="4:4" ht="15.75" customHeight="1" x14ac:dyDescent="0.25">
      <c r="D602" s="184"/>
    </row>
    <row r="603" spans="4:4" ht="15.75" customHeight="1" x14ac:dyDescent="0.25">
      <c r="D603" s="184"/>
    </row>
    <row r="604" spans="4:4" ht="15.75" customHeight="1" x14ac:dyDescent="0.25">
      <c r="D604" s="184"/>
    </row>
    <row r="605" spans="4:4" ht="15.75" customHeight="1" x14ac:dyDescent="0.25">
      <c r="D605" s="184"/>
    </row>
    <row r="606" spans="4:4" ht="15.75" customHeight="1" x14ac:dyDescent="0.25">
      <c r="D606" s="184"/>
    </row>
    <row r="607" spans="4:4" ht="15.75" customHeight="1" x14ac:dyDescent="0.25">
      <c r="D607" s="184"/>
    </row>
    <row r="608" spans="4:4" ht="15.75" customHeight="1" x14ac:dyDescent="0.25">
      <c r="D608" s="184"/>
    </row>
    <row r="609" spans="4:4" ht="15.75" customHeight="1" x14ac:dyDescent="0.25">
      <c r="D609" s="184"/>
    </row>
    <row r="610" spans="4:4" ht="15.75" customHeight="1" x14ac:dyDescent="0.25">
      <c r="D610" s="184"/>
    </row>
    <row r="611" spans="4:4" ht="15.75" customHeight="1" x14ac:dyDescent="0.25">
      <c r="D611" s="184"/>
    </row>
    <row r="612" spans="4:4" ht="15.75" customHeight="1" x14ac:dyDescent="0.25">
      <c r="D612" s="184"/>
    </row>
    <row r="613" spans="4:4" ht="15.75" customHeight="1" x14ac:dyDescent="0.25">
      <c r="D613" s="184"/>
    </row>
    <row r="614" spans="4:4" ht="15.75" customHeight="1" x14ac:dyDescent="0.25">
      <c r="D614" s="184"/>
    </row>
    <row r="615" spans="4:4" ht="15.75" customHeight="1" x14ac:dyDescent="0.25">
      <c r="D615" s="184"/>
    </row>
    <row r="616" spans="4:4" ht="15.75" customHeight="1" x14ac:dyDescent="0.25">
      <c r="D616" s="184"/>
    </row>
    <row r="617" spans="4:4" ht="15.75" customHeight="1" x14ac:dyDescent="0.25">
      <c r="D617" s="184"/>
    </row>
    <row r="618" spans="4:4" ht="15.75" customHeight="1" x14ac:dyDescent="0.25">
      <c r="D618" s="184"/>
    </row>
    <row r="619" spans="4:4" ht="15.75" customHeight="1" x14ac:dyDescent="0.25">
      <c r="D619" s="184"/>
    </row>
    <row r="620" spans="4:4" ht="15.75" customHeight="1" x14ac:dyDescent="0.25">
      <c r="D620" s="184"/>
    </row>
    <row r="621" spans="4:4" ht="15.75" customHeight="1" x14ac:dyDescent="0.25">
      <c r="D621" s="184"/>
    </row>
    <row r="622" spans="4:4" ht="15.75" customHeight="1" x14ac:dyDescent="0.25">
      <c r="D622" s="184"/>
    </row>
    <row r="623" spans="4:4" ht="15.75" customHeight="1" x14ac:dyDescent="0.25">
      <c r="D623" s="184"/>
    </row>
    <row r="624" spans="4:4" ht="15.75" customHeight="1" x14ac:dyDescent="0.25">
      <c r="D624" s="184"/>
    </row>
    <row r="625" spans="4:4" ht="15.75" customHeight="1" x14ac:dyDescent="0.25">
      <c r="D625" s="184"/>
    </row>
    <row r="626" spans="4:4" ht="15.75" customHeight="1" x14ac:dyDescent="0.25">
      <c r="D626" s="184"/>
    </row>
    <row r="627" spans="4:4" ht="15.75" customHeight="1" x14ac:dyDescent="0.25">
      <c r="D627" s="184"/>
    </row>
    <row r="628" spans="4:4" ht="15.75" customHeight="1" x14ac:dyDescent="0.25">
      <c r="D628" s="184"/>
    </row>
    <row r="629" spans="4:4" ht="15.75" customHeight="1" x14ac:dyDescent="0.25">
      <c r="D629" s="184"/>
    </row>
    <row r="630" spans="4:4" ht="15.75" customHeight="1" x14ac:dyDescent="0.25">
      <c r="D630" s="184"/>
    </row>
    <row r="631" spans="4:4" ht="15.75" customHeight="1" x14ac:dyDescent="0.25">
      <c r="D631" s="184"/>
    </row>
    <row r="632" spans="4:4" ht="15.75" customHeight="1" x14ac:dyDescent="0.25">
      <c r="D632" s="184"/>
    </row>
    <row r="633" spans="4:4" ht="15.75" customHeight="1" x14ac:dyDescent="0.25">
      <c r="D633" s="184"/>
    </row>
    <row r="634" spans="4:4" ht="15.75" customHeight="1" x14ac:dyDescent="0.25">
      <c r="D634" s="184"/>
    </row>
    <row r="635" spans="4:4" ht="15.75" customHeight="1" x14ac:dyDescent="0.25">
      <c r="D635" s="184"/>
    </row>
    <row r="636" spans="4:4" ht="15.75" customHeight="1" x14ac:dyDescent="0.25">
      <c r="D636" s="184"/>
    </row>
    <row r="637" spans="4:4" ht="15.75" customHeight="1" x14ac:dyDescent="0.25">
      <c r="D637" s="184"/>
    </row>
    <row r="638" spans="4:4" ht="15.75" customHeight="1" x14ac:dyDescent="0.25">
      <c r="D638" s="184"/>
    </row>
    <row r="639" spans="4:4" ht="15.75" customHeight="1" x14ac:dyDescent="0.25">
      <c r="D639" s="184"/>
    </row>
    <row r="640" spans="4:4" ht="15.75" customHeight="1" x14ac:dyDescent="0.25">
      <c r="D640" s="184"/>
    </row>
    <row r="641" spans="4:4" ht="15.75" customHeight="1" x14ac:dyDescent="0.25">
      <c r="D641" s="184"/>
    </row>
    <row r="642" spans="4:4" ht="15.75" customHeight="1" x14ac:dyDescent="0.25">
      <c r="D642" s="184"/>
    </row>
    <row r="643" spans="4:4" ht="15.75" customHeight="1" x14ac:dyDescent="0.25">
      <c r="D643" s="184"/>
    </row>
    <row r="644" spans="4:4" ht="15.75" customHeight="1" x14ac:dyDescent="0.25">
      <c r="D644" s="184"/>
    </row>
    <row r="645" spans="4:4" ht="15.75" customHeight="1" x14ac:dyDescent="0.25">
      <c r="D645" s="184"/>
    </row>
    <row r="646" spans="4:4" ht="15.75" customHeight="1" x14ac:dyDescent="0.25">
      <c r="D646" s="184"/>
    </row>
    <row r="647" spans="4:4" ht="15.75" customHeight="1" x14ac:dyDescent="0.25">
      <c r="D647" s="184"/>
    </row>
    <row r="648" spans="4:4" ht="15.75" customHeight="1" x14ac:dyDescent="0.25">
      <c r="D648" s="184"/>
    </row>
    <row r="649" spans="4:4" ht="15.75" customHeight="1" x14ac:dyDescent="0.25">
      <c r="D649" s="184"/>
    </row>
    <row r="650" spans="4:4" ht="15.75" customHeight="1" x14ac:dyDescent="0.25">
      <c r="D650" s="184"/>
    </row>
    <row r="651" spans="4:4" ht="15.75" customHeight="1" x14ac:dyDescent="0.25">
      <c r="D651" s="184"/>
    </row>
    <row r="652" spans="4:4" ht="15.75" customHeight="1" x14ac:dyDescent="0.25">
      <c r="D652" s="184"/>
    </row>
    <row r="653" spans="4:4" ht="15.75" customHeight="1" x14ac:dyDescent="0.25">
      <c r="D653" s="184"/>
    </row>
    <row r="654" spans="4:4" ht="15.75" customHeight="1" x14ac:dyDescent="0.25">
      <c r="D654" s="184"/>
    </row>
    <row r="655" spans="4:4" ht="15.75" customHeight="1" x14ac:dyDescent="0.25">
      <c r="D655" s="184"/>
    </row>
    <row r="656" spans="4:4" ht="15.75" customHeight="1" x14ac:dyDescent="0.25">
      <c r="D656" s="184"/>
    </row>
    <row r="657" spans="4:4" ht="15.75" customHeight="1" x14ac:dyDescent="0.25">
      <c r="D657" s="184"/>
    </row>
    <row r="658" spans="4:4" ht="15.75" customHeight="1" x14ac:dyDescent="0.25">
      <c r="D658" s="184"/>
    </row>
    <row r="659" spans="4:4" ht="15.75" customHeight="1" x14ac:dyDescent="0.25">
      <c r="D659" s="184"/>
    </row>
    <row r="660" spans="4:4" ht="15.75" customHeight="1" x14ac:dyDescent="0.25">
      <c r="D660" s="184"/>
    </row>
    <row r="661" spans="4:4" ht="15.75" customHeight="1" x14ac:dyDescent="0.25">
      <c r="D661" s="184"/>
    </row>
    <row r="662" spans="4:4" ht="15.75" customHeight="1" x14ac:dyDescent="0.25">
      <c r="D662" s="184"/>
    </row>
    <row r="663" spans="4:4" ht="15.75" customHeight="1" x14ac:dyDescent="0.25">
      <c r="D663" s="184"/>
    </row>
    <row r="664" spans="4:4" ht="15.75" customHeight="1" x14ac:dyDescent="0.25">
      <c r="D664" s="184"/>
    </row>
    <row r="665" spans="4:4" ht="15.75" customHeight="1" x14ac:dyDescent="0.25">
      <c r="D665" s="184"/>
    </row>
    <row r="666" spans="4:4" ht="15.75" customHeight="1" x14ac:dyDescent="0.25">
      <c r="D666" s="184"/>
    </row>
    <row r="667" spans="4:4" ht="15.75" customHeight="1" x14ac:dyDescent="0.25">
      <c r="D667" s="184"/>
    </row>
    <row r="668" spans="4:4" ht="15.75" customHeight="1" x14ac:dyDescent="0.25">
      <c r="D668" s="184"/>
    </row>
    <row r="669" spans="4:4" ht="15.75" customHeight="1" x14ac:dyDescent="0.25">
      <c r="D669" s="184"/>
    </row>
    <row r="670" spans="4:4" ht="15.75" customHeight="1" x14ac:dyDescent="0.25">
      <c r="D670" s="184"/>
    </row>
    <row r="671" spans="4:4" ht="15.75" customHeight="1" x14ac:dyDescent="0.25">
      <c r="D671" s="184"/>
    </row>
    <row r="672" spans="4:4" ht="15.75" customHeight="1" x14ac:dyDescent="0.25">
      <c r="D672" s="184"/>
    </row>
    <row r="673" spans="4:4" ht="15.75" customHeight="1" x14ac:dyDescent="0.25">
      <c r="D673" s="184"/>
    </row>
    <row r="674" spans="4:4" ht="15.75" customHeight="1" x14ac:dyDescent="0.25">
      <c r="D674" s="184"/>
    </row>
    <row r="675" spans="4:4" ht="15.75" customHeight="1" x14ac:dyDescent="0.25">
      <c r="D675" s="184"/>
    </row>
    <row r="676" spans="4:4" ht="15.75" customHeight="1" x14ac:dyDescent="0.25">
      <c r="D676" s="184"/>
    </row>
    <row r="677" spans="4:4" ht="15.75" customHeight="1" x14ac:dyDescent="0.25">
      <c r="D677" s="184"/>
    </row>
    <row r="678" spans="4:4" ht="15.75" customHeight="1" x14ac:dyDescent="0.25">
      <c r="D678" s="184"/>
    </row>
    <row r="679" spans="4:4" ht="15.75" customHeight="1" x14ac:dyDescent="0.25">
      <c r="D679" s="184"/>
    </row>
    <row r="680" spans="4:4" ht="15.75" customHeight="1" x14ac:dyDescent="0.25">
      <c r="D680" s="184"/>
    </row>
    <row r="681" spans="4:4" ht="15.75" customHeight="1" x14ac:dyDescent="0.25">
      <c r="D681" s="184"/>
    </row>
    <row r="682" spans="4:4" ht="15.75" customHeight="1" x14ac:dyDescent="0.25">
      <c r="D682" s="184"/>
    </row>
    <row r="683" spans="4:4" ht="15.75" customHeight="1" x14ac:dyDescent="0.25">
      <c r="D683" s="184"/>
    </row>
    <row r="684" spans="4:4" ht="15.75" customHeight="1" x14ac:dyDescent="0.25">
      <c r="D684" s="184"/>
    </row>
    <row r="685" spans="4:4" ht="15.75" customHeight="1" x14ac:dyDescent="0.25">
      <c r="D685" s="184"/>
    </row>
    <row r="686" spans="4:4" ht="15.75" customHeight="1" x14ac:dyDescent="0.25">
      <c r="D686" s="184"/>
    </row>
    <row r="687" spans="4:4" ht="15.75" customHeight="1" x14ac:dyDescent="0.25">
      <c r="D687" s="184"/>
    </row>
    <row r="688" spans="4:4" ht="15.75" customHeight="1" x14ac:dyDescent="0.25">
      <c r="D688" s="184"/>
    </row>
    <row r="689" spans="4:4" ht="15.75" customHeight="1" x14ac:dyDescent="0.25">
      <c r="D689" s="184"/>
    </row>
    <row r="690" spans="4:4" ht="15.75" customHeight="1" x14ac:dyDescent="0.25">
      <c r="D690" s="184"/>
    </row>
    <row r="691" spans="4:4" ht="15.75" customHeight="1" x14ac:dyDescent="0.25">
      <c r="D691" s="184"/>
    </row>
    <row r="692" spans="4:4" ht="15.75" customHeight="1" x14ac:dyDescent="0.25">
      <c r="D692" s="184"/>
    </row>
    <row r="693" spans="4:4" ht="15.75" customHeight="1" x14ac:dyDescent="0.25">
      <c r="D693" s="184"/>
    </row>
    <row r="694" spans="4:4" ht="15.75" customHeight="1" x14ac:dyDescent="0.25">
      <c r="D694" s="184"/>
    </row>
    <row r="695" spans="4:4" ht="15.75" customHeight="1" x14ac:dyDescent="0.25">
      <c r="D695" s="184"/>
    </row>
    <row r="696" spans="4:4" ht="15.75" customHeight="1" x14ac:dyDescent="0.25">
      <c r="D696" s="184"/>
    </row>
    <row r="697" spans="4:4" ht="15.75" customHeight="1" x14ac:dyDescent="0.25">
      <c r="D697" s="184"/>
    </row>
    <row r="698" spans="4:4" ht="15.75" customHeight="1" x14ac:dyDescent="0.25">
      <c r="D698" s="184"/>
    </row>
    <row r="699" spans="4:4" ht="15.75" customHeight="1" x14ac:dyDescent="0.25">
      <c r="D699" s="184"/>
    </row>
    <row r="700" spans="4:4" ht="15.75" customHeight="1" x14ac:dyDescent="0.25">
      <c r="D700" s="184"/>
    </row>
    <row r="701" spans="4:4" ht="15.75" customHeight="1" x14ac:dyDescent="0.25">
      <c r="D701" s="184"/>
    </row>
    <row r="702" spans="4:4" ht="15.75" customHeight="1" x14ac:dyDescent="0.25">
      <c r="D702" s="184"/>
    </row>
    <row r="703" spans="4:4" ht="15.75" customHeight="1" x14ac:dyDescent="0.25">
      <c r="D703" s="184"/>
    </row>
    <row r="704" spans="4:4" ht="15.75" customHeight="1" x14ac:dyDescent="0.25">
      <c r="D704" s="184"/>
    </row>
    <row r="705" spans="4:4" ht="15.75" customHeight="1" x14ac:dyDescent="0.25">
      <c r="D705" s="184"/>
    </row>
    <row r="706" spans="4:4" ht="15.75" customHeight="1" x14ac:dyDescent="0.25">
      <c r="D706" s="184"/>
    </row>
    <row r="707" spans="4:4" ht="15.75" customHeight="1" x14ac:dyDescent="0.25">
      <c r="D707" s="184"/>
    </row>
    <row r="708" spans="4:4" ht="15.75" customHeight="1" x14ac:dyDescent="0.25">
      <c r="D708" s="184"/>
    </row>
    <row r="709" spans="4:4" ht="15.75" customHeight="1" x14ac:dyDescent="0.25">
      <c r="D709" s="184"/>
    </row>
    <row r="710" spans="4:4" ht="15.75" customHeight="1" x14ac:dyDescent="0.25">
      <c r="D710" s="184"/>
    </row>
    <row r="711" spans="4:4" ht="15.75" customHeight="1" x14ac:dyDescent="0.25">
      <c r="D711" s="184"/>
    </row>
    <row r="712" spans="4:4" ht="15.75" customHeight="1" x14ac:dyDescent="0.25">
      <c r="D712" s="184"/>
    </row>
    <row r="713" spans="4:4" ht="15.75" customHeight="1" x14ac:dyDescent="0.25">
      <c r="D713" s="184"/>
    </row>
    <row r="714" spans="4:4" ht="15.75" customHeight="1" x14ac:dyDescent="0.25">
      <c r="D714" s="184"/>
    </row>
    <row r="715" spans="4:4" ht="15.75" customHeight="1" x14ac:dyDescent="0.25">
      <c r="D715" s="184"/>
    </row>
    <row r="716" spans="4:4" ht="15.75" customHeight="1" x14ac:dyDescent="0.25">
      <c r="D716" s="184"/>
    </row>
    <row r="717" spans="4:4" ht="15.75" customHeight="1" x14ac:dyDescent="0.25">
      <c r="D717" s="184"/>
    </row>
    <row r="718" spans="4:4" ht="15.75" customHeight="1" x14ac:dyDescent="0.25">
      <c r="D718" s="184"/>
    </row>
    <row r="719" spans="4:4" ht="15.75" customHeight="1" x14ac:dyDescent="0.25">
      <c r="D719" s="184"/>
    </row>
    <row r="720" spans="4:4" ht="15.75" customHeight="1" x14ac:dyDescent="0.25">
      <c r="D720" s="184"/>
    </row>
    <row r="721" spans="4:4" ht="15.75" customHeight="1" x14ac:dyDescent="0.25">
      <c r="D721" s="184"/>
    </row>
    <row r="722" spans="4:4" ht="15.75" customHeight="1" x14ac:dyDescent="0.25">
      <c r="D722" s="184"/>
    </row>
    <row r="723" spans="4:4" ht="15.75" customHeight="1" x14ac:dyDescent="0.25">
      <c r="D723" s="184"/>
    </row>
    <row r="724" spans="4:4" ht="15.75" customHeight="1" x14ac:dyDescent="0.25">
      <c r="D724" s="184"/>
    </row>
    <row r="725" spans="4:4" ht="15.75" customHeight="1" x14ac:dyDescent="0.25">
      <c r="D725" s="184"/>
    </row>
    <row r="726" spans="4:4" ht="15.75" customHeight="1" x14ac:dyDescent="0.25">
      <c r="D726" s="184"/>
    </row>
    <row r="727" spans="4:4" ht="15.75" customHeight="1" x14ac:dyDescent="0.25">
      <c r="D727" s="184"/>
    </row>
    <row r="728" spans="4:4" ht="15.75" customHeight="1" x14ac:dyDescent="0.25">
      <c r="D728" s="184"/>
    </row>
    <row r="729" spans="4:4" ht="15.75" customHeight="1" x14ac:dyDescent="0.25">
      <c r="D729" s="184"/>
    </row>
    <row r="730" spans="4:4" ht="15.75" customHeight="1" x14ac:dyDescent="0.25">
      <c r="D730" s="184"/>
    </row>
    <row r="731" spans="4:4" ht="15.75" customHeight="1" x14ac:dyDescent="0.25">
      <c r="D731" s="184"/>
    </row>
    <row r="732" spans="4:4" ht="15.75" customHeight="1" x14ac:dyDescent="0.25">
      <c r="D732" s="184"/>
    </row>
    <row r="733" spans="4:4" ht="15.75" customHeight="1" x14ac:dyDescent="0.25">
      <c r="D733" s="184"/>
    </row>
    <row r="734" spans="4:4" ht="15.75" customHeight="1" x14ac:dyDescent="0.25">
      <c r="D734" s="184"/>
    </row>
    <row r="735" spans="4:4" ht="15.75" customHeight="1" x14ac:dyDescent="0.25">
      <c r="D735" s="184"/>
    </row>
    <row r="736" spans="4:4" ht="15.75" customHeight="1" x14ac:dyDescent="0.25">
      <c r="D736" s="184"/>
    </row>
    <row r="737" spans="4:4" ht="15.75" customHeight="1" x14ac:dyDescent="0.25">
      <c r="D737" s="184"/>
    </row>
    <row r="738" spans="4:4" ht="15.75" customHeight="1" x14ac:dyDescent="0.25">
      <c r="D738" s="184"/>
    </row>
    <row r="739" spans="4:4" ht="15.75" customHeight="1" x14ac:dyDescent="0.25">
      <c r="D739" s="184"/>
    </row>
    <row r="740" spans="4:4" ht="15.75" customHeight="1" x14ac:dyDescent="0.25">
      <c r="D740" s="184"/>
    </row>
    <row r="741" spans="4:4" ht="15.75" customHeight="1" x14ac:dyDescent="0.25">
      <c r="D741" s="184"/>
    </row>
    <row r="742" spans="4:4" ht="15.75" customHeight="1" x14ac:dyDescent="0.25">
      <c r="D742" s="184"/>
    </row>
    <row r="743" spans="4:4" ht="15.75" customHeight="1" x14ac:dyDescent="0.25">
      <c r="D743" s="184"/>
    </row>
    <row r="744" spans="4:4" ht="15.75" customHeight="1" x14ac:dyDescent="0.25">
      <c r="D744" s="184"/>
    </row>
    <row r="745" spans="4:4" ht="15.75" customHeight="1" x14ac:dyDescent="0.25">
      <c r="D745" s="184"/>
    </row>
    <row r="746" spans="4:4" ht="15.75" customHeight="1" x14ac:dyDescent="0.25">
      <c r="D746" s="184"/>
    </row>
    <row r="747" spans="4:4" ht="15.75" customHeight="1" x14ac:dyDescent="0.25">
      <c r="D747" s="184"/>
    </row>
    <row r="748" spans="4:4" ht="15.75" customHeight="1" x14ac:dyDescent="0.25">
      <c r="D748" s="184"/>
    </row>
    <row r="749" spans="4:4" ht="15.75" customHeight="1" x14ac:dyDescent="0.25">
      <c r="D749" s="184"/>
    </row>
    <row r="750" spans="4:4" ht="15.75" customHeight="1" x14ac:dyDescent="0.25">
      <c r="D750" s="184"/>
    </row>
    <row r="751" spans="4:4" ht="15.75" customHeight="1" x14ac:dyDescent="0.25">
      <c r="D751" s="184"/>
    </row>
    <row r="752" spans="4:4" ht="15.75" customHeight="1" x14ac:dyDescent="0.25">
      <c r="D752" s="184"/>
    </row>
    <row r="753" spans="4:4" ht="15.75" customHeight="1" x14ac:dyDescent="0.25">
      <c r="D753" s="184"/>
    </row>
    <row r="754" spans="4:4" ht="15.75" customHeight="1" x14ac:dyDescent="0.25">
      <c r="D754" s="184"/>
    </row>
    <row r="755" spans="4:4" ht="15.75" customHeight="1" x14ac:dyDescent="0.25">
      <c r="D755" s="184"/>
    </row>
    <row r="756" spans="4:4" ht="15.75" customHeight="1" x14ac:dyDescent="0.25">
      <c r="D756" s="184"/>
    </row>
    <row r="757" spans="4:4" ht="15.75" customHeight="1" x14ac:dyDescent="0.25">
      <c r="D757" s="184"/>
    </row>
    <row r="758" spans="4:4" ht="15.75" customHeight="1" x14ac:dyDescent="0.25">
      <c r="D758" s="184"/>
    </row>
    <row r="759" spans="4:4" ht="15.75" customHeight="1" x14ac:dyDescent="0.25">
      <c r="D759" s="184"/>
    </row>
    <row r="760" spans="4:4" ht="15.75" customHeight="1" x14ac:dyDescent="0.25">
      <c r="D760" s="184"/>
    </row>
    <row r="761" spans="4:4" ht="15.75" customHeight="1" x14ac:dyDescent="0.25">
      <c r="D761" s="184"/>
    </row>
    <row r="762" spans="4:4" ht="15.75" customHeight="1" x14ac:dyDescent="0.25">
      <c r="D762" s="184"/>
    </row>
    <row r="763" spans="4:4" ht="15.75" customHeight="1" x14ac:dyDescent="0.25">
      <c r="D763" s="184"/>
    </row>
    <row r="764" spans="4:4" ht="15.75" customHeight="1" x14ac:dyDescent="0.25">
      <c r="D764" s="184"/>
    </row>
    <row r="765" spans="4:4" ht="15.75" customHeight="1" x14ac:dyDescent="0.25">
      <c r="D765" s="184"/>
    </row>
    <row r="766" spans="4:4" ht="15.75" customHeight="1" x14ac:dyDescent="0.25">
      <c r="D766" s="184"/>
    </row>
    <row r="767" spans="4:4" ht="15.75" customHeight="1" x14ac:dyDescent="0.25">
      <c r="D767" s="184"/>
    </row>
    <row r="768" spans="4:4" ht="15.75" customHeight="1" x14ac:dyDescent="0.25">
      <c r="D768" s="184"/>
    </row>
    <row r="769" spans="4:4" ht="15.75" customHeight="1" x14ac:dyDescent="0.25">
      <c r="D769" s="184"/>
    </row>
    <row r="770" spans="4:4" ht="15.75" customHeight="1" x14ac:dyDescent="0.25">
      <c r="D770" s="184"/>
    </row>
    <row r="771" spans="4:4" ht="15.75" customHeight="1" x14ac:dyDescent="0.25">
      <c r="D771" s="184"/>
    </row>
    <row r="772" spans="4:4" ht="15.75" customHeight="1" x14ac:dyDescent="0.25">
      <c r="D772" s="184"/>
    </row>
    <row r="773" spans="4:4" ht="15.75" customHeight="1" x14ac:dyDescent="0.25">
      <c r="D773" s="184"/>
    </row>
    <row r="774" spans="4:4" ht="15.75" customHeight="1" x14ac:dyDescent="0.25">
      <c r="D774" s="184"/>
    </row>
    <row r="775" spans="4:4" ht="15.75" customHeight="1" x14ac:dyDescent="0.25">
      <c r="D775" s="184"/>
    </row>
    <row r="776" spans="4:4" ht="15.75" customHeight="1" x14ac:dyDescent="0.25">
      <c r="D776" s="184"/>
    </row>
    <row r="777" spans="4:4" ht="15.75" customHeight="1" x14ac:dyDescent="0.25">
      <c r="D777" s="184"/>
    </row>
    <row r="778" spans="4:4" ht="15.75" customHeight="1" x14ac:dyDescent="0.25">
      <c r="D778" s="184"/>
    </row>
    <row r="779" spans="4:4" ht="15.75" customHeight="1" x14ac:dyDescent="0.25">
      <c r="D779" s="184"/>
    </row>
    <row r="780" spans="4:4" ht="15.75" customHeight="1" x14ac:dyDescent="0.25">
      <c r="D780" s="184"/>
    </row>
    <row r="781" spans="4:4" ht="15.75" customHeight="1" x14ac:dyDescent="0.25">
      <c r="D781" s="184"/>
    </row>
    <row r="782" spans="4:4" ht="15.75" customHeight="1" x14ac:dyDescent="0.25">
      <c r="D782" s="184"/>
    </row>
    <row r="783" spans="4:4" ht="15.75" customHeight="1" x14ac:dyDescent="0.25">
      <c r="D783" s="184"/>
    </row>
    <row r="784" spans="4:4" ht="15.75" customHeight="1" x14ac:dyDescent="0.25">
      <c r="D784" s="184"/>
    </row>
    <row r="785" spans="4:4" ht="15.75" customHeight="1" x14ac:dyDescent="0.25">
      <c r="D785" s="184"/>
    </row>
    <row r="786" spans="4:4" ht="15.75" customHeight="1" x14ac:dyDescent="0.25">
      <c r="D786" s="184"/>
    </row>
    <row r="787" spans="4:4" ht="15.75" customHeight="1" x14ac:dyDescent="0.25">
      <c r="D787" s="184"/>
    </row>
    <row r="788" spans="4:4" ht="15.75" customHeight="1" x14ac:dyDescent="0.25">
      <c r="D788" s="184"/>
    </row>
    <row r="789" spans="4:4" ht="15.75" customHeight="1" x14ac:dyDescent="0.25">
      <c r="D789" s="184"/>
    </row>
    <row r="790" spans="4:4" ht="15.75" customHeight="1" x14ac:dyDescent="0.25">
      <c r="D790" s="184"/>
    </row>
    <row r="791" spans="4:4" ht="15.75" customHeight="1" x14ac:dyDescent="0.25">
      <c r="D791" s="184"/>
    </row>
    <row r="792" spans="4:4" ht="15.75" customHeight="1" x14ac:dyDescent="0.25">
      <c r="D792" s="184"/>
    </row>
    <row r="793" spans="4:4" ht="15.75" customHeight="1" x14ac:dyDescent="0.25">
      <c r="D793" s="184"/>
    </row>
    <row r="794" spans="4:4" ht="15.75" customHeight="1" x14ac:dyDescent="0.25">
      <c r="D794" s="184"/>
    </row>
    <row r="795" spans="4:4" ht="15.75" customHeight="1" x14ac:dyDescent="0.25">
      <c r="D795" s="184"/>
    </row>
    <row r="796" spans="4:4" ht="15.75" customHeight="1" x14ac:dyDescent="0.25">
      <c r="D796" s="184"/>
    </row>
    <row r="797" spans="4:4" ht="15.75" customHeight="1" x14ac:dyDescent="0.25">
      <c r="D797" s="184"/>
    </row>
    <row r="798" spans="4:4" ht="15.75" customHeight="1" x14ac:dyDescent="0.25">
      <c r="D798" s="184"/>
    </row>
    <row r="799" spans="4:4" ht="15.75" customHeight="1" x14ac:dyDescent="0.25">
      <c r="D799" s="184"/>
    </row>
    <row r="800" spans="4:4" ht="15.75" customHeight="1" x14ac:dyDescent="0.25">
      <c r="D800" s="184"/>
    </row>
    <row r="801" spans="4:4" ht="15.75" customHeight="1" x14ac:dyDescent="0.25">
      <c r="D801" s="184"/>
    </row>
    <row r="802" spans="4:4" ht="15.75" customHeight="1" x14ac:dyDescent="0.25">
      <c r="D802" s="184"/>
    </row>
    <row r="803" spans="4:4" ht="15.75" customHeight="1" x14ac:dyDescent="0.25">
      <c r="D803" s="184"/>
    </row>
    <row r="804" spans="4:4" ht="15.75" customHeight="1" x14ac:dyDescent="0.25">
      <c r="D804" s="184"/>
    </row>
    <row r="805" spans="4:4" ht="15.75" customHeight="1" x14ac:dyDescent="0.25">
      <c r="D805" s="184"/>
    </row>
    <row r="806" spans="4:4" ht="15.75" customHeight="1" x14ac:dyDescent="0.25">
      <c r="D806" s="184"/>
    </row>
    <row r="807" spans="4:4" ht="15.75" customHeight="1" x14ac:dyDescent="0.25">
      <c r="D807" s="184"/>
    </row>
    <row r="808" spans="4:4" ht="15.75" customHeight="1" x14ac:dyDescent="0.25">
      <c r="D808" s="184"/>
    </row>
    <row r="809" spans="4:4" ht="15.75" customHeight="1" x14ac:dyDescent="0.25">
      <c r="D809" s="184"/>
    </row>
    <row r="810" spans="4:4" ht="15.75" customHeight="1" x14ac:dyDescent="0.25">
      <c r="D810" s="184"/>
    </row>
    <row r="811" spans="4:4" ht="15.75" customHeight="1" x14ac:dyDescent="0.25">
      <c r="D811" s="184"/>
    </row>
    <row r="812" spans="4:4" ht="15.75" customHeight="1" x14ac:dyDescent="0.25">
      <c r="D812" s="184"/>
    </row>
    <row r="813" spans="4:4" ht="15.75" customHeight="1" x14ac:dyDescent="0.25">
      <c r="D813" s="184"/>
    </row>
    <row r="814" spans="4:4" ht="15.75" customHeight="1" x14ac:dyDescent="0.25">
      <c r="D814" s="184"/>
    </row>
    <row r="815" spans="4:4" ht="15.75" customHeight="1" x14ac:dyDescent="0.25">
      <c r="D815" s="184"/>
    </row>
    <row r="816" spans="4:4" ht="15.75" customHeight="1" x14ac:dyDescent="0.25">
      <c r="D816" s="184"/>
    </row>
    <row r="817" spans="4:4" ht="15.75" customHeight="1" x14ac:dyDescent="0.25">
      <c r="D817" s="184"/>
    </row>
    <row r="818" spans="4:4" ht="15.75" customHeight="1" x14ac:dyDescent="0.25">
      <c r="D818" s="184"/>
    </row>
    <row r="819" spans="4:4" ht="15.75" customHeight="1" x14ac:dyDescent="0.25">
      <c r="D819" s="184"/>
    </row>
    <row r="820" spans="4:4" ht="15.75" customHeight="1" x14ac:dyDescent="0.25">
      <c r="D820" s="184"/>
    </row>
    <row r="821" spans="4:4" ht="15.75" customHeight="1" x14ac:dyDescent="0.25">
      <c r="D821" s="184"/>
    </row>
    <row r="822" spans="4:4" ht="15.75" customHeight="1" x14ac:dyDescent="0.25">
      <c r="D822" s="184"/>
    </row>
    <row r="823" spans="4:4" ht="15.75" customHeight="1" x14ac:dyDescent="0.25">
      <c r="D823" s="184"/>
    </row>
    <row r="824" spans="4:4" ht="15.75" customHeight="1" x14ac:dyDescent="0.25">
      <c r="D824" s="184"/>
    </row>
    <row r="825" spans="4:4" ht="15.75" customHeight="1" x14ac:dyDescent="0.25">
      <c r="D825" s="184"/>
    </row>
    <row r="826" spans="4:4" ht="15.75" customHeight="1" x14ac:dyDescent="0.25">
      <c r="D826" s="184"/>
    </row>
    <row r="827" spans="4:4" ht="15.75" customHeight="1" x14ac:dyDescent="0.25">
      <c r="D827" s="184"/>
    </row>
    <row r="828" spans="4:4" ht="15.75" customHeight="1" x14ac:dyDescent="0.25">
      <c r="D828" s="184"/>
    </row>
    <row r="829" spans="4:4" ht="15.75" customHeight="1" x14ac:dyDescent="0.25">
      <c r="D829" s="184"/>
    </row>
    <row r="830" spans="4:4" ht="15.75" customHeight="1" x14ac:dyDescent="0.25">
      <c r="D830" s="184"/>
    </row>
    <row r="831" spans="4:4" ht="15.75" customHeight="1" x14ac:dyDescent="0.25">
      <c r="D831" s="184"/>
    </row>
    <row r="832" spans="4:4" ht="15.75" customHeight="1" x14ac:dyDescent="0.25">
      <c r="D832" s="184"/>
    </row>
    <row r="833" spans="4:4" ht="15.75" customHeight="1" x14ac:dyDescent="0.25">
      <c r="D833" s="184"/>
    </row>
    <row r="834" spans="4:4" ht="15.75" customHeight="1" x14ac:dyDescent="0.25">
      <c r="D834" s="184"/>
    </row>
    <row r="835" spans="4:4" ht="15.75" customHeight="1" x14ac:dyDescent="0.25">
      <c r="D835" s="184"/>
    </row>
    <row r="836" spans="4:4" ht="15.75" customHeight="1" x14ac:dyDescent="0.25">
      <c r="D836" s="184"/>
    </row>
    <row r="837" spans="4:4" ht="15.75" customHeight="1" x14ac:dyDescent="0.25">
      <c r="D837" s="184"/>
    </row>
    <row r="838" spans="4:4" ht="15.75" customHeight="1" x14ac:dyDescent="0.25">
      <c r="D838" s="184"/>
    </row>
    <row r="839" spans="4:4" ht="15.75" customHeight="1" x14ac:dyDescent="0.25">
      <c r="D839" s="184"/>
    </row>
    <row r="840" spans="4:4" ht="15.75" customHeight="1" x14ac:dyDescent="0.25">
      <c r="D840" s="184"/>
    </row>
    <row r="841" spans="4:4" ht="15.75" customHeight="1" x14ac:dyDescent="0.25">
      <c r="D841" s="184"/>
    </row>
    <row r="842" spans="4:4" ht="15.75" customHeight="1" x14ac:dyDescent="0.25">
      <c r="D842" s="184"/>
    </row>
    <row r="843" spans="4:4" ht="15.75" customHeight="1" x14ac:dyDescent="0.25">
      <c r="D843" s="184"/>
    </row>
    <row r="844" spans="4:4" ht="15.75" customHeight="1" x14ac:dyDescent="0.25">
      <c r="D844" s="184"/>
    </row>
    <row r="845" spans="4:4" ht="15.75" customHeight="1" x14ac:dyDescent="0.25">
      <c r="D845" s="184"/>
    </row>
    <row r="846" spans="4:4" ht="15.75" customHeight="1" x14ac:dyDescent="0.25">
      <c r="D846" s="184"/>
    </row>
    <row r="847" spans="4:4" ht="15.75" customHeight="1" x14ac:dyDescent="0.25">
      <c r="D847" s="184"/>
    </row>
    <row r="848" spans="4:4" ht="15.75" customHeight="1" x14ac:dyDescent="0.25">
      <c r="D848" s="184"/>
    </row>
    <row r="849" spans="4:4" ht="15.75" customHeight="1" x14ac:dyDescent="0.25">
      <c r="D849" s="184"/>
    </row>
    <row r="850" spans="4:4" ht="15.75" customHeight="1" x14ac:dyDescent="0.25">
      <c r="D850" s="184"/>
    </row>
    <row r="851" spans="4:4" ht="15.75" customHeight="1" x14ac:dyDescent="0.25">
      <c r="D851" s="184"/>
    </row>
    <row r="852" spans="4:4" ht="15.75" customHeight="1" x14ac:dyDescent="0.25">
      <c r="D852" s="184"/>
    </row>
    <row r="853" spans="4:4" ht="15.75" customHeight="1" x14ac:dyDescent="0.25">
      <c r="D853" s="184"/>
    </row>
    <row r="854" spans="4:4" ht="15.75" customHeight="1" x14ac:dyDescent="0.25">
      <c r="D854" s="184"/>
    </row>
    <row r="855" spans="4:4" ht="15.75" customHeight="1" x14ac:dyDescent="0.25">
      <c r="D855" s="184"/>
    </row>
    <row r="856" spans="4:4" ht="15.75" customHeight="1" x14ac:dyDescent="0.25">
      <c r="D856" s="184"/>
    </row>
    <row r="857" spans="4:4" ht="15.75" customHeight="1" x14ac:dyDescent="0.25">
      <c r="D857" s="184"/>
    </row>
    <row r="858" spans="4:4" ht="15.75" customHeight="1" x14ac:dyDescent="0.25">
      <c r="D858" s="184"/>
    </row>
    <row r="859" spans="4:4" ht="15.75" customHeight="1" x14ac:dyDescent="0.25">
      <c r="D859" s="184"/>
    </row>
    <row r="860" spans="4:4" ht="15.75" customHeight="1" x14ac:dyDescent="0.25">
      <c r="D860" s="184"/>
    </row>
    <row r="861" spans="4:4" ht="15.75" customHeight="1" x14ac:dyDescent="0.25">
      <c r="D861" s="184"/>
    </row>
    <row r="862" spans="4:4" ht="15.75" customHeight="1" x14ac:dyDescent="0.25">
      <c r="D862" s="184"/>
    </row>
    <row r="863" spans="4:4" ht="15.75" customHeight="1" x14ac:dyDescent="0.25">
      <c r="D863" s="184"/>
    </row>
    <row r="864" spans="4:4" ht="15.75" customHeight="1" x14ac:dyDescent="0.25">
      <c r="D864" s="184"/>
    </row>
    <row r="865" spans="4:4" ht="15.75" customHeight="1" x14ac:dyDescent="0.25">
      <c r="D865" s="184"/>
    </row>
    <row r="866" spans="4:4" ht="15.75" customHeight="1" x14ac:dyDescent="0.25">
      <c r="D866" s="184"/>
    </row>
    <row r="867" spans="4:4" ht="15.75" customHeight="1" x14ac:dyDescent="0.25">
      <c r="D867" s="184"/>
    </row>
    <row r="868" spans="4:4" ht="15.75" customHeight="1" x14ac:dyDescent="0.25">
      <c r="D868" s="184"/>
    </row>
    <row r="869" spans="4:4" ht="15.75" customHeight="1" x14ac:dyDescent="0.25">
      <c r="D869" s="184"/>
    </row>
    <row r="870" spans="4:4" ht="15.75" customHeight="1" x14ac:dyDescent="0.25">
      <c r="D870" s="184"/>
    </row>
    <row r="871" spans="4:4" ht="15.75" customHeight="1" x14ac:dyDescent="0.25">
      <c r="D871" s="184"/>
    </row>
    <row r="872" spans="4:4" ht="15.75" customHeight="1" x14ac:dyDescent="0.25">
      <c r="D872" s="184"/>
    </row>
    <row r="873" spans="4:4" ht="15.75" customHeight="1" x14ac:dyDescent="0.25">
      <c r="D873" s="184"/>
    </row>
    <row r="874" spans="4:4" ht="15.75" customHeight="1" x14ac:dyDescent="0.25">
      <c r="D874" s="184"/>
    </row>
    <row r="875" spans="4:4" ht="15.75" customHeight="1" x14ac:dyDescent="0.25">
      <c r="D875" s="184"/>
    </row>
    <row r="876" spans="4:4" ht="15.75" customHeight="1" x14ac:dyDescent="0.25">
      <c r="D876" s="184"/>
    </row>
    <row r="877" spans="4:4" ht="15.75" customHeight="1" x14ac:dyDescent="0.25">
      <c r="D877" s="184"/>
    </row>
    <row r="878" spans="4:4" ht="15.75" customHeight="1" x14ac:dyDescent="0.25">
      <c r="D878" s="184"/>
    </row>
    <row r="879" spans="4:4" ht="15.75" customHeight="1" x14ac:dyDescent="0.25">
      <c r="D879" s="184"/>
    </row>
    <row r="880" spans="4:4" ht="15.75" customHeight="1" x14ac:dyDescent="0.25">
      <c r="D880" s="184"/>
    </row>
    <row r="881" spans="4:4" ht="15.75" customHeight="1" x14ac:dyDescent="0.25">
      <c r="D881" s="184"/>
    </row>
    <row r="882" spans="4:4" ht="15.75" customHeight="1" x14ac:dyDescent="0.25">
      <c r="D882" s="184"/>
    </row>
    <row r="883" spans="4:4" ht="15.75" customHeight="1" x14ac:dyDescent="0.25">
      <c r="D883" s="184"/>
    </row>
    <row r="884" spans="4:4" ht="15.75" customHeight="1" x14ac:dyDescent="0.25">
      <c r="D884" s="184"/>
    </row>
    <row r="885" spans="4:4" ht="15.75" customHeight="1" x14ac:dyDescent="0.25">
      <c r="D885" s="184"/>
    </row>
    <row r="886" spans="4:4" ht="15.75" customHeight="1" x14ac:dyDescent="0.25">
      <c r="D886" s="184"/>
    </row>
    <row r="887" spans="4:4" ht="15.75" customHeight="1" x14ac:dyDescent="0.25">
      <c r="D887" s="184"/>
    </row>
    <row r="888" spans="4:4" ht="15.75" customHeight="1" x14ac:dyDescent="0.25">
      <c r="D888" s="184"/>
    </row>
    <row r="889" spans="4:4" ht="15.75" customHeight="1" x14ac:dyDescent="0.25">
      <c r="D889" s="184"/>
    </row>
    <row r="890" spans="4:4" ht="15.75" customHeight="1" x14ac:dyDescent="0.25">
      <c r="D890" s="184"/>
    </row>
    <row r="891" spans="4:4" ht="15.75" customHeight="1" x14ac:dyDescent="0.25">
      <c r="D891" s="184"/>
    </row>
    <row r="892" spans="4:4" ht="15.75" customHeight="1" x14ac:dyDescent="0.25">
      <c r="D892" s="184"/>
    </row>
    <row r="893" spans="4:4" ht="15.75" customHeight="1" x14ac:dyDescent="0.25">
      <c r="D893" s="184"/>
    </row>
    <row r="894" spans="4:4" ht="15.75" customHeight="1" x14ac:dyDescent="0.25">
      <c r="D894" s="184"/>
    </row>
    <row r="895" spans="4:4" ht="15.75" customHeight="1" x14ac:dyDescent="0.25">
      <c r="D895" s="184"/>
    </row>
    <row r="896" spans="4:4" ht="15.75" customHeight="1" x14ac:dyDescent="0.25">
      <c r="D896" s="184"/>
    </row>
    <row r="897" spans="4:4" ht="15.75" customHeight="1" x14ac:dyDescent="0.25">
      <c r="D897" s="184"/>
    </row>
    <row r="898" spans="4:4" ht="15.75" customHeight="1" x14ac:dyDescent="0.25">
      <c r="D898" s="184"/>
    </row>
    <row r="899" spans="4:4" ht="15.75" customHeight="1" x14ac:dyDescent="0.25">
      <c r="D899" s="184"/>
    </row>
    <row r="900" spans="4:4" ht="15.75" customHeight="1" x14ac:dyDescent="0.25">
      <c r="D900" s="184"/>
    </row>
    <row r="901" spans="4:4" ht="15.75" customHeight="1" x14ac:dyDescent="0.25">
      <c r="D901" s="184"/>
    </row>
    <row r="902" spans="4:4" ht="15.75" customHeight="1" x14ac:dyDescent="0.25">
      <c r="D902" s="184"/>
    </row>
    <row r="903" spans="4:4" ht="15.75" customHeight="1" x14ac:dyDescent="0.25">
      <c r="D903" s="184"/>
    </row>
    <row r="904" spans="4:4" ht="15.75" customHeight="1" x14ac:dyDescent="0.25">
      <c r="D904" s="184"/>
    </row>
    <row r="905" spans="4:4" ht="15.75" customHeight="1" x14ac:dyDescent="0.25">
      <c r="D905" s="184"/>
    </row>
    <row r="906" spans="4:4" ht="15.75" customHeight="1" x14ac:dyDescent="0.25">
      <c r="D906" s="184"/>
    </row>
    <row r="907" spans="4:4" ht="15.75" customHeight="1" x14ac:dyDescent="0.25">
      <c r="D907" s="184"/>
    </row>
    <row r="908" spans="4:4" ht="15.75" customHeight="1" x14ac:dyDescent="0.25">
      <c r="D908" s="184"/>
    </row>
    <row r="909" spans="4:4" ht="15.75" customHeight="1" x14ac:dyDescent="0.25">
      <c r="D909" s="184"/>
    </row>
    <row r="910" spans="4:4" ht="15.75" customHeight="1" x14ac:dyDescent="0.25">
      <c r="D910" s="184"/>
    </row>
    <row r="911" spans="4:4" ht="15.75" customHeight="1" x14ac:dyDescent="0.25">
      <c r="D911" s="184"/>
    </row>
    <row r="912" spans="4:4" ht="15.75" customHeight="1" x14ac:dyDescent="0.25">
      <c r="D912" s="184"/>
    </row>
    <row r="913" spans="4:4" ht="15.75" customHeight="1" x14ac:dyDescent="0.25">
      <c r="D913" s="184"/>
    </row>
    <row r="914" spans="4:4" ht="15.75" customHeight="1" x14ac:dyDescent="0.25">
      <c r="D914" s="184"/>
    </row>
    <row r="915" spans="4:4" ht="15.75" customHeight="1" x14ac:dyDescent="0.25">
      <c r="D915" s="184"/>
    </row>
    <row r="916" spans="4:4" ht="15.75" customHeight="1" x14ac:dyDescent="0.25">
      <c r="D916" s="184"/>
    </row>
    <row r="917" spans="4:4" ht="15.75" customHeight="1" x14ac:dyDescent="0.25">
      <c r="D917" s="184"/>
    </row>
    <row r="918" spans="4:4" ht="15.75" customHeight="1" x14ac:dyDescent="0.25">
      <c r="D918" s="184"/>
    </row>
    <row r="919" spans="4:4" ht="15.75" customHeight="1" x14ac:dyDescent="0.25">
      <c r="D919" s="184"/>
    </row>
    <row r="920" spans="4:4" ht="15.75" customHeight="1" x14ac:dyDescent="0.25">
      <c r="D920" s="184"/>
    </row>
    <row r="921" spans="4:4" ht="15.75" customHeight="1" x14ac:dyDescent="0.25">
      <c r="D921" s="184"/>
    </row>
    <row r="922" spans="4:4" ht="15.75" customHeight="1" x14ac:dyDescent="0.25">
      <c r="D922" s="184"/>
    </row>
    <row r="923" spans="4:4" ht="15.75" customHeight="1" x14ac:dyDescent="0.25">
      <c r="D923" s="184"/>
    </row>
    <row r="924" spans="4:4" ht="15.75" customHeight="1" x14ac:dyDescent="0.25">
      <c r="D924" s="184"/>
    </row>
    <row r="925" spans="4:4" ht="15.75" customHeight="1" x14ac:dyDescent="0.25">
      <c r="D925" s="184"/>
    </row>
    <row r="926" spans="4:4" ht="15.75" customHeight="1" x14ac:dyDescent="0.25">
      <c r="D926" s="184"/>
    </row>
    <row r="927" spans="4:4" ht="15.75" customHeight="1" x14ac:dyDescent="0.25">
      <c r="D927" s="184"/>
    </row>
    <row r="928" spans="4:4" ht="15.75" customHeight="1" x14ac:dyDescent="0.25">
      <c r="D928" s="184"/>
    </row>
    <row r="929" spans="4:4" ht="15.75" customHeight="1" x14ac:dyDescent="0.25">
      <c r="D929" s="184"/>
    </row>
    <row r="930" spans="4:4" ht="15.75" customHeight="1" x14ac:dyDescent="0.25">
      <c r="D930" s="184"/>
    </row>
    <row r="931" spans="4:4" ht="15.75" customHeight="1" x14ac:dyDescent="0.25">
      <c r="D931" s="184"/>
    </row>
    <row r="932" spans="4:4" ht="15.75" customHeight="1" x14ac:dyDescent="0.25">
      <c r="D932" s="184"/>
    </row>
    <row r="933" spans="4:4" ht="15.75" customHeight="1" x14ac:dyDescent="0.25">
      <c r="D933" s="184"/>
    </row>
    <row r="934" spans="4:4" ht="15.75" customHeight="1" x14ac:dyDescent="0.25">
      <c r="D934" s="184"/>
    </row>
    <row r="935" spans="4:4" ht="15.75" customHeight="1" x14ac:dyDescent="0.25">
      <c r="D935" s="184"/>
    </row>
    <row r="936" spans="4:4" ht="15.75" customHeight="1" x14ac:dyDescent="0.25">
      <c r="D936" s="184"/>
    </row>
    <row r="937" spans="4:4" ht="15.75" customHeight="1" x14ac:dyDescent="0.25">
      <c r="D937" s="184"/>
    </row>
    <row r="938" spans="4:4" ht="15.75" customHeight="1" x14ac:dyDescent="0.25">
      <c r="D938" s="184"/>
    </row>
    <row r="939" spans="4:4" ht="15.75" customHeight="1" x14ac:dyDescent="0.25">
      <c r="D939" s="184"/>
    </row>
    <row r="940" spans="4:4" ht="15.75" customHeight="1" x14ac:dyDescent="0.25">
      <c r="D940" s="184"/>
    </row>
    <row r="941" spans="4:4" ht="15.75" customHeight="1" x14ac:dyDescent="0.25">
      <c r="D941" s="184"/>
    </row>
    <row r="942" spans="4:4" ht="15.75" customHeight="1" x14ac:dyDescent="0.25">
      <c r="D942" s="184"/>
    </row>
    <row r="943" spans="4:4" ht="15.75" customHeight="1" x14ac:dyDescent="0.25">
      <c r="D943" s="184"/>
    </row>
    <row r="944" spans="4:4" ht="15.75" customHeight="1" x14ac:dyDescent="0.25">
      <c r="D944" s="184"/>
    </row>
    <row r="945" spans="4:4" ht="15.75" customHeight="1" x14ac:dyDescent="0.25">
      <c r="D945" s="184"/>
    </row>
    <row r="946" spans="4:4" ht="15.75" customHeight="1" x14ac:dyDescent="0.25">
      <c r="D946" s="184"/>
    </row>
    <row r="947" spans="4:4" ht="15.75" customHeight="1" x14ac:dyDescent="0.25">
      <c r="D947" s="184"/>
    </row>
    <row r="948" spans="4:4" ht="15.75" customHeight="1" x14ac:dyDescent="0.25">
      <c r="D948" s="184"/>
    </row>
    <row r="949" spans="4:4" ht="15.75" customHeight="1" x14ac:dyDescent="0.25">
      <c r="D949" s="184"/>
    </row>
    <row r="950" spans="4:4" ht="15.75" customHeight="1" x14ac:dyDescent="0.25">
      <c r="D950" s="184"/>
    </row>
    <row r="951" spans="4:4" ht="15.75" customHeight="1" x14ac:dyDescent="0.25">
      <c r="D951" s="184"/>
    </row>
    <row r="952" spans="4:4" ht="15.75" customHeight="1" x14ac:dyDescent="0.25">
      <c r="D952" s="184"/>
    </row>
    <row r="953" spans="4:4" ht="15.75" customHeight="1" x14ac:dyDescent="0.25">
      <c r="D953" s="184"/>
    </row>
    <row r="954" spans="4:4" ht="15.75" customHeight="1" x14ac:dyDescent="0.25">
      <c r="D954" s="184"/>
    </row>
    <row r="955" spans="4:4" ht="15.75" customHeight="1" x14ac:dyDescent="0.25">
      <c r="D955" s="184"/>
    </row>
    <row r="956" spans="4:4" ht="15.75" customHeight="1" x14ac:dyDescent="0.25">
      <c r="D956" s="184"/>
    </row>
    <row r="957" spans="4:4" ht="15.75" customHeight="1" x14ac:dyDescent="0.25">
      <c r="D957" s="184"/>
    </row>
    <row r="958" spans="4:4" ht="15.75" customHeight="1" x14ac:dyDescent="0.25">
      <c r="D958" s="184"/>
    </row>
    <row r="959" spans="4:4" ht="15.75" customHeight="1" x14ac:dyDescent="0.25">
      <c r="D959" s="184"/>
    </row>
    <row r="960" spans="4:4" ht="15.75" customHeight="1" x14ac:dyDescent="0.25">
      <c r="D960" s="184"/>
    </row>
    <row r="961" spans="4:4" ht="15.75" customHeight="1" x14ac:dyDescent="0.25">
      <c r="D961" s="184"/>
    </row>
    <row r="962" spans="4:4" ht="15.75" customHeight="1" x14ac:dyDescent="0.25">
      <c r="D962" s="184"/>
    </row>
    <row r="963" spans="4:4" ht="15.75" customHeight="1" x14ac:dyDescent="0.25">
      <c r="D963" s="184"/>
    </row>
    <row r="964" spans="4:4" ht="15.75" customHeight="1" x14ac:dyDescent="0.25">
      <c r="D964" s="184"/>
    </row>
    <row r="965" spans="4:4" ht="15.75" customHeight="1" x14ac:dyDescent="0.25">
      <c r="D965" s="184"/>
    </row>
    <row r="966" spans="4:4" ht="15.75" customHeight="1" x14ac:dyDescent="0.25">
      <c r="D966" s="184"/>
    </row>
    <row r="967" spans="4:4" ht="15.75" customHeight="1" x14ac:dyDescent="0.25">
      <c r="D967" s="184"/>
    </row>
    <row r="968" spans="4:4" ht="15.75" customHeight="1" x14ac:dyDescent="0.25">
      <c r="D968" s="184"/>
    </row>
    <row r="969" spans="4:4" ht="15.75" customHeight="1" x14ac:dyDescent="0.25">
      <c r="D969" s="184"/>
    </row>
    <row r="970" spans="4:4" ht="15.75" customHeight="1" x14ac:dyDescent="0.25">
      <c r="D970" s="184"/>
    </row>
    <row r="971" spans="4:4" ht="15.75" customHeight="1" x14ac:dyDescent="0.25">
      <c r="D971" s="184"/>
    </row>
    <row r="972" spans="4:4" ht="15.75" customHeight="1" x14ac:dyDescent="0.25">
      <c r="D972" s="184"/>
    </row>
    <row r="973" spans="4:4" ht="15.75" customHeight="1" x14ac:dyDescent="0.25">
      <c r="D973" s="184"/>
    </row>
    <row r="974" spans="4:4" ht="15.75" customHeight="1" x14ac:dyDescent="0.25">
      <c r="D974" s="184"/>
    </row>
    <row r="975" spans="4:4" ht="15.75" customHeight="1" x14ac:dyDescent="0.25">
      <c r="D975" s="184"/>
    </row>
    <row r="976" spans="4:4" ht="15.75" customHeight="1" x14ac:dyDescent="0.25">
      <c r="D976" s="184"/>
    </row>
    <row r="977" spans="4:4" ht="15.75" customHeight="1" x14ac:dyDescent="0.25">
      <c r="D977" s="184"/>
    </row>
    <row r="978" spans="4:4" ht="15.75" customHeight="1" x14ac:dyDescent="0.25">
      <c r="D978" s="184"/>
    </row>
    <row r="979" spans="4:4" ht="15.75" customHeight="1" x14ac:dyDescent="0.25">
      <c r="D979" s="184"/>
    </row>
    <row r="980" spans="4:4" ht="15.75" customHeight="1" x14ac:dyDescent="0.25">
      <c r="D980" s="184"/>
    </row>
    <row r="981" spans="4:4" ht="15.75" customHeight="1" x14ac:dyDescent="0.25">
      <c r="D981" s="184"/>
    </row>
    <row r="982" spans="4:4" ht="15.75" customHeight="1" x14ac:dyDescent="0.25">
      <c r="D982" s="184"/>
    </row>
    <row r="983" spans="4:4" ht="15.75" customHeight="1" x14ac:dyDescent="0.25">
      <c r="D983" s="184"/>
    </row>
    <row r="984" spans="4:4" ht="15.75" customHeight="1" x14ac:dyDescent="0.25">
      <c r="D984" s="184"/>
    </row>
    <row r="985" spans="4:4" ht="15.75" customHeight="1" x14ac:dyDescent="0.25">
      <c r="D985" s="184"/>
    </row>
    <row r="986" spans="4:4" ht="15.75" customHeight="1" x14ac:dyDescent="0.25">
      <c r="D986" s="184"/>
    </row>
    <row r="987" spans="4:4" ht="15.75" customHeight="1" x14ac:dyDescent="0.25">
      <c r="D987" s="184"/>
    </row>
    <row r="988" spans="4:4" ht="15.75" customHeight="1" x14ac:dyDescent="0.25">
      <c r="D988" s="184"/>
    </row>
    <row r="989" spans="4:4" ht="15.75" customHeight="1" x14ac:dyDescent="0.25">
      <c r="D989" s="184"/>
    </row>
    <row r="990" spans="4:4" ht="15.75" customHeight="1" x14ac:dyDescent="0.25">
      <c r="D990" s="184"/>
    </row>
    <row r="991" spans="4:4" ht="15.75" customHeight="1" x14ac:dyDescent="0.25">
      <c r="D991" s="184"/>
    </row>
    <row r="992" spans="4:4" ht="15.75" customHeight="1" x14ac:dyDescent="0.25">
      <c r="D992" s="184"/>
    </row>
    <row r="993" spans="4:4" ht="15.75" customHeight="1" x14ac:dyDescent="0.25">
      <c r="D993" s="184"/>
    </row>
    <row r="994" spans="4:4" ht="15.75" customHeight="1" x14ac:dyDescent="0.25">
      <c r="D994" s="184"/>
    </row>
    <row r="995" spans="4:4" ht="15.75" customHeight="1" x14ac:dyDescent="0.25">
      <c r="D995" s="184"/>
    </row>
    <row r="996" spans="4:4" ht="15.75" customHeight="1" x14ac:dyDescent="0.25">
      <c r="D996" s="184"/>
    </row>
    <row r="997" spans="4:4" ht="15.75" customHeight="1" x14ac:dyDescent="0.25">
      <c r="D997" s="184"/>
    </row>
    <row r="998" spans="4:4" ht="15.75" customHeight="1" x14ac:dyDescent="0.25">
      <c r="D998" s="184"/>
    </row>
    <row r="999" spans="4:4" ht="15.75" customHeight="1" x14ac:dyDescent="0.25">
      <c r="D999" s="184"/>
    </row>
    <row r="1000" spans="4:4" ht="15.75" customHeight="1" x14ac:dyDescent="0.25">
      <c r="D1000" s="184"/>
    </row>
  </sheetData>
  <mergeCells count="61">
    <mergeCell ref="H122:J122"/>
    <mergeCell ref="K122:M122"/>
    <mergeCell ref="B86:F86"/>
    <mergeCell ref="B89:F89"/>
    <mergeCell ref="B101:F101"/>
    <mergeCell ref="H102:K102"/>
    <mergeCell ref="B103:F103"/>
    <mergeCell ref="H103:K103"/>
    <mergeCell ref="H107:K107"/>
    <mergeCell ref="B79:F79"/>
    <mergeCell ref="B83:E83"/>
    <mergeCell ref="B109:F109"/>
    <mergeCell ref="B120:E120"/>
    <mergeCell ref="H121:M121"/>
    <mergeCell ref="B57:E57"/>
    <mergeCell ref="B63:F63"/>
    <mergeCell ref="B67:E67"/>
    <mergeCell ref="B70:F70"/>
    <mergeCell ref="B74:E74"/>
    <mergeCell ref="B41:E41"/>
    <mergeCell ref="C43:C47"/>
    <mergeCell ref="B48:F48"/>
    <mergeCell ref="B54:F54"/>
    <mergeCell ref="C49:C53"/>
    <mergeCell ref="B12:F12"/>
    <mergeCell ref="H23:K23"/>
    <mergeCell ref="B22:F22"/>
    <mergeCell ref="B24:F24"/>
    <mergeCell ref="B29:F29"/>
    <mergeCell ref="H24:K24"/>
    <mergeCell ref="H28:K28"/>
    <mergeCell ref="B5:F5"/>
    <mergeCell ref="H6:K6"/>
    <mergeCell ref="B7:F7"/>
    <mergeCell ref="H7:K7"/>
    <mergeCell ref="H11:K11"/>
    <mergeCell ref="H42:M42"/>
    <mergeCell ref="H43:J43"/>
    <mergeCell ref="K43:M43"/>
    <mergeCell ref="C128:C132"/>
    <mergeCell ref="C134:C135"/>
    <mergeCell ref="C80:C82"/>
    <mergeCell ref="C84:C85"/>
    <mergeCell ref="C87:C88"/>
    <mergeCell ref="C90:C94"/>
    <mergeCell ref="C122:C126"/>
    <mergeCell ref="C55:C56"/>
    <mergeCell ref="C58:C62"/>
    <mergeCell ref="C64:C66"/>
    <mergeCell ref="C68:C69"/>
    <mergeCell ref="C71:C73"/>
    <mergeCell ref="C75:C78"/>
    <mergeCell ref="C166:C167"/>
    <mergeCell ref="C169:C173"/>
    <mergeCell ref="C137:C141"/>
    <mergeCell ref="C143:C145"/>
    <mergeCell ref="C147:C148"/>
    <mergeCell ref="C150:C152"/>
    <mergeCell ref="C154:C157"/>
    <mergeCell ref="C159:C161"/>
    <mergeCell ref="C163:C164"/>
  </mergeCell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workbookViewId="0"/>
  </sheetViews>
  <sheetFormatPr baseColWidth="10" defaultColWidth="12.625" defaultRowHeight="15" customHeight="1" x14ac:dyDescent="0.2"/>
  <cols>
    <col min="1" max="3" width="10" customWidth="1"/>
    <col min="4" max="4" width="9.625" customWidth="1"/>
    <col min="5" max="5" width="9.5" customWidth="1"/>
    <col min="6" max="6" width="10.625" customWidth="1"/>
    <col min="7" max="26" width="10" customWidth="1"/>
  </cols>
  <sheetData>
    <row r="1" spans="2:12" x14ac:dyDescent="0.25">
      <c r="G1" s="123"/>
    </row>
    <row r="3" spans="2:12" x14ac:dyDescent="0.25">
      <c r="B3" s="28" t="s">
        <v>655</v>
      </c>
      <c r="C3" s="28"/>
      <c r="D3" s="28"/>
      <c r="E3" s="28"/>
      <c r="F3" s="28"/>
      <c r="G3" s="28"/>
      <c r="H3" s="28"/>
      <c r="I3" s="28"/>
      <c r="J3" s="28"/>
      <c r="K3" s="28"/>
      <c r="L3" s="28"/>
    </row>
    <row r="4" spans="2:12" x14ac:dyDescent="0.25">
      <c r="B4" s="28"/>
      <c r="C4" s="23"/>
      <c r="D4" s="23"/>
      <c r="E4" s="23"/>
      <c r="F4" s="23"/>
      <c r="G4" s="23"/>
      <c r="H4" s="28"/>
      <c r="I4" s="28"/>
      <c r="J4" s="28"/>
      <c r="K4" s="28"/>
      <c r="L4" s="28"/>
    </row>
    <row r="5" spans="2:12" x14ac:dyDescent="0.25">
      <c r="B5" s="332" t="s">
        <v>625</v>
      </c>
      <c r="C5" s="297"/>
      <c r="D5" s="297"/>
      <c r="E5" s="297"/>
      <c r="F5" s="297"/>
      <c r="G5" s="298"/>
    </row>
    <row r="6" spans="2:12" ht="24" x14ac:dyDescent="0.2">
      <c r="B6" s="4" t="s">
        <v>0</v>
      </c>
      <c r="C6" s="5" t="s">
        <v>1</v>
      </c>
      <c r="D6" s="5" t="s">
        <v>42</v>
      </c>
      <c r="E6" s="5" t="s">
        <v>43</v>
      </c>
      <c r="F6" s="5" t="s">
        <v>44</v>
      </c>
      <c r="G6" s="7" t="s">
        <v>206</v>
      </c>
      <c r="I6" s="296" t="s">
        <v>45</v>
      </c>
      <c r="J6" s="297"/>
      <c r="K6" s="297"/>
      <c r="L6" s="298"/>
    </row>
    <row r="7" spans="2:12" ht="14.25" x14ac:dyDescent="0.2">
      <c r="B7" s="310" t="s">
        <v>275</v>
      </c>
      <c r="C7" s="297"/>
      <c r="D7" s="297"/>
      <c r="E7" s="297"/>
      <c r="F7" s="297"/>
      <c r="G7" s="298"/>
      <c r="I7" s="305" t="s">
        <v>275</v>
      </c>
      <c r="J7" s="297"/>
      <c r="K7" s="297"/>
      <c r="L7" s="298"/>
    </row>
    <row r="8" spans="2:12" ht="14.25" x14ac:dyDescent="0.2">
      <c r="B8" s="9" t="s">
        <v>11</v>
      </c>
      <c r="C8" s="12" t="s">
        <v>12</v>
      </c>
      <c r="D8" s="17">
        <v>800</v>
      </c>
      <c r="E8" s="22">
        <v>805</v>
      </c>
      <c r="F8" s="11">
        <v>830</v>
      </c>
      <c r="G8" s="110">
        <f>(E8-F8)/E8</f>
        <v>-3.1055900621118012E-2</v>
      </c>
      <c r="I8" s="12"/>
      <c r="J8" s="12" t="s">
        <v>52</v>
      </c>
      <c r="K8" s="12" t="s">
        <v>53</v>
      </c>
      <c r="L8" s="12"/>
    </row>
    <row r="9" spans="2:12" ht="14.25" x14ac:dyDescent="0.2">
      <c r="B9" s="9" t="s">
        <v>11</v>
      </c>
      <c r="C9" s="12" t="s">
        <v>18</v>
      </c>
      <c r="D9" s="17">
        <v>0</v>
      </c>
      <c r="E9" s="22">
        <v>0</v>
      </c>
      <c r="F9" s="11">
        <v>0</v>
      </c>
      <c r="G9" s="110">
        <v>0</v>
      </c>
      <c r="I9" s="12" t="s">
        <v>12</v>
      </c>
      <c r="J9" s="17">
        <v>800</v>
      </c>
      <c r="K9" s="11">
        <v>830</v>
      </c>
      <c r="L9" s="17" t="s">
        <v>657</v>
      </c>
    </row>
    <row r="10" spans="2:12" ht="25.5" x14ac:dyDescent="0.2">
      <c r="B10" s="9" t="s">
        <v>21</v>
      </c>
      <c r="C10" s="12" t="s">
        <v>59</v>
      </c>
      <c r="D10" s="17">
        <v>440</v>
      </c>
      <c r="E10" s="22">
        <v>437</v>
      </c>
      <c r="F10" s="11">
        <v>437</v>
      </c>
      <c r="G10" s="110">
        <f t="shared" ref="G10:G11" si="0">(E10-F10)/E10</f>
        <v>0</v>
      </c>
      <c r="I10" s="12" t="s">
        <v>18</v>
      </c>
      <c r="J10" s="17">
        <v>0</v>
      </c>
      <c r="K10" s="11">
        <v>0</v>
      </c>
      <c r="L10" s="17" t="s">
        <v>658</v>
      </c>
    </row>
    <row r="11" spans="2:12" ht="25.5" x14ac:dyDescent="0.2">
      <c r="B11" s="9" t="s">
        <v>21</v>
      </c>
      <c r="C11" s="12" t="s">
        <v>63</v>
      </c>
      <c r="D11" s="17">
        <v>160</v>
      </c>
      <c r="E11" s="22">
        <v>185</v>
      </c>
      <c r="F11" s="11">
        <v>160</v>
      </c>
      <c r="G11" s="110">
        <f t="shared" si="0"/>
        <v>0.13513513513513514</v>
      </c>
      <c r="I11" s="305" t="s">
        <v>313</v>
      </c>
      <c r="J11" s="297"/>
      <c r="K11" s="297"/>
      <c r="L11" s="298"/>
    </row>
    <row r="12" spans="2:12" ht="14.25" x14ac:dyDescent="0.2">
      <c r="B12" s="310" t="s">
        <v>313</v>
      </c>
      <c r="C12" s="297"/>
      <c r="D12" s="297"/>
      <c r="E12" s="297"/>
      <c r="F12" s="297"/>
      <c r="G12" s="298"/>
      <c r="I12" s="12" t="s">
        <v>12</v>
      </c>
      <c r="J12" s="17">
        <v>750</v>
      </c>
      <c r="K12" s="11">
        <v>795</v>
      </c>
      <c r="L12" s="17" t="s">
        <v>659</v>
      </c>
    </row>
    <row r="13" spans="2:12" ht="14.25" x14ac:dyDescent="0.2">
      <c r="B13" s="9" t="s">
        <v>11</v>
      </c>
      <c r="C13" s="12" t="s">
        <v>12</v>
      </c>
      <c r="D13" s="17">
        <v>750</v>
      </c>
      <c r="E13" s="22">
        <v>751</v>
      </c>
      <c r="F13" s="22">
        <v>795</v>
      </c>
      <c r="G13" s="110">
        <f>(E13-F13)/E13</f>
        <v>-5.8588548601864181E-2</v>
      </c>
      <c r="I13" s="12" t="s">
        <v>18</v>
      </c>
      <c r="J13" s="17">
        <v>0</v>
      </c>
      <c r="K13" s="11">
        <v>0</v>
      </c>
      <c r="L13" s="17" t="s">
        <v>660</v>
      </c>
    </row>
    <row r="14" spans="2:12" ht="14.25" x14ac:dyDescent="0.2">
      <c r="B14" s="9" t="s">
        <v>11</v>
      </c>
      <c r="C14" s="12" t="s">
        <v>18</v>
      </c>
      <c r="D14" s="17">
        <v>0</v>
      </c>
      <c r="E14" s="22">
        <v>0</v>
      </c>
      <c r="F14" s="22">
        <v>0</v>
      </c>
      <c r="G14" s="110">
        <v>0</v>
      </c>
    </row>
    <row r="15" spans="2:12" ht="25.5" x14ac:dyDescent="0.2">
      <c r="B15" s="9" t="s">
        <v>21</v>
      </c>
      <c r="C15" s="12" t="s">
        <v>59</v>
      </c>
      <c r="D15" s="17">
        <v>430</v>
      </c>
      <c r="E15" s="22">
        <v>412</v>
      </c>
      <c r="F15" s="22">
        <v>425</v>
      </c>
      <c r="G15" s="110">
        <f t="shared" ref="G15:G16" si="1">(E15-F15)/E15</f>
        <v>-3.1553398058252427E-2</v>
      </c>
    </row>
    <row r="16" spans="2:12" ht="25.5" x14ac:dyDescent="0.2">
      <c r="B16" s="9" t="s">
        <v>21</v>
      </c>
      <c r="C16" s="12" t="s">
        <v>63</v>
      </c>
      <c r="D16" s="17">
        <v>150</v>
      </c>
      <c r="E16" s="22">
        <v>160</v>
      </c>
      <c r="F16" s="22">
        <v>155</v>
      </c>
      <c r="G16" s="110">
        <f t="shared" si="1"/>
        <v>3.125E-2</v>
      </c>
    </row>
    <row r="17" spans="1:26" x14ac:dyDescent="0.25">
      <c r="C17" s="2"/>
      <c r="D17" s="1"/>
      <c r="L17" s="21" t="s">
        <v>661</v>
      </c>
    </row>
    <row r="18" spans="1:26" x14ac:dyDescent="0.25">
      <c r="A18" s="29"/>
      <c r="B18" s="29"/>
      <c r="C18" s="32"/>
      <c r="D18" s="32"/>
      <c r="E18" s="29"/>
      <c r="F18" s="29"/>
      <c r="G18" s="29"/>
      <c r="H18" s="29"/>
      <c r="I18" s="29"/>
      <c r="J18" s="29"/>
      <c r="K18" s="29"/>
      <c r="L18" s="29"/>
      <c r="M18" s="29"/>
      <c r="N18" s="29"/>
      <c r="O18" s="29"/>
      <c r="P18" s="29"/>
      <c r="Q18" s="29"/>
      <c r="R18" s="29"/>
      <c r="S18" s="29"/>
      <c r="T18" s="29"/>
      <c r="U18" s="29"/>
      <c r="V18" s="29"/>
      <c r="W18" s="29"/>
      <c r="X18" s="29"/>
      <c r="Y18" s="29"/>
      <c r="Z18" s="29"/>
    </row>
    <row r="19" spans="1:26" x14ac:dyDescent="0.2">
      <c r="C19" s="2"/>
      <c r="D19" s="2"/>
    </row>
    <row r="20" spans="1:26" x14ac:dyDescent="0.25">
      <c r="B20" s="332" t="s">
        <v>662</v>
      </c>
      <c r="C20" s="297"/>
      <c r="D20" s="297"/>
      <c r="E20" s="297"/>
      <c r="F20" s="297"/>
      <c r="G20" s="298"/>
    </row>
    <row r="21" spans="1:26" ht="15.75" customHeight="1" x14ac:dyDescent="0.2">
      <c r="B21" s="4" t="s">
        <v>0</v>
      </c>
      <c r="C21" s="5" t="s">
        <v>1</v>
      </c>
      <c r="D21" s="5" t="s">
        <v>42</v>
      </c>
      <c r="E21" s="5" t="s">
        <v>43</v>
      </c>
      <c r="F21" s="5" t="s">
        <v>44</v>
      </c>
      <c r="G21" s="7" t="s">
        <v>206</v>
      </c>
      <c r="I21" s="296" t="s">
        <v>45</v>
      </c>
      <c r="J21" s="297"/>
      <c r="K21" s="297"/>
      <c r="L21" s="298"/>
    </row>
    <row r="22" spans="1:26" ht="15.75" customHeight="1" x14ac:dyDescent="0.2">
      <c r="B22" s="310" t="s">
        <v>275</v>
      </c>
      <c r="C22" s="297"/>
      <c r="D22" s="297"/>
      <c r="E22" s="297"/>
      <c r="F22" s="297"/>
      <c r="G22" s="298"/>
      <c r="I22" s="305" t="s">
        <v>275</v>
      </c>
      <c r="J22" s="297"/>
      <c r="K22" s="297"/>
      <c r="L22" s="298"/>
    </row>
    <row r="23" spans="1:26" ht="15.75" customHeight="1" x14ac:dyDescent="0.2">
      <c r="B23" s="9" t="s">
        <v>11</v>
      </c>
      <c r="C23" s="12" t="s">
        <v>12</v>
      </c>
      <c r="D23" s="17">
        <v>830</v>
      </c>
      <c r="E23" s="22">
        <v>877</v>
      </c>
      <c r="F23" s="11">
        <v>855</v>
      </c>
      <c r="G23" s="110">
        <f>(E23-F23)/E23</f>
        <v>2.5085518814139111E-2</v>
      </c>
      <c r="I23" s="12"/>
      <c r="J23" s="12" t="s">
        <v>52</v>
      </c>
      <c r="K23" s="12" t="s">
        <v>53</v>
      </c>
      <c r="L23" s="12"/>
    </row>
    <row r="24" spans="1:26" ht="15.75" customHeight="1" x14ac:dyDescent="0.2">
      <c r="B24" s="9" t="s">
        <v>11</v>
      </c>
      <c r="C24" s="12" t="s">
        <v>18</v>
      </c>
      <c r="D24" s="17">
        <v>0</v>
      </c>
      <c r="E24" s="22">
        <v>0</v>
      </c>
      <c r="F24" s="11">
        <v>0</v>
      </c>
      <c r="G24" s="110">
        <v>0</v>
      </c>
      <c r="I24" s="12" t="s">
        <v>12</v>
      </c>
      <c r="J24" s="17">
        <v>830</v>
      </c>
      <c r="K24" s="11">
        <v>855</v>
      </c>
      <c r="L24" s="17" t="s">
        <v>664</v>
      </c>
    </row>
    <row r="25" spans="1:26" ht="15.75" customHeight="1" x14ac:dyDescent="0.2">
      <c r="B25" s="9" t="s">
        <v>21</v>
      </c>
      <c r="C25" s="12" t="s">
        <v>59</v>
      </c>
      <c r="D25" s="17">
        <v>440</v>
      </c>
      <c r="E25" s="22">
        <v>500</v>
      </c>
      <c r="F25" s="11">
        <v>445</v>
      </c>
      <c r="G25" s="110">
        <f t="shared" ref="G25:G26" si="2">(E25-F25)/E25</f>
        <v>0.11</v>
      </c>
      <c r="I25" s="12" t="s">
        <v>18</v>
      </c>
      <c r="J25" s="17">
        <v>0</v>
      </c>
      <c r="K25" s="11">
        <v>0</v>
      </c>
      <c r="L25" s="17" t="s">
        <v>666</v>
      </c>
    </row>
    <row r="26" spans="1:26" ht="15.75" customHeight="1" x14ac:dyDescent="0.2">
      <c r="B26" s="9" t="s">
        <v>21</v>
      </c>
      <c r="C26" s="12" t="s">
        <v>63</v>
      </c>
      <c r="D26" s="17">
        <v>160</v>
      </c>
      <c r="E26" s="22">
        <v>203</v>
      </c>
      <c r="F26" s="11">
        <v>164</v>
      </c>
      <c r="G26" s="110">
        <f t="shared" si="2"/>
        <v>0.19211822660098521</v>
      </c>
      <c r="I26" s="305" t="s">
        <v>313</v>
      </c>
      <c r="J26" s="297"/>
      <c r="K26" s="297"/>
      <c r="L26" s="298"/>
    </row>
    <row r="27" spans="1:26" ht="15.75" customHeight="1" x14ac:dyDescent="0.2">
      <c r="B27" s="310" t="s">
        <v>313</v>
      </c>
      <c r="C27" s="297"/>
      <c r="D27" s="297"/>
      <c r="E27" s="297"/>
      <c r="F27" s="297"/>
      <c r="G27" s="298"/>
      <c r="I27" s="12" t="s">
        <v>12</v>
      </c>
      <c r="J27" s="17">
        <v>795</v>
      </c>
      <c r="K27" s="11">
        <v>830</v>
      </c>
      <c r="L27" s="17" t="s">
        <v>670</v>
      </c>
    </row>
    <row r="28" spans="1:26" ht="15.75" customHeight="1" x14ac:dyDescent="0.2">
      <c r="B28" s="9" t="s">
        <v>11</v>
      </c>
      <c r="C28" s="12" t="s">
        <v>12</v>
      </c>
      <c r="D28" s="17">
        <v>795</v>
      </c>
      <c r="E28" s="22">
        <v>816</v>
      </c>
      <c r="F28" s="22">
        <v>830</v>
      </c>
      <c r="G28" s="110">
        <f>(E28-F28)/E28</f>
        <v>-1.7156862745098041E-2</v>
      </c>
      <c r="I28" s="12" t="s">
        <v>18</v>
      </c>
      <c r="J28" s="17">
        <v>0</v>
      </c>
      <c r="K28" s="11">
        <v>0</v>
      </c>
      <c r="L28" s="17" t="s">
        <v>672</v>
      </c>
    </row>
    <row r="29" spans="1:26" ht="15.75" customHeight="1" x14ac:dyDescent="0.2">
      <c r="B29" s="9" t="s">
        <v>11</v>
      </c>
      <c r="C29" s="12" t="s">
        <v>18</v>
      </c>
      <c r="D29" s="17">
        <v>0</v>
      </c>
      <c r="E29" s="22">
        <v>0</v>
      </c>
      <c r="F29" s="22">
        <v>0</v>
      </c>
      <c r="G29" s="110">
        <v>0</v>
      </c>
    </row>
    <row r="30" spans="1:26" ht="15.75" customHeight="1" x14ac:dyDescent="0.2">
      <c r="B30" s="9" t="s">
        <v>21</v>
      </c>
      <c r="C30" s="12" t="s">
        <v>59</v>
      </c>
      <c r="D30" s="17">
        <v>430</v>
      </c>
      <c r="E30" s="22">
        <v>457</v>
      </c>
      <c r="F30" s="22">
        <v>428</v>
      </c>
      <c r="G30" s="110">
        <f t="shared" ref="G30:G31" si="3">(E30-F30)/E30</f>
        <v>6.3457330415754923E-2</v>
      </c>
    </row>
    <row r="31" spans="1:26" ht="15.75" customHeight="1" x14ac:dyDescent="0.2">
      <c r="B31" s="9" t="s">
        <v>21</v>
      </c>
      <c r="C31" s="12" t="s">
        <v>63</v>
      </c>
      <c r="D31" s="17">
        <v>150</v>
      </c>
      <c r="E31" s="22">
        <v>184</v>
      </c>
      <c r="F31" s="22">
        <v>153</v>
      </c>
      <c r="G31" s="110">
        <f t="shared" si="3"/>
        <v>0.16847826086956522</v>
      </c>
    </row>
    <row r="32" spans="1:26" ht="15.75" customHeight="1" x14ac:dyDescent="0.2"/>
    <row r="33" spans="1:26" ht="15.75" customHeight="1" x14ac:dyDescent="0.25">
      <c r="A33" s="326"/>
      <c r="B33" s="327"/>
      <c r="C33" s="327"/>
      <c r="D33" s="327"/>
      <c r="E33" s="327"/>
      <c r="F33" s="327"/>
      <c r="G33" s="327"/>
      <c r="H33" s="327"/>
      <c r="I33" s="327"/>
      <c r="J33" s="327"/>
      <c r="K33" s="327"/>
      <c r="L33" s="327"/>
      <c r="M33" s="327"/>
      <c r="N33" s="327"/>
      <c r="O33" s="327"/>
      <c r="P33" s="327"/>
      <c r="Q33" s="327"/>
      <c r="R33" s="327"/>
      <c r="S33" s="327"/>
      <c r="T33" s="328"/>
      <c r="U33" s="29"/>
      <c r="V33" s="29"/>
      <c r="W33" s="29"/>
      <c r="X33" s="29"/>
      <c r="Y33" s="29"/>
      <c r="Z33" s="29"/>
    </row>
    <row r="34" spans="1:26" ht="15.75" customHeight="1" x14ac:dyDescent="0.2"/>
    <row r="35" spans="1:26" ht="15.75" customHeight="1" x14ac:dyDescent="0.25">
      <c r="A35" s="21" t="s">
        <v>675</v>
      </c>
    </row>
    <row r="36" spans="1:26" ht="15.75" customHeight="1" x14ac:dyDescent="0.2">
      <c r="B36" s="4" t="s">
        <v>0</v>
      </c>
      <c r="C36" s="5" t="s">
        <v>1</v>
      </c>
      <c r="D36" s="5" t="s">
        <v>42</v>
      </c>
      <c r="E36" s="5" t="s">
        <v>43</v>
      </c>
      <c r="F36" s="5" t="s">
        <v>44</v>
      </c>
      <c r="H36" s="296" t="s">
        <v>45</v>
      </c>
      <c r="I36" s="297"/>
      <c r="J36" s="297"/>
      <c r="K36" s="298"/>
      <c r="M36" s="324" t="s">
        <v>146</v>
      </c>
      <c r="N36" s="315"/>
      <c r="O36" s="315"/>
      <c r="P36" s="315"/>
      <c r="Q36" s="315"/>
    </row>
    <row r="37" spans="1:26" ht="15.75" customHeight="1" x14ac:dyDescent="0.2">
      <c r="B37" s="310" t="s">
        <v>8</v>
      </c>
      <c r="C37" s="297"/>
      <c r="D37" s="297"/>
      <c r="E37" s="297"/>
      <c r="F37" s="306"/>
      <c r="H37" s="305" t="s">
        <v>10</v>
      </c>
      <c r="I37" s="297"/>
      <c r="J37" s="297"/>
      <c r="K37" s="298"/>
      <c r="M37" s="315"/>
      <c r="N37" s="315"/>
      <c r="O37" s="315"/>
      <c r="P37" s="315"/>
      <c r="Q37" s="315"/>
    </row>
    <row r="38" spans="1:26" ht="15.75" customHeight="1" x14ac:dyDescent="0.2">
      <c r="B38" s="9" t="s">
        <v>11</v>
      </c>
      <c r="C38" s="12" t="s">
        <v>12</v>
      </c>
      <c r="D38" s="11">
        <v>520</v>
      </c>
      <c r="E38" s="22"/>
      <c r="F38" s="11">
        <v>520</v>
      </c>
      <c r="H38" s="12"/>
      <c r="I38" s="12" t="s">
        <v>52</v>
      </c>
      <c r="J38" s="12" t="s">
        <v>53</v>
      </c>
      <c r="K38" s="12"/>
      <c r="M38" s="315"/>
      <c r="N38" s="315"/>
      <c r="O38" s="315"/>
      <c r="P38" s="315"/>
      <c r="Q38" s="315"/>
    </row>
    <row r="39" spans="1:26" ht="15.75" customHeight="1" x14ac:dyDescent="0.2">
      <c r="B39" s="9" t="s">
        <v>11</v>
      </c>
      <c r="C39" s="12" t="s">
        <v>18</v>
      </c>
      <c r="D39" s="11">
        <v>0</v>
      </c>
      <c r="E39" s="22">
        <v>0</v>
      </c>
      <c r="F39" s="11">
        <v>0</v>
      </c>
      <c r="H39" s="12" t="s">
        <v>12</v>
      </c>
      <c r="I39" s="17"/>
      <c r="J39" s="11">
        <v>520</v>
      </c>
      <c r="K39" s="17" t="s">
        <v>679</v>
      </c>
      <c r="M39" s="315"/>
      <c r="N39" s="315"/>
      <c r="O39" s="315"/>
      <c r="P39" s="315"/>
      <c r="Q39" s="315"/>
    </row>
    <row r="40" spans="1:26" ht="15.75" customHeight="1" x14ac:dyDescent="0.2">
      <c r="B40" s="9" t="s">
        <v>21</v>
      </c>
      <c r="C40" s="12" t="s">
        <v>59</v>
      </c>
      <c r="D40" s="11">
        <v>440</v>
      </c>
      <c r="E40" s="22"/>
      <c r="F40" s="11">
        <v>451</v>
      </c>
      <c r="H40" s="12" t="s">
        <v>18</v>
      </c>
      <c r="I40" s="17"/>
      <c r="J40" s="11">
        <v>0</v>
      </c>
      <c r="K40" s="17" t="s">
        <v>682</v>
      </c>
      <c r="M40" s="315"/>
      <c r="N40" s="315"/>
      <c r="O40" s="315"/>
      <c r="P40" s="315"/>
      <c r="Q40" s="315"/>
    </row>
    <row r="41" spans="1:26" ht="15.75" customHeight="1" x14ac:dyDescent="0.2">
      <c r="B41" s="9" t="s">
        <v>21</v>
      </c>
      <c r="C41" s="12" t="s">
        <v>63</v>
      </c>
      <c r="D41" s="11">
        <v>160</v>
      </c>
      <c r="E41" s="22"/>
      <c r="F41" s="11">
        <v>169</v>
      </c>
      <c r="H41" s="305" t="s">
        <v>23</v>
      </c>
      <c r="I41" s="297"/>
      <c r="J41" s="297"/>
      <c r="K41" s="298"/>
      <c r="M41" s="315"/>
      <c r="N41" s="315"/>
      <c r="O41" s="315"/>
      <c r="P41" s="315"/>
      <c r="Q41" s="315"/>
    </row>
    <row r="42" spans="1:26" ht="15.75" customHeight="1" x14ac:dyDescent="0.2">
      <c r="B42" s="310" t="s">
        <v>29</v>
      </c>
      <c r="C42" s="297"/>
      <c r="D42" s="297"/>
      <c r="E42" s="297"/>
      <c r="F42" s="306"/>
      <c r="H42" s="12" t="s">
        <v>12</v>
      </c>
      <c r="I42" s="17"/>
      <c r="J42" s="11">
        <v>500</v>
      </c>
      <c r="K42" s="17" t="s">
        <v>686</v>
      </c>
      <c r="M42" s="315"/>
      <c r="N42" s="315"/>
      <c r="O42" s="315"/>
      <c r="P42" s="315"/>
      <c r="Q42" s="315"/>
    </row>
    <row r="43" spans="1:26" ht="15.75" customHeight="1" x14ac:dyDescent="0.2">
      <c r="B43" s="9" t="s">
        <v>11</v>
      </c>
      <c r="C43" s="12" t="s">
        <v>12</v>
      </c>
      <c r="D43" s="11"/>
      <c r="E43" s="22"/>
      <c r="F43" s="22">
        <v>500</v>
      </c>
      <c r="H43" s="12" t="s">
        <v>18</v>
      </c>
      <c r="I43" s="17"/>
      <c r="J43" s="11">
        <v>0</v>
      </c>
      <c r="K43" s="17" t="s">
        <v>691</v>
      </c>
      <c r="M43" s="315"/>
      <c r="N43" s="315"/>
      <c r="O43" s="315"/>
      <c r="P43" s="315"/>
      <c r="Q43" s="315"/>
    </row>
    <row r="44" spans="1:26" ht="15.75" customHeight="1" x14ac:dyDescent="0.2">
      <c r="B44" s="9" t="s">
        <v>11</v>
      </c>
      <c r="C44" s="12" t="s">
        <v>18</v>
      </c>
      <c r="D44" s="11">
        <v>0</v>
      </c>
      <c r="E44" s="22">
        <v>0</v>
      </c>
      <c r="F44" s="22">
        <v>0</v>
      </c>
      <c r="M44" s="315"/>
      <c r="N44" s="315"/>
      <c r="O44" s="315"/>
      <c r="P44" s="315"/>
      <c r="Q44" s="315"/>
    </row>
    <row r="45" spans="1:26" ht="15.75" customHeight="1" x14ac:dyDescent="0.2">
      <c r="B45" s="9" t="s">
        <v>21</v>
      </c>
      <c r="C45" s="12" t="s">
        <v>59</v>
      </c>
      <c r="D45" s="11">
        <v>430</v>
      </c>
      <c r="E45" s="22"/>
      <c r="F45" s="22">
        <v>427</v>
      </c>
    </row>
    <row r="46" spans="1:26" ht="15.75" customHeight="1" x14ac:dyDescent="0.2">
      <c r="B46" s="9" t="s">
        <v>21</v>
      </c>
      <c r="C46" s="12" t="s">
        <v>63</v>
      </c>
      <c r="D46" s="11">
        <v>150</v>
      </c>
      <c r="E46" s="22"/>
      <c r="F46" s="22">
        <v>156</v>
      </c>
    </row>
    <row r="47" spans="1:26" ht="15.75" customHeight="1" x14ac:dyDescent="0.2">
      <c r="C47" s="49"/>
    </row>
    <row r="48" spans="1:26" ht="15.75" customHeight="1" x14ac:dyDescent="0.2"/>
    <row r="49" spans="1:26" ht="15.75" customHeight="1" x14ac:dyDescent="0.25">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1:26" ht="15.75" customHeight="1" x14ac:dyDescent="0.2"/>
    <row r="51" spans="1:26" ht="15.75" customHeight="1" x14ac:dyDescent="0.2"/>
    <row r="52" spans="1:26" ht="15.75" customHeight="1" x14ac:dyDescent="0.25">
      <c r="A52" s="21" t="s">
        <v>655</v>
      </c>
    </row>
    <row r="53" spans="1:26" ht="15.75" customHeight="1" x14ac:dyDescent="0.2">
      <c r="B53" s="4" t="s">
        <v>0</v>
      </c>
      <c r="C53" s="5" t="s">
        <v>1</v>
      </c>
      <c r="D53" s="5" t="s">
        <v>42</v>
      </c>
      <c r="E53" s="5" t="s">
        <v>43</v>
      </c>
      <c r="F53" s="5" t="s">
        <v>44</v>
      </c>
      <c r="H53" s="296" t="s">
        <v>45</v>
      </c>
      <c r="I53" s="297"/>
      <c r="J53" s="297"/>
      <c r="K53" s="298"/>
      <c r="M53" s="324" t="s">
        <v>696</v>
      </c>
      <c r="N53" s="315"/>
      <c r="O53" s="315"/>
      <c r="P53" s="315"/>
      <c r="Q53" s="315"/>
      <c r="R53" s="315"/>
    </row>
    <row r="54" spans="1:26" ht="15.75" customHeight="1" x14ac:dyDescent="0.2">
      <c r="B54" s="310" t="s">
        <v>8</v>
      </c>
      <c r="C54" s="297"/>
      <c r="D54" s="297"/>
      <c r="E54" s="297"/>
      <c r="F54" s="306"/>
      <c r="H54" s="305" t="s">
        <v>10</v>
      </c>
      <c r="I54" s="297"/>
      <c r="J54" s="297"/>
      <c r="K54" s="298"/>
      <c r="M54" s="315"/>
      <c r="N54" s="315"/>
      <c r="O54" s="315"/>
      <c r="P54" s="315"/>
      <c r="Q54" s="315"/>
      <c r="R54" s="315"/>
    </row>
    <row r="55" spans="1:26" ht="15.75" customHeight="1" x14ac:dyDescent="0.2">
      <c r="B55" s="9" t="s">
        <v>11</v>
      </c>
      <c r="C55" s="12" t="s">
        <v>12</v>
      </c>
      <c r="D55" s="11">
        <v>855</v>
      </c>
      <c r="E55" s="22">
        <v>855</v>
      </c>
      <c r="F55" s="11">
        <v>920</v>
      </c>
      <c r="H55" s="12"/>
      <c r="I55" s="12" t="s">
        <v>52</v>
      </c>
      <c r="J55" s="12" t="s">
        <v>53</v>
      </c>
      <c r="K55" s="12"/>
      <c r="M55" s="315"/>
      <c r="N55" s="315"/>
      <c r="O55" s="315"/>
      <c r="P55" s="315"/>
      <c r="Q55" s="315"/>
      <c r="R55" s="315"/>
    </row>
    <row r="56" spans="1:26" ht="15.75" customHeight="1" x14ac:dyDescent="0.2">
      <c r="B56" s="9" t="s">
        <v>11</v>
      </c>
      <c r="C56" s="12" t="s">
        <v>18</v>
      </c>
      <c r="D56" s="11">
        <v>0</v>
      </c>
      <c r="E56" s="22">
        <v>0</v>
      </c>
      <c r="F56" s="11">
        <v>0</v>
      </c>
      <c r="H56" s="12" t="s">
        <v>12</v>
      </c>
      <c r="I56" s="17">
        <v>855</v>
      </c>
      <c r="J56" s="11">
        <v>920</v>
      </c>
      <c r="K56" s="17" t="s">
        <v>697</v>
      </c>
      <c r="M56" s="315"/>
      <c r="N56" s="315"/>
      <c r="O56" s="315"/>
      <c r="P56" s="315"/>
      <c r="Q56" s="315"/>
      <c r="R56" s="315"/>
    </row>
    <row r="57" spans="1:26" ht="15.75" customHeight="1" x14ac:dyDescent="0.2">
      <c r="B57" s="9" t="s">
        <v>21</v>
      </c>
      <c r="C57" s="12" t="s">
        <v>59</v>
      </c>
      <c r="D57" s="11">
        <v>440</v>
      </c>
      <c r="E57" s="22">
        <v>652</v>
      </c>
      <c r="F57" s="11">
        <v>435</v>
      </c>
      <c r="H57" s="12" t="s">
        <v>18</v>
      </c>
      <c r="I57" s="17">
        <v>0</v>
      </c>
      <c r="J57" s="11">
        <v>0</v>
      </c>
      <c r="K57" s="17" t="s">
        <v>698</v>
      </c>
      <c r="M57" s="315"/>
      <c r="N57" s="315"/>
      <c r="O57" s="315"/>
      <c r="P57" s="315"/>
      <c r="Q57" s="315"/>
      <c r="R57" s="315"/>
    </row>
    <row r="58" spans="1:26" ht="15.75" customHeight="1" x14ac:dyDescent="0.2">
      <c r="B58" s="9" t="s">
        <v>21</v>
      </c>
      <c r="C58" s="12" t="s">
        <v>63</v>
      </c>
      <c r="D58" s="11">
        <v>160</v>
      </c>
      <c r="E58" s="22">
        <v>256</v>
      </c>
      <c r="F58" s="11">
        <v>157</v>
      </c>
      <c r="H58" s="305" t="s">
        <v>23</v>
      </c>
      <c r="I58" s="297"/>
      <c r="J58" s="297"/>
      <c r="K58" s="298"/>
      <c r="M58" s="315"/>
      <c r="N58" s="315"/>
      <c r="O58" s="315"/>
      <c r="P58" s="315"/>
      <c r="Q58" s="315"/>
      <c r="R58" s="315"/>
    </row>
    <row r="59" spans="1:26" ht="15.75" customHeight="1" x14ac:dyDescent="0.2">
      <c r="B59" s="9" t="s">
        <v>21</v>
      </c>
      <c r="C59" s="12" t="s">
        <v>699</v>
      </c>
      <c r="D59" s="11">
        <v>0</v>
      </c>
      <c r="E59" s="22">
        <v>115</v>
      </c>
      <c r="F59" s="11">
        <v>0</v>
      </c>
      <c r="H59" s="12" t="s">
        <v>12</v>
      </c>
      <c r="I59" s="17">
        <v>830</v>
      </c>
      <c r="J59" s="11">
        <v>880</v>
      </c>
      <c r="K59" s="17" t="s">
        <v>700</v>
      </c>
      <c r="M59" s="315"/>
      <c r="N59" s="315"/>
      <c r="O59" s="315"/>
      <c r="P59" s="315"/>
      <c r="Q59" s="315"/>
      <c r="R59" s="315"/>
    </row>
    <row r="60" spans="1:26" ht="15.75" customHeight="1" x14ac:dyDescent="0.2">
      <c r="B60" s="310" t="s">
        <v>29</v>
      </c>
      <c r="C60" s="297"/>
      <c r="D60" s="297"/>
      <c r="E60" s="297"/>
      <c r="F60" s="306"/>
      <c r="H60" s="12" t="s">
        <v>18</v>
      </c>
      <c r="I60" s="17">
        <v>0</v>
      </c>
      <c r="J60" s="11">
        <v>0</v>
      </c>
      <c r="K60" s="17" t="s">
        <v>701</v>
      </c>
      <c r="M60" s="315"/>
      <c r="N60" s="315"/>
      <c r="O60" s="315"/>
      <c r="P60" s="315"/>
      <c r="Q60" s="315"/>
      <c r="R60" s="315"/>
    </row>
    <row r="61" spans="1:26" ht="15.75" customHeight="1" x14ac:dyDescent="0.2">
      <c r="B61" s="9" t="s">
        <v>11</v>
      </c>
      <c r="C61" s="12" t="s">
        <v>12</v>
      </c>
      <c r="D61" s="11">
        <v>830</v>
      </c>
      <c r="E61" s="22">
        <v>830</v>
      </c>
      <c r="F61" s="22">
        <v>880</v>
      </c>
      <c r="M61" s="315"/>
      <c r="N61" s="315"/>
      <c r="O61" s="315"/>
      <c r="P61" s="315"/>
      <c r="Q61" s="315"/>
      <c r="R61" s="315"/>
    </row>
    <row r="62" spans="1:26" ht="15.75" customHeight="1" x14ac:dyDescent="0.2">
      <c r="B62" s="9" t="s">
        <v>11</v>
      </c>
      <c r="C62" s="12" t="s">
        <v>18</v>
      </c>
      <c r="D62" s="11">
        <v>0</v>
      </c>
      <c r="E62" s="22">
        <v>0</v>
      </c>
      <c r="F62" s="22">
        <v>0</v>
      </c>
    </row>
    <row r="63" spans="1:26" ht="15.75" customHeight="1" x14ac:dyDescent="0.2">
      <c r="B63" s="9" t="s">
        <v>21</v>
      </c>
      <c r="C63" s="12" t="s">
        <v>59</v>
      </c>
      <c r="D63" s="11">
        <v>420</v>
      </c>
      <c r="E63" s="22">
        <v>634</v>
      </c>
      <c r="F63" s="22">
        <v>410</v>
      </c>
    </row>
    <row r="64" spans="1:26" ht="15.75" customHeight="1" x14ac:dyDescent="0.2">
      <c r="B64" s="9" t="s">
        <v>21</v>
      </c>
      <c r="C64" s="12" t="s">
        <v>63</v>
      </c>
      <c r="D64" s="11">
        <v>140</v>
      </c>
      <c r="E64" s="22">
        <v>237</v>
      </c>
      <c r="F64" s="22">
        <v>149</v>
      </c>
    </row>
    <row r="65" spans="1:15" ht="15.75" customHeight="1" x14ac:dyDescent="0.2">
      <c r="B65" s="9" t="s">
        <v>21</v>
      </c>
      <c r="C65" s="12" t="s">
        <v>699</v>
      </c>
      <c r="D65" s="11">
        <v>0</v>
      </c>
      <c r="E65" s="22">
        <v>93</v>
      </c>
      <c r="F65" s="11">
        <v>0</v>
      </c>
    </row>
    <row r="66" spans="1:15" ht="15.75" customHeight="1" x14ac:dyDescent="0.2"/>
    <row r="67" spans="1:15" ht="15.75" customHeight="1" x14ac:dyDescent="0.2"/>
    <row r="68" spans="1:15" ht="15.75" customHeight="1" x14ac:dyDescent="0.2"/>
    <row r="69" spans="1:15" ht="15.75" customHeight="1" x14ac:dyDescent="0.2"/>
    <row r="70" spans="1:15" ht="15.75" customHeight="1" x14ac:dyDescent="0.2">
      <c r="A70" s="339" t="s">
        <v>372</v>
      </c>
      <c r="B70" s="334"/>
      <c r="C70" s="334"/>
      <c r="D70" s="334"/>
      <c r="E70" s="334"/>
      <c r="F70" s="334"/>
      <c r="G70" s="334"/>
      <c r="H70" s="334"/>
      <c r="I70" s="334"/>
      <c r="J70" s="334"/>
      <c r="K70" s="334"/>
      <c r="L70" s="334"/>
      <c r="M70" s="334"/>
      <c r="N70" s="334"/>
      <c r="O70" s="335"/>
    </row>
    <row r="71" spans="1:15" ht="15.75" customHeight="1" x14ac:dyDescent="0.25">
      <c r="A71" s="340" t="s">
        <v>373</v>
      </c>
      <c r="B71" s="334"/>
      <c r="C71" s="335"/>
      <c r="D71" s="340" t="s">
        <v>375</v>
      </c>
      <c r="E71" s="334"/>
      <c r="F71" s="335"/>
      <c r="G71" s="336" t="s">
        <v>376</v>
      </c>
      <c r="H71" s="334"/>
      <c r="I71" s="335"/>
      <c r="J71" s="336" t="s">
        <v>377</v>
      </c>
      <c r="K71" s="334"/>
      <c r="L71" s="334"/>
      <c r="M71" s="334"/>
      <c r="N71" s="334"/>
      <c r="O71" s="335"/>
    </row>
    <row r="72" spans="1:15" ht="15.75" customHeight="1" x14ac:dyDescent="0.2">
      <c r="A72" s="340"/>
      <c r="B72" s="334"/>
      <c r="C72" s="335"/>
      <c r="D72" s="167" t="s">
        <v>379</v>
      </c>
      <c r="E72" s="167" t="s">
        <v>380</v>
      </c>
      <c r="F72" s="93" t="s">
        <v>381</v>
      </c>
      <c r="G72" s="167" t="s">
        <v>379</v>
      </c>
      <c r="H72" s="167" t="s">
        <v>380</v>
      </c>
      <c r="I72" s="93" t="s">
        <v>381</v>
      </c>
      <c r="J72" s="341"/>
      <c r="K72" s="334"/>
      <c r="L72" s="334"/>
      <c r="M72" s="334"/>
      <c r="N72" s="334"/>
      <c r="O72" s="335"/>
    </row>
    <row r="73" spans="1:15" ht="15.75" customHeight="1" x14ac:dyDescent="0.25">
      <c r="A73" s="333" t="s">
        <v>383</v>
      </c>
      <c r="B73" s="334"/>
      <c r="C73" s="335"/>
      <c r="D73" s="171"/>
      <c r="E73" s="172"/>
      <c r="F73" s="173" t="s">
        <v>385</v>
      </c>
      <c r="G73" s="174" t="s">
        <v>385</v>
      </c>
      <c r="H73" s="174"/>
      <c r="I73" s="174"/>
      <c r="J73" s="333" t="s">
        <v>702</v>
      </c>
      <c r="K73" s="334"/>
      <c r="L73" s="334"/>
      <c r="M73" s="334"/>
      <c r="N73" s="334"/>
      <c r="O73" s="335"/>
    </row>
    <row r="74" spans="1:15" ht="15.75" customHeight="1" x14ac:dyDescent="0.25">
      <c r="A74" s="333" t="s">
        <v>389</v>
      </c>
      <c r="B74" s="334"/>
      <c r="C74" s="335"/>
      <c r="D74" s="173"/>
      <c r="E74" s="173" t="s">
        <v>385</v>
      </c>
      <c r="F74" s="173"/>
      <c r="G74" s="173" t="s">
        <v>385</v>
      </c>
      <c r="H74" s="173"/>
      <c r="I74" s="173"/>
      <c r="J74" s="333" t="s">
        <v>390</v>
      </c>
      <c r="K74" s="334"/>
      <c r="L74" s="334"/>
      <c r="M74" s="334"/>
      <c r="N74" s="334"/>
      <c r="O74" s="335"/>
    </row>
    <row r="75" spans="1:15" ht="15.75" customHeight="1" x14ac:dyDescent="0.25">
      <c r="A75" s="333" t="s">
        <v>391</v>
      </c>
      <c r="B75" s="334"/>
      <c r="C75" s="335"/>
      <c r="D75" s="173" t="s">
        <v>385</v>
      </c>
      <c r="E75" s="173"/>
      <c r="F75" s="173"/>
      <c r="G75" s="173" t="s">
        <v>385</v>
      </c>
      <c r="H75" s="173"/>
      <c r="I75" s="173"/>
      <c r="J75" s="333" t="s">
        <v>392</v>
      </c>
      <c r="K75" s="334"/>
      <c r="L75" s="334"/>
      <c r="M75" s="334"/>
      <c r="N75" s="334"/>
      <c r="O75" s="335"/>
    </row>
    <row r="76" spans="1:15" ht="15.75" customHeight="1" x14ac:dyDescent="0.25">
      <c r="A76" s="333" t="s">
        <v>393</v>
      </c>
      <c r="B76" s="334"/>
      <c r="C76" s="335"/>
      <c r="D76" s="173" t="s">
        <v>385</v>
      </c>
      <c r="E76" s="173"/>
      <c r="F76" s="173"/>
      <c r="G76" s="173" t="s">
        <v>385</v>
      </c>
      <c r="H76" s="173"/>
      <c r="I76" s="173"/>
      <c r="J76" s="333" t="s">
        <v>394</v>
      </c>
      <c r="K76" s="334"/>
      <c r="L76" s="334"/>
      <c r="M76" s="334"/>
      <c r="N76" s="334"/>
      <c r="O76" s="335"/>
    </row>
    <row r="77" spans="1:15" ht="15.75" customHeight="1" x14ac:dyDescent="0.25">
      <c r="A77" s="333" t="s">
        <v>395</v>
      </c>
      <c r="B77" s="334"/>
      <c r="C77" s="335"/>
      <c r="D77" s="173" t="s">
        <v>385</v>
      </c>
      <c r="E77" s="173"/>
      <c r="F77" s="173"/>
      <c r="G77" s="173" t="s">
        <v>385</v>
      </c>
      <c r="H77" s="173"/>
      <c r="I77" s="173"/>
      <c r="J77" s="333" t="s">
        <v>397</v>
      </c>
      <c r="K77" s="334"/>
      <c r="L77" s="334"/>
      <c r="M77" s="334"/>
      <c r="N77" s="334"/>
      <c r="O77" s="335"/>
    </row>
    <row r="78" spans="1:15" ht="15.75" customHeight="1" x14ac:dyDescent="0.25">
      <c r="A78" s="333" t="s">
        <v>398</v>
      </c>
      <c r="B78" s="334"/>
      <c r="C78" s="335"/>
      <c r="D78" s="173"/>
      <c r="E78" s="173" t="s">
        <v>385</v>
      </c>
      <c r="F78" s="173"/>
      <c r="G78" s="173" t="s">
        <v>385</v>
      </c>
      <c r="H78" s="173"/>
      <c r="I78" s="173"/>
      <c r="J78" s="333" t="s">
        <v>479</v>
      </c>
      <c r="K78" s="334"/>
      <c r="L78" s="334"/>
      <c r="M78" s="334"/>
      <c r="N78" s="334"/>
      <c r="O78" s="335"/>
    </row>
    <row r="79" spans="1:15" ht="15.75" customHeight="1" x14ac:dyDescent="0.25">
      <c r="A79" s="333" t="s">
        <v>401</v>
      </c>
      <c r="B79" s="334"/>
      <c r="C79" s="335"/>
      <c r="D79" s="173" t="s">
        <v>385</v>
      </c>
      <c r="E79" s="173"/>
      <c r="F79" s="173"/>
      <c r="G79" s="173" t="s">
        <v>385</v>
      </c>
      <c r="H79" s="173"/>
      <c r="I79" s="173"/>
      <c r="J79" s="333" t="s">
        <v>402</v>
      </c>
      <c r="K79" s="334"/>
      <c r="L79" s="334"/>
      <c r="M79" s="334"/>
      <c r="N79" s="334"/>
      <c r="O79" s="335"/>
    </row>
    <row r="80" spans="1:15" ht="15.75" customHeight="1" x14ac:dyDescent="0.25">
      <c r="A80" s="333" t="s">
        <v>403</v>
      </c>
      <c r="B80" s="334"/>
      <c r="C80" s="335"/>
      <c r="D80" s="173"/>
      <c r="E80" s="173"/>
      <c r="F80" s="173" t="s">
        <v>385</v>
      </c>
      <c r="G80" s="173" t="s">
        <v>385</v>
      </c>
      <c r="H80" s="173"/>
      <c r="I80" s="173"/>
      <c r="J80" s="333" t="s">
        <v>404</v>
      </c>
      <c r="K80" s="334"/>
      <c r="L80" s="334"/>
      <c r="M80" s="334"/>
      <c r="N80" s="334"/>
      <c r="O80" s="335"/>
    </row>
    <row r="81" spans="1:20" ht="15.75" customHeight="1" x14ac:dyDescent="0.25">
      <c r="A81" s="333" t="s">
        <v>405</v>
      </c>
      <c r="B81" s="334"/>
      <c r="C81" s="335"/>
      <c r="D81" s="173"/>
      <c r="E81" s="173" t="s">
        <v>385</v>
      </c>
      <c r="F81" s="173"/>
      <c r="G81" s="173" t="s">
        <v>385</v>
      </c>
      <c r="H81" s="173"/>
      <c r="I81" s="173"/>
      <c r="J81" s="333" t="s">
        <v>407</v>
      </c>
      <c r="K81" s="334"/>
      <c r="L81" s="334"/>
      <c r="M81" s="334"/>
      <c r="N81" s="334"/>
      <c r="O81" s="335"/>
    </row>
    <row r="82" spans="1:20" ht="15.75" customHeight="1" x14ac:dyDescent="0.25">
      <c r="A82" s="333" t="s">
        <v>408</v>
      </c>
      <c r="B82" s="334"/>
      <c r="C82" s="335"/>
      <c r="D82" s="173" t="s">
        <v>385</v>
      </c>
      <c r="E82" s="173"/>
      <c r="F82" s="173"/>
      <c r="G82" s="173" t="s">
        <v>385</v>
      </c>
      <c r="H82" s="173"/>
      <c r="I82" s="173"/>
      <c r="J82" s="333" t="s">
        <v>483</v>
      </c>
      <c r="K82" s="334"/>
      <c r="L82" s="334"/>
      <c r="M82" s="334"/>
      <c r="N82" s="334"/>
      <c r="O82" s="335"/>
    </row>
    <row r="83" spans="1:20" ht="15.75" customHeight="1" x14ac:dyDescent="0.25">
      <c r="A83" s="333" t="s">
        <v>411</v>
      </c>
      <c r="B83" s="334"/>
      <c r="C83" s="335"/>
      <c r="D83" s="173"/>
      <c r="E83" s="173" t="s">
        <v>385</v>
      </c>
      <c r="F83" s="173"/>
      <c r="G83" s="173"/>
      <c r="H83" s="173" t="s">
        <v>385</v>
      </c>
      <c r="I83" s="173"/>
      <c r="J83" s="333" t="s">
        <v>412</v>
      </c>
      <c r="K83" s="334"/>
      <c r="L83" s="334"/>
      <c r="M83" s="334"/>
      <c r="N83" s="334"/>
      <c r="O83" s="335"/>
    </row>
    <row r="84" spans="1:20" ht="15.75" customHeight="1" x14ac:dyDescent="0.25">
      <c r="A84" s="333" t="s">
        <v>413</v>
      </c>
      <c r="B84" s="334"/>
      <c r="C84" s="335"/>
      <c r="D84" s="173" t="s">
        <v>385</v>
      </c>
      <c r="E84" s="173"/>
      <c r="F84" s="173"/>
      <c r="G84" s="173" t="s">
        <v>385</v>
      </c>
      <c r="H84" s="173"/>
      <c r="I84" s="173"/>
      <c r="J84" s="333" t="s">
        <v>414</v>
      </c>
      <c r="K84" s="334"/>
      <c r="L84" s="334"/>
      <c r="M84" s="334"/>
      <c r="N84" s="334"/>
      <c r="O84" s="335"/>
    </row>
    <row r="85" spans="1:20" ht="15.75" customHeight="1" x14ac:dyDescent="0.25">
      <c r="A85" s="333" t="s">
        <v>416</v>
      </c>
      <c r="B85" s="334"/>
      <c r="C85" s="335"/>
      <c r="D85" s="173" t="s">
        <v>385</v>
      </c>
      <c r="E85" s="173"/>
      <c r="F85" s="173"/>
      <c r="G85" s="173" t="s">
        <v>385</v>
      </c>
      <c r="H85" s="173"/>
      <c r="I85" s="173"/>
      <c r="J85" s="333" t="s">
        <v>417</v>
      </c>
      <c r="K85" s="334"/>
      <c r="L85" s="334"/>
      <c r="M85" s="334"/>
      <c r="N85" s="334"/>
      <c r="O85" s="335"/>
    </row>
    <row r="86" spans="1:20" ht="15.75" customHeight="1" x14ac:dyDescent="0.25">
      <c r="A86" s="333" t="s">
        <v>418</v>
      </c>
      <c r="B86" s="334"/>
      <c r="C86" s="335"/>
      <c r="D86" s="173"/>
      <c r="E86" s="173" t="s">
        <v>385</v>
      </c>
      <c r="F86" s="173"/>
      <c r="G86" s="173"/>
      <c r="H86" s="173" t="s">
        <v>385</v>
      </c>
      <c r="I86" s="173"/>
      <c r="J86" s="333" t="s">
        <v>420</v>
      </c>
      <c r="K86" s="334"/>
      <c r="L86" s="334"/>
      <c r="M86" s="334"/>
      <c r="N86" s="334"/>
      <c r="O86" s="335"/>
    </row>
    <row r="87" spans="1:20" ht="15.75" customHeight="1" x14ac:dyDescent="0.25">
      <c r="A87" s="333" t="s">
        <v>421</v>
      </c>
      <c r="B87" s="334"/>
      <c r="C87" s="335"/>
      <c r="D87" s="173"/>
      <c r="E87" s="173"/>
      <c r="F87" s="173"/>
      <c r="G87" s="173" t="s">
        <v>385</v>
      </c>
      <c r="H87" s="173"/>
      <c r="I87" s="173"/>
      <c r="J87" s="333" t="s">
        <v>422</v>
      </c>
      <c r="K87" s="334"/>
      <c r="L87" s="334"/>
      <c r="M87" s="334"/>
      <c r="N87" s="334"/>
      <c r="O87" s="335"/>
    </row>
    <row r="88" spans="1:20" ht="15.75" customHeight="1" x14ac:dyDescent="0.2"/>
    <row r="89" spans="1:20" ht="15.75" customHeight="1" x14ac:dyDescent="0.2"/>
    <row r="90" spans="1:20" ht="15.75" customHeight="1" x14ac:dyDescent="0.2"/>
    <row r="91" spans="1:20" ht="15.75" customHeight="1" x14ac:dyDescent="0.25">
      <c r="A91" s="326"/>
      <c r="B91" s="327"/>
      <c r="C91" s="327"/>
      <c r="D91" s="327"/>
      <c r="E91" s="327"/>
      <c r="F91" s="327"/>
      <c r="G91" s="327"/>
      <c r="H91" s="327"/>
      <c r="I91" s="327"/>
      <c r="J91" s="327"/>
      <c r="K91" s="327"/>
      <c r="L91" s="327"/>
      <c r="M91" s="327"/>
      <c r="N91" s="327"/>
      <c r="O91" s="327"/>
      <c r="P91" s="327"/>
      <c r="Q91" s="327"/>
      <c r="R91" s="327"/>
      <c r="S91" s="327"/>
      <c r="T91" s="328"/>
    </row>
    <row r="92" spans="1:20" ht="15.75" customHeight="1" x14ac:dyDescent="0.2"/>
    <row r="93" spans="1:20" ht="15.75" customHeight="1" x14ac:dyDescent="0.25">
      <c r="A93" s="21" t="s">
        <v>675</v>
      </c>
    </row>
    <row r="94" spans="1:20" ht="15.75" customHeight="1" x14ac:dyDescent="0.2">
      <c r="B94" s="4" t="s">
        <v>0</v>
      </c>
      <c r="C94" s="5" t="s">
        <v>1</v>
      </c>
      <c r="D94" s="5" t="s">
        <v>42</v>
      </c>
      <c r="E94" s="5" t="s">
        <v>43</v>
      </c>
      <c r="F94" s="5" t="s">
        <v>44</v>
      </c>
      <c r="H94" s="296" t="s">
        <v>45</v>
      </c>
      <c r="I94" s="297"/>
      <c r="J94" s="297"/>
      <c r="K94" s="298"/>
      <c r="M94" s="324" t="s">
        <v>146</v>
      </c>
      <c r="N94" s="315"/>
      <c r="O94" s="315"/>
      <c r="P94" s="315"/>
      <c r="Q94" s="315"/>
    </row>
    <row r="95" spans="1:20" ht="15.75" customHeight="1" x14ac:dyDescent="0.2">
      <c r="B95" s="310" t="s">
        <v>8</v>
      </c>
      <c r="C95" s="297"/>
      <c r="D95" s="297"/>
      <c r="E95" s="297"/>
      <c r="F95" s="306"/>
      <c r="H95" s="305" t="s">
        <v>10</v>
      </c>
      <c r="I95" s="297"/>
      <c r="J95" s="297"/>
      <c r="K95" s="298"/>
      <c r="M95" s="315"/>
      <c r="N95" s="315"/>
      <c r="O95" s="315"/>
      <c r="P95" s="315"/>
      <c r="Q95" s="315"/>
    </row>
    <row r="96" spans="1:20" ht="15.75" customHeight="1" x14ac:dyDescent="0.2">
      <c r="B96" s="9" t="s">
        <v>11</v>
      </c>
      <c r="C96" s="12" t="s">
        <v>12</v>
      </c>
      <c r="D96" s="11"/>
      <c r="E96" s="22">
        <v>461</v>
      </c>
      <c r="F96" s="11">
        <v>500</v>
      </c>
      <c r="H96" s="12"/>
      <c r="I96" s="12" t="s">
        <v>52</v>
      </c>
      <c r="J96" s="12" t="s">
        <v>53</v>
      </c>
      <c r="K96" s="12"/>
      <c r="M96" s="315"/>
      <c r="N96" s="315"/>
      <c r="O96" s="315"/>
      <c r="P96" s="315"/>
      <c r="Q96" s="315"/>
    </row>
    <row r="97" spans="1:26" ht="15.75" customHeight="1" x14ac:dyDescent="0.2">
      <c r="B97" s="9" t="s">
        <v>11</v>
      </c>
      <c r="C97" s="12" t="s">
        <v>18</v>
      </c>
      <c r="D97" s="11">
        <v>0</v>
      </c>
      <c r="E97" s="22">
        <v>0</v>
      </c>
      <c r="F97" s="11">
        <v>0</v>
      </c>
      <c r="H97" s="12" t="s">
        <v>12</v>
      </c>
      <c r="I97" s="17"/>
      <c r="J97" s="11">
        <v>500</v>
      </c>
      <c r="K97" s="17" t="s">
        <v>703</v>
      </c>
      <c r="M97" s="315"/>
      <c r="N97" s="315"/>
      <c r="O97" s="315"/>
      <c r="P97" s="315"/>
      <c r="Q97" s="315"/>
    </row>
    <row r="98" spans="1:26" ht="15.75" customHeight="1" x14ac:dyDescent="0.2">
      <c r="B98" s="9" t="s">
        <v>21</v>
      </c>
      <c r="C98" s="12" t="s">
        <v>59</v>
      </c>
      <c r="D98" s="11">
        <v>440</v>
      </c>
      <c r="E98" s="22">
        <v>407</v>
      </c>
      <c r="F98" s="11">
        <v>448</v>
      </c>
      <c r="H98" s="12" t="s">
        <v>18</v>
      </c>
      <c r="I98" s="17"/>
      <c r="J98" s="11">
        <v>0</v>
      </c>
      <c r="K98" s="17" t="s">
        <v>704</v>
      </c>
      <c r="M98" s="315"/>
      <c r="N98" s="315"/>
      <c r="O98" s="315"/>
      <c r="P98" s="315"/>
      <c r="Q98" s="315"/>
    </row>
    <row r="99" spans="1:26" ht="15.75" customHeight="1" x14ac:dyDescent="0.2">
      <c r="B99" s="9" t="s">
        <v>21</v>
      </c>
      <c r="C99" s="12" t="s">
        <v>63</v>
      </c>
      <c r="D99" s="11">
        <v>160</v>
      </c>
      <c r="E99" s="22">
        <v>161</v>
      </c>
      <c r="F99" s="11">
        <v>165</v>
      </c>
      <c r="H99" s="305" t="s">
        <v>23</v>
      </c>
      <c r="I99" s="297"/>
      <c r="J99" s="297"/>
      <c r="K99" s="298"/>
      <c r="M99" s="315"/>
      <c r="N99" s="315"/>
      <c r="O99" s="315"/>
      <c r="P99" s="315"/>
      <c r="Q99" s="315"/>
    </row>
    <row r="100" spans="1:26" ht="15.75" customHeight="1" x14ac:dyDescent="0.2">
      <c r="B100" s="310" t="s">
        <v>29</v>
      </c>
      <c r="C100" s="297"/>
      <c r="D100" s="297"/>
      <c r="E100" s="297"/>
      <c r="F100" s="306"/>
      <c r="H100" s="12" t="s">
        <v>12</v>
      </c>
      <c r="I100" s="17"/>
      <c r="J100" s="11">
        <v>470</v>
      </c>
      <c r="K100" s="17" t="s">
        <v>705</v>
      </c>
      <c r="M100" s="315"/>
      <c r="N100" s="315"/>
      <c r="O100" s="315"/>
      <c r="P100" s="315"/>
      <c r="Q100" s="315"/>
    </row>
    <row r="101" spans="1:26" ht="15.75" customHeight="1" x14ac:dyDescent="0.2">
      <c r="B101" s="9" t="s">
        <v>11</v>
      </c>
      <c r="C101" s="12" t="s">
        <v>12</v>
      </c>
      <c r="D101" s="11"/>
      <c r="E101" s="22">
        <v>440</v>
      </c>
      <c r="F101" s="22">
        <v>470</v>
      </c>
      <c r="H101" s="12" t="s">
        <v>18</v>
      </c>
      <c r="I101" s="17"/>
      <c r="J101" s="11">
        <v>0</v>
      </c>
      <c r="K101" s="17" t="s">
        <v>706</v>
      </c>
      <c r="M101" s="315"/>
      <c r="N101" s="315"/>
      <c r="O101" s="315"/>
      <c r="P101" s="315"/>
      <c r="Q101" s="315"/>
    </row>
    <row r="102" spans="1:26" ht="15.75" customHeight="1" x14ac:dyDescent="0.2">
      <c r="B102" s="9" t="s">
        <v>11</v>
      </c>
      <c r="C102" s="12" t="s">
        <v>18</v>
      </c>
      <c r="D102" s="11">
        <v>0</v>
      </c>
      <c r="E102" s="22">
        <v>0</v>
      </c>
      <c r="F102" s="22">
        <v>0</v>
      </c>
      <c r="M102" s="315"/>
      <c r="N102" s="315"/>
      <c r="O102" s="315"/>
      <c r="P102" s="315"/>
      <c r="Q102" s="315"/>
    </row>
    <row r="103" spans="1:26" ht="15.75" customHeight="1" x14ac:dyDescent="0.2">
      <c r="B103" s="9" t="s">
        <v>21</v>
      </c>
      <c r="C103" s="12" t="s">
        <v>59</v>
      </c>
      <c r="D103" s="11">
        <v>430</v>
      </c>
      <c r="E103" s="22">
        <v>380</v>
      </c>
      <c r="F103" s="22">
        <v>425</v>
      </c>
    </row>
    <row r="104" spans="1:26" ht="15.75" customHeight="1" x14ac:dyDescent="0.2">
      <c r="B104" s="9" t="s">
        <v>21</v>
      </c>
      <c r="C104" s="12" t="s">
        <v>63</v>
      </c>
      <c r="D104" s="11">
        <v>150</v>
      </c>
      <c r="E104" s="22">
        <v>126</v>
      </c>
      <c r="F104" s="22">
        <v>147</v>
      </c>
    </row>
    <row r="105" spans="1:26" ht="15.75" customHeight="1" x14ac:dyDescent="0.2">
      <c r="C105" s="49"/>
    </row>
    <row r="106" spans="1:26" ht="15.75" customHeight="1" x14ac:dyDescent="0.2"/>
    <row r="107" spans="1:26" ht="15.75" customHeight="1" x14ac:dyDescent="0.25">
      <c r="A107" s="326"/>
      <c r="B107" s="327"/>
      <c r="C107" s="327"/>
      <c r="D107" s="327"/>
      <c r="E107" s="327"/>
      <c r="F107" s="327"/>
      <c r="G107" s="327"/>
      <c r="H107" s="327"/>
      <c r="I107" s="327"/>
      <c r="J107" s="327"/>
      <c r="K107" s="327"/>
      <c r="L107" s="327"/>
      <c r="M107" s="327"/>
      <c r="N107" s="327"/>
      <c r="O107" s="327"/>
      <c r="P107" s="327"/>
      <c r="Q107" s="327"/>
      <c r="R107" s="327"/>
      <c r="S107" s="327"/>
      <c r="T107" s="328"/>
      <c r="U107" s="28"/>
      <c r="V107" s="28"/>
      <c r="W107" s="28"/>
      <c r="X107" s="28"/>
      <c r="Y107" s="28"/>
      <c r="Z107" s="28"/>
    </row>
    <row r="108" spans="1:26" ht="15.75" customHeight="1" x14ac:dyDescent="0.2"/>
    <row r="109" spans="1:26" ht="15.75" customHeight="1" x14ac:dyDescent="0.2"/>
    <row r="110" spans="1:26" ht="15.75" customHeight="1" x14ac:dyDescent="0.25">
      <c r="A110" s="28" t="s">
        <v>655</v>
      </c>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5.75" customHeight="1" x14ac:dyDescent="0.25">
      <c r="A111" s="28"/>
      <c r="B111" s="4" t="s">
        <v>0</v>
      </c>
      <c r="C111" s="5" t="s">
        <v>1</v>
      </c>
      <c r="D111" s="5" t="s">
        <v>42</v>
      </c>
      <c r="E111" s="5" t="s">
        <v>43</v>
      </c>
      <c r="F111" s="5" t="s">
        <v>44</v>
      </c>
      <c r="G111" s="28"/>
      <c r="H111" s="296" t="s">
        <v>45</v>
      </c>
      <c r="I111" s="297"/>
      <c r="J111" s="297"/>
      <c r="K111" s="298"/>
      <c r="L111" s="28"/>
      <c r="M111" s="324" t="s">
        <v>696</v>
      </c>
      <c r="N111" s="315"/>
      <c r="O111" s="315"/>
      <c r="P111" s="315"/>
      <c r="Q111" s="315"/>
      <c r="R111" s="315"/>
      <c r="S111" s="28"/>
      <c r="T111" s="28"/>
      <c r="U111" s="28"/>
      <c r="V111" s="28"/>
      <c r="W111" s="28"/>
      <c r="X111" s="28"/>
      <c r="Y111" s="28"/>
      <c r="Z111" s="28"/>
    </row>
    <row r="112" spans="1:26" ht="15.75" customHeight="1" x14ac:dyDescent="0.25">
      <c r="A112" s="28"/>
      <c r="B112" s="310" t="s">
        <v>8</v>
      </c>
      <c r="C112" s="297"/>
      <c r="D112" s="297"/>
      <c r="E112" s="297"/>
      <c r="F112" s="306"/>
      <c r="G112" s="28"/>
      <c r="H112" s="305" t="s">
        <v>10</v>
      </c>
      <c r="I112" s="297"/>
      <c r="J112" s="297"/>
      <c r="K112" s="298"/>
      <c r="L112" s="28"/>
      <c r="M112" s="315"/>
      <c r="N112" s="315"/>
      <c r="O112" s="315"/>
      <c r="P112" s="315"/>
      <c r="Q112" s="315"/>
      <c r="R112" s="315"/>
      <c r="S112" s="28"/>
      <c r="T112" s="28"/>
      <c r="U112" s="28"/>
      <c r="V112" s="28"/>
      <c r="W112" s="28"/>
      <c r="X112" s="28"/>
      <c r="Y112" s="28"/>
      <c r="Z112" s="28"/>
    </row>
    <row r="113" spans="1:26" ht="15.75" customHeight="1" x14ac:dyDescent="0.25">
      <c r="A113" s="28"/>
      <c r="B113" s="9" t="s">
        <v>11</v>
      </c>
      <c r="C113" s="12" t="s">
        <v>12</v>
      </c>
      <c r="D113" s="11"/>
      <c r="E113" s="22">
        <v>625</v>
      </c>
      <c r="F113" s="11">
        <v>720</v>
      </c>
      <c r="G113" s="28"/>
      <c r="H113" s="12"/>
      <c r="I113" s="12" t="s">
        <v>52</v>
      </c>
      <c r="J113" s="12" t="s">
        <v>53</v>
      </c>
      <c r="K113" s="12"/>
      <c r="L113" s="28"/>
      <c r="M113" s="315"/>
      <c r="N113" s="315"/>
      <c r="O113" s="315"/>
      <c r="P113" s="315"/>
      <c r="Q113" s="315"/>
      <c r="R113" s="315"/>
      <c r="S113" s="28"/>
      <c r="T113" s="28"/>
      <c r="U113" s="28"/>
      <c r="V113" s="28"/>
      <c r="W113" s="28"/>
      <c r="X113" s="28"/>
      <c r="Y113" s="28"/>
      <c r="Z113" s="28"/>
    </row>
    <row r="114" spans="1:26" ht="15.75" customHeight="1" x14ac:dyDescent="0.25">
      <c r="A114" s="28"/>
      <c r="B114" s="9" t="s">
        <v>11</v>
      </c>
      <c r="C114" s="12" t="s">
        <v>18</v>
      </c>
      <c r="D114" s="11">
        <v>0</v>
      </c>
      <c r="E114" s="22">
        <v>0</v>
      </c>
      <c r="F114" s="11">
        <v>0</v>
      </c>
      <c r="G114" s="28"/>
      <c r="H114" s="12" t="s">
        <v>12</v>
      </c>
      <c r="I114" s="17">
        <v>625</v>
      </c>
      <c r="J114" s="11">
        <v>720</v>
      </c>
      <c r="K114" s="17" t="s">
        <v>707</v>
      </c>
      <c r="L114" s="28"/>
      <c r="M114" s="315"/>
      <c r="N114" s="315"/>
      <c r="O114" s="315"/>
      <c r="P114" s="315"/>
      <c r="Q114" s="315"/>
      <c r="R114" s="315"/>
      <c r="S114" s="28"/>
      <c r="T114" s="28"/>
      <c r="U114" s="28"/>
      <c r="V114" s="28"/>
      <c r="W114" s="28"/>
      <c r="X114" s="28"/>
      <c r="Y114" s="28"/>
      <c r="Z114" s="28"/>
    </row>
    <row r="115" spans="1:26" ht="15.75" customHeight="1" x14ac:dyDescent="0.25">
      <c r="A115" s="28"/>
      <c r="B115" s="9" t="s">
        <v>21</v>
      </c>
      <c r="C115" s="12" t="s">
        <v>59</v>
      </c>
      <c r="D115" s="11">
        <v>440</v>
      </c>
      <c r="E115" s="22">
        <v>380</v>
      </c>
      <c r="F115" s="11">
        <v>433</v>
      </c>
      <c r="G115" s="28"/>
      <c r="H115" s="12" t="s">
        <v>18</v>
      </c>
      <c r="I115" s="17">
        <v>0</v>
      </c>
      <c r="J115" s="11">
        <v>0</v>
      </c>
      <c r="K115" s="17" t="s">
        <v>708</v>
      </c>
      <c r="L115" s="28"/>
      <c r="M115" s="315"/>
      <c r="N115" s="315"/>
      <c r="O115" s="315"/>
      <c r="P115" s="315"/>
      <c r="Q115" s="315"/>
      <c r="R115" s="315"/>
      <c r="S115" s="28"/>
      <c r="T115" s="28"/>
      <c r="U115" s="28"/>
      <c r="V115" s="28"/>
      <c r="W115" s="28"/>
      <c r="X115" s="28"/>
      <c r="Y115" s="28"/>
      <c r="Z115" s="28"/>
    </row>
    <row r="116" spans="1:26" ht="15.75" customHeight="1" x14ac:dyDescent="0.25">
      <c r="A116" s="28"/>
      <c r="B116" s="9" t="s">
        <v>21</v>
      </c>
      <c r="C116" s="12" t="s">
        <v>63</v>
      </c>
      <c r="D116" s="11">
        <v>160</v>
      </c>
      <c r="E116" s="22">
        <v>140</v>
      </c>
      <c r="F116" s="11">
        <v>177</v>
      </c>
      <c r="G116" s="28"/>
      <c r="H116" s="305" t="s">
        <v>23</v>
      </c>
      <c r="I116" s="297"/>
      <c r="J116" s="297"/>
      <c r="K116" s="298"/>
      <c r="L116" s="28"/>
      <c r="M116" s="315"/>
      <c r="N116" s="315"/>
      <c r="O116" s="315"/>
      <c r="P116" s="315"/>
      <c r="Q116" s="315"/>
      <c r="R116" s="315"/>
      <c r="S116" s="28"/>
      <c r="T116" s="28"/>
      <c r="U116" s="28"/>
      <c r="V116" s="28"/>
      <c r="W116" s="28"/>
      <c r="X116" s="28"/>
      <c r="Y116" s="28"/>
      <c r="Z116" s="28"/>
    </row>
    <row r="117" spans="1:26" ht="15.75" customHeight="1" x14ac:dyDescent="0.25">
      <c r="A117" s="28"/>
      <c r="B117" s="9" t="s">
        <v>21</v>
      </c>
      <c r="C117" s="12" t="s">
        <v>699</v>
      </c>
      <c r="D117" s="11">
        <v>0</v>
      </c>
      <c r="E117" s="22">
        <v>0</v>
      </c>
      <c r="F117" s="11">
        <v>54</v>
      </c>
      <c r="G117" s="28"/>
      <c r="H117" s="12" t="s">
        <v>12</v>
      </c>
      <c r="I117" s="17">
        <v>595</v>
      </c>
      <c r="J117" s="11">
        <v>690</v>
      </c>
      <c r="K117" s="17" t="s">
        <v>709</v>
      </c>
      <c r="L117" s="28"/>
      <c r="M117" s="315"/>
      <c r="N117" s="315"/>
      <c r="O117" s="315"/>
      <c r="P117" s="315"/>
      <c r="Q117" s="315"/>
      <c r="R117" s="315"/>
      <c r="S117" s="28"/>
      <c r="T117" s="28"/>
      <c r="U117" s="28"/>
      <c r="V117" s="28"/>
      <c r="W117" s="28"/>
      <c r="X117" s="28"/>
      <c r="Y117" s="28"/>
      <c r="Z117" s="28"/>
    </row>
    <row r="118" spans="1:26" ht="15.75" customHeight="1" x14ac:dyDescent="0.25">
      <c r="A118" s="28"/>
      <c r="B118" s="310" t="s">
        <v>29</v>
      </c>
      <c r="C118" s="297"/>
      <c r="D118" s="297"/>
      <c r="E118" s="297"/>
      <c r="F118" s="306"/>
      <c r="G118" s="28"/>
      <c r="H118" s="12" t="s">
        <v>18</v>
      </c>
      <c r="I118" s="17">
        <v>0</v>
      </c>
      <c r="J118" s="11">
        <v>0</v>
      </c>
      <c r="K118" s="17" t="s">
        <v>710</v>
      </c>
      <c r="L118" s="28"/>
      <c r="M118" s="315"/>
      <c r="N118" s="315"/>
      <c r="O118" s="315"/>
      <c r="P118" s="315"/>
      <c r="Q118" s="315"/>
      <c r="R118" s="315"/>
      <c r="S118" s="28"/>
      <c r="T118" s="28"/>
      <c r="U118" s="28"/>
      <c r="V118" s="28"/>
      <c r="W118" s="28"/>
      <c r="X118" s="28"/>
      <c r="Y118" s="28"/>
      <c r="Z118" s="28"/>
    </row>
    <row r="119" spans="1:26" ht="15.75" customHeight="1" x14ac:dyDescent="0.25">
      <c r="A119" s="28"/>
      <c r="B119" s="9" t="s">
        <v>11</v>
      </c>
      <c r="C119" s="12" t="s">
        <v>12</v>
      </c>
      <c r="D119" s="11"/>
      <c r="E119" s="22">
        <v>595</v>
      </c>
      <c r="F119" s="22">
        <v>600</v>
      </c>
      <c r="G119" s="28"/>
      <c r="H119" s="28"/>
      <c r="I119" s="28"/>
      <c r="J119" s="28"/>
      <c r="K119" s="28"/>
      <c r="L119" s="28"/>
      <c r="M119" s="315"/>
      <c r="N119" s="315"/>
      <c r="O119" s="315"/>
      <c r="P119" s="315"/>
      <c r="Q119" s="315"/>
      <c r="R119" s="315"/>
      <c r="S119" s="28"/>
      <c r="T119" s="28"/>
      <c r="U119" s="28"/>
      <c r="V119" s="28"/>
      <c r="W119" s="28"/>
      <c r="X119" s="28"/>
      <c r="Y119" s="28"/>
      <c r="Z119" s="28"/>
    </row>
    <row r="120" spans="1:26" ht="15.75" customHeight="1" x14ac:dyDescent="0.25">
      <c r="A120" s="28"/>
      <c r="B120" s="9" t="s">
        <v>11</v>
      </c>
      <c r="C120" s="12" t="s">
        <v>18</v>
      </c>
      <c r="D120" s="11">
        <v>0</v>
      </c>
      <c r="E120" s="22">
        <v>0</v>
      </c>
      <c r="F120" s="22">
        <v>0</v>
      </c>
      <c r="G120" s="28"/>
      <c r="H120" s="28"/>
      <c r="I120" s="28"/>
      <c r="J120" s="28"/>
      <c r="K120" s="28"/>
      <c r="L120" s="28"/>
      <c r="M120" s="28"/>
      <c r="N120" s="28"/>
      <c r="O120" s="28"/>
      <c r="P120" s="28"/>
      <c r="Q120" s="28"/>
      <c r="R120" s="28"/>
      <c r="S120" s="28"/>
      <c r="T120" s="28"/>
      <c r="U120" s="28"/>
      <c r="V120" s="28"/>
      <c r="W120" s="28"/>
      <c r="X120" s="28"/>
      <c r="Y120" s="28"/>
      <c r="Z120" s="28"/>
    </row>
    <row r="121" spans="1:26" ht="15.75" customHeight="1" x14ac:dyDescent="0.25">
      <c r="A121" s="28"/>
      <c r="B121" s="9" t="s">
        <v>21</v>
      </c>
      <c r="C121" s="12" t="s">
        <v>59</v>
      </c>
      <c r="D121" s="11">
        <v>420</v>
      </c>
      <c r="E121" s="22">
        <v>350</v>
      </c>
      <c r="F121" s="22">
        <v>419</v>
      </c>
      <c r="G121" s="28"/>
      <c r="H121" s="28"/>
      <c r="I121" s="28"/>
      <c r="J121" s="28"/>
      <c r="K121" s="28"/>
      <c r="L121" s="28"/>
      <c r="M121" s="28"/>
      <c r="N121" s="28"/>
      <c r="O121" s="28"/>
      <c r="P121" s="28"/>
      <c r="Q121" s="28"/>
      <c r="R121" s="28"/>
      <c r="S121" s="28"/>
      <c r="T121" s="28"/>
      <c r="U121" s="28"/>
      <c r="V121" s="28"/>
      <c r="W121" s="28"/>
      <c r="X121" s="28"/>
      <c r="Y121" s="28"/>
      <c r="Z121" s="28"/>
    </row>
    <row r="122" spans="1:26" ht="15.75" customHeight="1" x14ac:dyDescent="0.25">
      <c r="A122" s="28"/>
      <c r="B122" s="9" t="s">
        <v>21</v>
      </c>
      <c r="C122" s="12" t="s">
        <v>63</v>
      </c>
      <c r="D122" s="11">
        <v>140</v>
      </c>
      <c r="E122" s="22">
        <v>120</v>
      </c>
      <c r="F122" s="22">
        <v>159</v>
      </c>
      <c r="G122" s="28"/>
      <c r="H122" s="28"/>
      <c r="I122" s="28"/>
      <c r="J122" s="28"/>
      <c r="K122" s="28"/>
      <c r="L122" s="28"/>
      <c r="M122" s="28"/>
      <c r="N122" s="28"/>
      <c r="O122" s="28"/>
      <c r="P122" s="28"/>
      <c r="Q122" s="28"/>
      <c r="R122" s="28"/>
      <c r="S122" s="28"/>
      <c r="T122" s="28"/>
      <c r="U122" s="28"/>
      <c r="V122" s="28"/>
      <c r="W122" s="28"/>
      <c r="X122" s="28"/>
      <c r="Y122" s="28"/>
      <c r="Z122" s="28"/>
    </row>
    <row r="123" spans="1:26" ht="15.75" customHeight="1" x14ac:dyDescent="0.25">
      <c r="A123" s="28"/>
      <c r="B123" s="9" t="s">
        <v>21</v>
      </c>
      <c r="C123" s="12" t="s">
        <v>699</v>
      </c>
      <c r="D123" s="11">
        <v>0</v>
      </c>
      <c r="E123" s="22">
        <v>0</v>
      </c>
      <c r="F123" s="11">
        <v>44</v>
      </c>
      <c r="G123" s="28"/>
      <c r="H123" s="28"/>
      <c r="I123" s="28"/>
      <c r="J123" s="28"/>
      <c r="K123" s="28"/>
      <c r="L123" s="28"/>
      <c r="M123" s="28"/>
      <c r="N123" s="28"/>
      <c r="O123" s="28"/>
      <c r="P123" s="28"/>
      <c r="Q123" s="28"/>
      <c r="R123" s="28"/>
      <c r="S123" s="28"/>
      <c r="T123" s="28"/>
      <c r="U123" s="28"/>
      <c r="V123" s="28"/>
      <c r="W123" s="28"/>
      <c r="X123" s="28"/>
      <c r="Y123" s="28"/>
      <c r="Z123" s="28"/>
    </row>
    <row r="124" spans="1:26" ht="15.75" customHeight="1" x14ac:dyDescent="0.2"/>
    <row r="125" spans="1:26" ht="15.75" customHeight="1" x14ac:dyDescent="0.25">
      <c r="A125" s="326"/>
      <c r="B125" s="327"/>
      <c r="C125" s="327"/>
      <c r="D125" s="327"/>
      <c r="E125" s="327"/>
      <c r="F125" s="327"/>
      <c r="G125" s="327"/>
      <c r="H125" s="327"/>
      <c r="I125" s="327"/>
      <c r="J125" s="327"/>
      <c r="K125" s="327"/>
      <c r="L125" s="327"/>
      <c r="M125" s="327"/>
      <c r="N125" s="327"/>
      <c r="O125" s="327"/>
      <c r="P125" s="327"/>
      <c r="Q125" s="327"/>
      <c r="R125" s="327"/>
      <c r="S125" s="327"/>
      <c r="T125" s="328"/>
      <c r="U125" s="28"/>
      <c r="V125" s="28"/>
      <c r="W125" s="28"/>
      <c r="X125" s="28"/>
      <c r="Y125" s="28"/>
      <c r="Z125" s="28"/>
    </row>
    <row r="126" spans="1:26" ht="15.75" customHeight="1" x14ac:dyDescent="0.25">
      <c r="A126" s="28" t="s">
        <v>655</v>
      </c>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5.75" customHeight="1" x14ac:dyDescent="0.25">
      <c r="A127" s="28"/>
      <c r="B127" s="4" t="s">
        <v>0</v>
      </c>
      <c r="C127" s="5" t="s">
        <v>1</v>
      </c>
      <c r="D127" s="5" t="s">
        <v>42</v>
      </c>
      <c r="E127" s="5" t="s">
        <v>43</v>
      </c>
      <c r="F127" s="5" t="s">
        <v>44</v>
      </c>
      <c r="G127" s="28"/>
      <c r="H127" s="296" t="s">
        <v>45</v>
      </c>
      <c r="I127" s="297"/>
      <c r="J127" s="297"/>
      <c r="K127" s="298"/>
      <c r="L127" s="28"/>
      <c r="M127" s="324"/>
      <c r="N127" s="315"/>
      <c r="O127" s="315"/>
      <c r="P127" s="315"/>
      <c r="Q127" s="315"/>
      <c r="R127" s="315"/>
      <c r="S127" s="28"/>
      <c r="T127" s="28"/>
      <c r="U127" s="28"/>
      <c r="V127" s="28"/>
      <c r="W127" s="28"/>
      <c r="X127" s="28"/>
      <c r="Y127" s="28"/>
      <c r="Z127" s="28"/>
    </row>
    <row r="128" spans="1:26" ht="15.75" customHeight="1" x14ac:dyDescent="0.25">
      <c r="A128" s="28"/>
      <c r="B128" s="310" t="s">
        <v>8</v>
      </c>
      <c r="C128" s="297"/>
      <c r="D128" s="297"/>
      <c r="E128" s="297"/>
      <c r="F128" s="306"/>
      <c r="G128" s="28"/>
      <c r="H128" s="305" t="s">
        <v>10</v>
      </c>
      <c r="I128" s="297"/>
      <c r="J128" s="297"/>
      <c r="K128" s="298"/>
      <c r="L128" s="28"/>
      <c r="M128" s="315"/>
      <c r="N128" s="315"/>
      <c r="O128" s="315"/>
      <c r="P128" s="315"/>
      <c r="Q128" s="315"/>
      <c r="R128" s="315"/>
      <c r="S128" s="28"/>
      <c r="T128" s="28"/>
      <c r="U128" s="28"/>
      <c r="V128" s="28"/>
      <c r="W128" s="28"/>
      <c r="X128" s="28"/>
      <c r="Y128" s="28"/>
      <c r="Z128" s="28"/>
    </row>
    <row r="129" spans="1:26" ht="15.75" customHeight="1" x14ac:dyDescent="0.25">
      <c r="A129" s="28"/>
      <c r="B129" s="9" t="s">
        <v>11</v>
      </c>
      <c r="C129" s="12" t="s">
        <v>12</v>
      </c>
      <c r="D129" s="11">
        <v>710</v>
      </c>
      <c r="E129" s="22">
        <v>700</v>
      </c>
      <c r="F129" s="11">
        <v>900</v>
      </c>
      <c r="G129" s="28"/>
      <c r="H129" s="12"/>
      <c r="I129" s="12" t="s">
        <v>52</v>
      </c>
      <c r="J129" s="12" t="s">
        <v>53</v>
      </c>
      <c r="K129" s="12"/>
      <c r="L129" s="28"/>
      <c r="M129" s="315"/>
      <c r="N129" s="315"/>
      <c r="O129" s="315"/>
      <c r="P129" s="315"/>
      <c r="Q129" s="315"/>
      <c r="R129" s="315"/>
      <c r="S129" s="28"/>
      <c r="T129" s="28"/>
      <c r="U129" s="28"/>
      <c r="V129" s="28"/>
      <c r="W129" s="28"/>
      <c r="X129" s="28"/>
      <c r="Y129" s="28"/>
      <c r="Z129" s="28"/>
    </row>
    <row r="130" spans="1:26" ht="15.75" customHeight="1" x14ac:dyDescent="0.25">
      <c r="A130" s="28"/>
      <c r="B130" s="9" t="s">
        <v>11</v>
      </c>
      <c r="C130" s="12" t="s">
        <v>18</v>
      </c>
      <c r="D130" s="11">
        <v>0</v>
      </c>
      <c r="E130" s="22">
        <v>0</v>
      </c>
      <c r="F130" s="11">
        <v>0</v>
      </c>
      <c r="G130" s="28"/>
      <c r="H130" s="12" t="s">
        <v>12</v>
      </c>
      <c r="I130" s="17">
        <v>710</v>
      </c>
      <c r="J130" s="11">
        <v>900</v>
      </c>
      <c r="K130" s="17" t="s">
        <v>716</v>
      </c>
      <c r="L130" s="28"/>
      <c r="M130" s="315"/>
      <c r="N130" s="315"/>
      <c r="O130" s="315"/>
      <c r="P130" s="315"/>
      <c r="Q130" s="315"/>
      <c r="R130" s="315"/>
      <c r="S130" s="28"/>
      <c r="T130" s="28"/>
      <c r="U130" s="28"/>
      <c r="V130" s="28"/>
      <c r="W130" s="28"/>
      <c r="X130" s="28"/>
      <c r="Y130" s="28"/>
      <c r="Z130" s="28"/>
    </row>
    <row r="131" spans="1:26" ht="15.75" customHeight="1" x14ac:dyDescent="0.25">
      <c r="A131" s="28"/>
      <c r="B131" s="9" t="s">
        <v>21</v>
      </c>
      <c r="C131" s="12" t="s">
        <v>59</v>
      </c>
      <c r="D131" s="11">
        <v>440</v>
      </c>
      <c r="E131" s="22">
        <v>380</v>
      </c>
      <c r="F131" s="11">
        <v>443</v>
      </c>
      <c r="G131" s="28"/>
      <c r="H131" s="12" t="s">
        <v>18</v>
      </c>
      <c r="I131" s="17">
        <v>0</v>
      </c>
      <c r="J131" s="11">
        <v>0</v>
      </c>
      <c r="K131" s="17" t="s">
        <v>719</v>
      </c>
      <c r="L131" s="28"/>
      <c r="M131" s="315"/>
      <c r="N131" s="315"/>
      <c r="O131" s="315"/>
      <c r="P131" s="315"/>
      <c r="Q131" s="315"/>
      <c r="R131" s="315"/>
      <c r="S131" s="28"/>
      <c r="T131" s="28"/>
      <c r="U131" s="28"/>
      <c r="V131" s="28"/>
      <c r="W131" s="28"/>
      <c r="X131" s="28"/>
      <c r="Y131" s="28"/>
      <c r="Z131" s="28"/>
    </row>
    <row r="132" spans="1:26" ht="15.75" customHeight="1" x14ac:dyDescent="0.25">
      <c r="A132" s="28"/>
      <c r="B132" s="9" t="s">
        <v>21</v>
      </c>
      <c r="C132" s="12" t="s">
        <v>63</v>
      </c>
      <c r="D132" s="11">
        <v>160</v>
      </c>
      <c r="E132" s="22">
        <v>140</v>
      </c>
      <c r="F132" s="11">
        <v>177</v>
      </c>
      <c r="G132" s="28"/>
      <c r="H132" s="305" t="s">
        <v>23</v>
      </c>
      <c r="I132" s="297"/>
      <c r="J132" s="297"/>
      <c r="K132" s="298"/>
      <c r="L132" s="28"/>
      <c r="M132" s="315"/>
      <c r="N132" s="315"/>
      <c r="O132" s="315"/>
      <c r="P132" s="315"/>
      <c r="Q132" s="315"/>
      <c r="R132" s="315"/>
      <c r="S132" s="28"/>
      <c r="T132" s="28"/>
      <c r="U132" s="28"/>
      <c r="V132" s="28"/>
      <c r="W132" s="28"/>
      <c r="X132" s="28"/>
      <c r="Y132" s="28"/>
      <c r="Z132" s="28"/>
    </row>
    <row r="133" spans="1:26" ht="15.75" customHeight="1" x14ac:dyDescent="0.25">
      <c r="A133" s="28"/>
      <c r="B133" s="9" t="s">
        <v>21</v>
      </c>
      <c r="C133" s="12" t="s">
        <v>699</v>
      </c>
      <c r="D133" s="11">
        <v>0</v>
      </c>
      <c r="E133" s="22">
        <v>0</v>
      </c>
      <c r="F133" s="11">
        <v>54</v>
      </c>
      <c r="G133" s="28"/>
      <c r="H133" s="12" t="s">
        <v>12</v>
      </c>
      <c r="I133" s="17">
        <v>680</v>
      </c>
      <c r="J133" s="11">
        <v>810</v>
      </c>
      <c r="K133" s="17" t="s">
        <v>722</v>
      </c>
      <c r="L133" s="28"/>
      <c r="M133" s="315"/>
      <c r="N133" s="315"/>
      <c r="O133" s="315"/>
      <c r="P133" s="315"/>
      <c r="Q133" s="315"/>
      <c r="R133" s="315"/>
      <c r="S133" s="28"/>
      <c r="T133" s="28"/>
      <c r="U133" s="28"/>
      <c r="V133" s="28"/>
      <c r="W133" s="28"/>
      <c r="X133" s="28"/>
      <c r="Y133" s="28"/>
      <c r="Z133" s="28"/>
    </row>
    <row r="134" spans="1:26" ht="15.75" customHeight="1" x14ac:dyDescent="0.25">
      <c r="A134" s="28"/>
      <c r="B134" s="310" t="s">
        <v>29</v>
      </c>
      <c r="C134" s="297"/>
      <c r="D134" s="297"/>
      <c r="E134" s="297"/>
      <c r="F134" s="306"/>
      <c r="G134" s="28"/>
      <c r="H134" s="12" t="s">
        <v>18</v>
      </c>
      <c r="I134" s="17">
        <v>0</v>
      </c>
      <c r="J134" s="11">
        <v>0</v>
      </c>
      <c r="K134" s="17" t="s">
        <v>723</v>
      </c>
      <c r="L134" s="28"/>
      <c r="M134" s="315"/>
      <c r="N134" s="315"/>
      <c r="O134" s="315"/>
      <c r="P134" s="315"/>
      <c r="Q134" s="315"/>
      <c r="R134" s="315"/>
      <c r="S134" s="28"/>
      <c r="T134" s="28"/>
      <c r="U134" s="28"/>
      <c r="V134" s="28"/>
      <c r="W134" s="28"/>
      <c r="X134" s="28"/>
      <c r="Y134" s="28"/>
      <c r="Z134" s="28"/>
    </row>
    <row r="135" spans="1:26" ht="15.75" customHeight="1" x14ac:dyDescent="0.25">
      <c r="A135" s="28"/>
      <c r="B135" s="9" t="s">
        <v>11</v>
      </c>
      <c r="C135" s="12" t="s">
        <v>12</v>
      </c>
      <c r="D135" s="11"/>
      <c r="E135" s="22">
        <v>595</v>
      </c>
      <c r="F135" s="22">
        <v>810</v>
      </c>
      <c r="G135" s="28"/>
      <c r="H135" s="28"/>
      <c r="I135" s="28"/>
      <c r="J135" s="28"/>
      <c r="K135" s="28"/>
      <c r="L135" s="28"/>
      <c r="M135" s="315"/>
      <c r="N135" s="315"/>
      <c r="O135" s="315"/>
      <c r="P135" s="315"/>
      <c r="Q135" s="315"/>
      <c r="R135" s="315"/>
      <c r="S135" s="28"/>
      <c r="T135" s="28"/>
      <c r="U135" s="28"/>
      <c r="V135" s="28"/>
      <c r="W135" s="28"/>
      <c r="X135" s="28"/>
      <c r="Y135" s="28"/>
      <c r="Z135" s="28"/>
    </row>
    <row r="136" spans="1:26" ht="15.75" customHeight="1" x14ac:dyDescent="0.25">
      <c r="A136" s="28"/>
      <c r="B136" s="9" t="s">
        <v>11</v>
      </c>
      <c r="C136" s="12" t="s">
        <v>18</v>
      </c>
      <c r="D136" s="11">
        <v>0</v>
      </c>
      <c r="E136" s="22">
        <v>0</v>
      </c>
      <c r="F136" s="22">
        <v>0</v>
      </c>
      <c r="G136" s="28"/>
      <c r="H136" s="28"/>
      <c r="I136" s="28"/>
      <c r="J136" s="28"/>
      <c r="K136" s="28"/>
      <c r="L136" s="28"/>
      <c r="M136" s="28"/>
      <c r="N136" s="28"/>
      <c r="O136" s="28"/>
      <c r="P136" s="28"/>
      <c r="Q136" s="28"/>
      <c r="R136" s="28"/>
      <c r="S136" s="28"/>
      <c r="T136" s="28"/>
      <c r="U136" s="28"/>
      <c r="V136" s="28"/>
      <c r="W136" s="28"/>
      <c r="X136" s="28"/>
      <c r="Y136" s="28"/>
      <c r="Z136" s="28"/>
    </row>
    <row r="137" spans="1:26" ht="15.75" customHeight="1" x14ac:dyDescent="0.25">
      <c r="A137" s="28"/>
      <c r="B137" s="9" t="s">
        <v>21</v>
      </c>
      <c r="C137" s="12" t="s">
        <v>59</v>
      </c>
      <c r="D137" s="11">
        <v>420</v>
      </c>
      <c r="E137" s="22">
        <v>350</v>
      </c>
      <c r="F137" s="22">
        <v>410</v>
      </c>
      <c r="G137" s="28"/>
      <c r="H137" s="28"/>
      <c r="I137" s="28"/>
      <c r="J137" s="28"/>
      <c r="K137" s="28"/>
      <c r="L137" s="28"/>
      <c r="M137" s="28"/>
      <c r="N137" s="28"/>
      <c r="O137" s="28"/>
      <c r="P137" s="28"/>
      <c r="Q137" s="28"/>
      <c r="R137" s="28"/>
      <c r="S137" s="28"/>
      <c r="T137" s="28"/>
      <c r="U137" s="28"/>
      <c r="V137" s="28"/>
      <c r="W137" s="28"/>
      <c r="X137" s="28"/>
      <c r="Y137" s="28"/>
      <c r="Z137" s="28"/>
    </row>
    <row r="138" spans="1:26" ht="15.75" customHeight="1" x14ac:dyDescent="0.25">
      <c r="A138" s="28"/>
      <c r="B138" s="9" t="s">
        <v>21</v>
      </c>
      <c r="C138" s="12" t="s">
        <v>63</v>
      </c>
      <c r="D138" s="11">
        <v>140</v>
      </c>
      <c r="E138" s="22">
        <v>120</v>
      </c>
      <c r="F138" s="22">
        <v>159</v>
      </c>
      <c r="G138" s="28"/>
      <c r="H138" s="28"/>
      <c r="I138" s="28"/>
      <c r="J138" s="28"/>
      <c r="K138" s="28"/>
      <c r="L138" s="28"/>
      <c r="M138" s="28"/>
      <c r="N138" s="28"/>
      <c r="O138" s="28"/>
      <c r="P138" s="28"/>
      <c r="Q138" s="28"/>
      <c r="R138" s="28"/>
      <c r="S138" s="28"/>
      <c r="T138" s="28"/>
      <c r="U138" s="28"/>
      <c r="V138" s="28"/>
      <c r="W138" s="28"/>
      <c r="X138" s="28"/>
      <c r="Y138" s="28"/>
      <c r="Z138" s="28"/>
    </row>
    <row r="139" spans="1:26" ht="15.75" customHeight="1" x14ac:dyDescent="0.25">
      <c r="A139" s="28"/>
      <c r="B139" s="9" t="s">
        <v>21</v>
      </c>
      <c r="C139" s="12" t="s">
        <v>699</v>
      </c>
      <c r="D139" s="11">
        <v>0</v>
      </c>
      <c r="E139" s="22">
        <v>0</v>
      </c>
      <c r="F139" s="11">
        <v>44</v>
      </c>
      <c r="G139" s="28"/>
      <c r="H139" s="28"/>
      <c r="I139" s="28"/>
      <c r="J139" s="28"/>
      <c r="K139" s="28"/>
      <c r="L139" s="28"/>
      <c r="M139" s="28"/>
      <c r="N139" s="28"/>
      <c r="O139" s="28"/>
      <c r="P139" s="28"/>
      <c r="Q139" s="28"/>
      <c r="R139" s="28"/>
      <c r="S139" s="28"/>
      <c r="T139" s="28"/>
      <c r="U139" s="28"/>
      <c r="V139" s="28"/>
      <c r="W139" s="28"/>
      <c r="X139" s="28"/>
      <c r="Y139" s="28"/>
      <c r="Z139" s="28"/>
    </row>
    <row r="140" spans="1:26" ht="15.75" customHeight="1" x14ac:dyDescent="0.25">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5.75" customHeight="1" x14ac:dyDescent="0.2"/>
    <row r="142" spans="1:26" ht="15.75" customHeight="1" x14ac:dyDescent="0.2"/>
    <row r="143" spans="1:26" ht="15.75" customHeight="1" x14ac:dyDescent="0.2"/>
    <row r="144" spans="1:26"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3">
    <mergeCell ref="A76:C76"/>
    <mergeCell ref="A77:C77"/>
    <mergeCell ref="A78:C78"/>
    <mergeCell ref="H94:K94"/>
    <mergeCell ref="H95:K95"/>
    <mergeCell ref="A79:C79"/>
    <mergeCell ref="A80:C80"/>
    <mergeCell ref="A81:C81"/>
    <mergeCell ref="A82:C82"/>
    <mergeCell ref="J82:O82"/>
    <mergeCell ref="J80:O80"/>
    <mergeCell ref="J81:O81"/>
    <mergeCell ref="J76:O76"/>
    <mergeCell ref="J77:O77"/>
    <mergeCell ref="J78:O78"/>
    <mergeCell ref="J79:O79"/>
    <mergeCell ref="J72:O72"/>
    <mergeCell ref="A72:C72"/>
    <mergeCell ref="A73:C73"/>
    <mergeCell ref="A74:C74"/>
    <mergeCell ref="A75:C75"/>
    <mergeCell ref="J73:O73"/>
    <mergeCell ref="J74:O74"/>
    <mergeCell ref="J75:O75"/>
    <mergeCell ref="A70:O70"/>
    <mergeCell ref="A71:C71"/>
    <mergeCell ref="D71:F71"/>
    <mergeCell ref="G71:I71"/>
    <mergeCell ref="J71:O71"/>
    <mergeCell ref="H53:K53"/>
    <mergeCell ref="M53:R61"/>
    <mergeCell ref="B54:F54"/>
    <mergeCell ref="H54:K54"/>
    <mergeCell ref="H58:K58"/>
    <mergeCell ref="B60:F60"/>
    <mergeCell ref="A33:T33"/>
    <mergeCell ref="H36:K36"/>
    <mergeCell ref="M36:Q44"/>
    <mergeCell ref="B37:F37"/>
    <mergeCell ref="H37:K37"/>
    <mergeCell ref="H41:K41"/>
    <mergeCell ref="B42:F42"/>
    <mergeCell ref="B20:G20"/>
    <mergeCell ref="B22:G22"/>
    <mergeCell ref="B27:G27"/>
    <mergeCell ref="B5:G5"/>
    <mergeCell ref="I6:L6"/>
    <mergeCell ref="B7:G7"/>
    <mergeCell ref="I7:L7"/>
    <mergeCell ref="I11:L11"/>
    <mergeCell ref="B12:G12"/>
    <mergeCell ref="I21:L21"/>
    <mergeCell ref="I22:L22"/>
    <mergeCell ref="I26:L26"/>
    <mergeCell ref="A107:T107"/>
    <mergeCell ref="H111:K111"/>
    <mergeCell ref="M111:R119"/>
    <mergeCell ref="B112:F112"/>
    <mergeCell ref="H112:K112"/>
    <mergeCell ref="H116:K116"/>
    <mergeCell ref="B118:F118"/>
    <mergeCell ref="A125:T125"/>
    <mergeCell ref="H127:K127"/>
    <mergeCell ref="M127:R135"/>
    <mergeCell ref="B128:F128"/>
    <mergeCell ref="H128:K128"/>
    <mergeCell ref="H132:K132"/>
    <mergeCell ref="B134:F134"/>
    <mergeCell ref="H99:K99"/>
    <mergeCell ref="B100:F100"/>
    <mergeCell ref="A83:C83"/>
    <mergeCell ref="A84:C84"/>
    <mergeCell ref="A85:C85"/>
    <mergeCell ref="A86:C86"/>
    <mergeCell ref="A91:T91"/>
    <mergeCell ref="M94:Q102"/>
    <mergeCell ref="B95:F95"/>
    <mergeCell ref="J85:O85"/>
    <mergeCell ref="J86:O86"/>
    <mergeCell ref="A87:C87"/>
    <mergeCell ref="J87:O87"/>
    <mergeCell ref="J83:O83"/>
    <mergeCell ref="J84:O84"/>
  </mergeCells>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3:L1000"/>
  <sheetViews>
    <sheetView workbookViewId="0"/>
  </sheetViews>
  <sheetFormatPr baseColWidth="10" defaultColWidth="12.625" defaultRowHeight="15" customHeight="1" x14ac:dyDescent="0.2"/>
  <cols>
    <col min="1" max="5" width="10" customWidth="1"/>
    <col min="6" max="6" width="10.625" customWidth="1"/>
    <col min="7" max="26" width="10" customWidth="1"/>
  </cols>
  <sheetData>
    <row r="3" spans="2:12" x14ac:dyDescent="0.25">
      <c r="B3" s="28" t="s">
        <v>100</v>
      </c>
    </row>
    <row r="4" spans="2:12" x14ac:dyDescent="0.25">
      <c r="C4" s="3"/>
    </row>
    <row r="5" spans="2:12" ht="14.25" x14ac:dyDescent="0.2">
      <c r="B5" s="296" t="s">
        <v>6</v>
      </c>
      <c r="C5" s="297"/>
      <c r="D5" s="297"/>
      <c r="E5" s="297"/>
      <c r="F5" s="297"/>
      <c r="G5" s="298"/>
    </row>
    <row r="6" spans="2:12" ht="14.25" x14ac:dyDescent="0.2">
      <c r="B6" s="296" t="s">
        <v>106</v>
      </c>
      <c r="C6" s="297"/>
      <c r="D6" s="298"/>
      <c r="E6" s="296" t="s">
        <v>107</v>
      </c>
      <c r="F6" s="297"/>
      <c r="G6" s="298"/>
    </row>
    <row r="7" spans="2:12" ht="14.25" x14ac:dyDescent="0.2">
      <c r="B7" s="13" t="s">
        <v>13</v>
      </c>
      <c r="C7" s="14">
        <v>679</v>
      </c>
      <c r="D7" s="17" t="s">
        <v>724</v>
      </c>
      <c r="E7" s="13" t="s">
        <v>13</v>
      </c>
      <c r="F7" s="14">
        <f>F9+F9*0.05</f>
        <v>689.85</v>
      </c>
      <c r="G7" s="17" t="s">
        <v>726</v>
      </c>
    </row>
    <row r="8" spans="2:12" ht="14.25" x14ac:dyDescent="0.2">
      <c r="B8" s="13" t="s">
        <v>19</v>
      </c>
      <c r="C8" s="18">
        <v>615</v>
      </c>
      <c r="D8" s="17" t="s">
        <v>727</v>
      </c>
      <c r="E8" s="13" t="s">
        <v>19</v>
      </c>
      <c r="F8" s="18">
        <f>F9-F9*0.05</f>
        <v>624.15</v>
      </c>
      <c r="G8" s="17" t="s">
        <v>728</v>
      </c>
    </row>
    <row r="9" spans="2:12" ht="14.25" x14ac:dyDescent="0.2">
      <c r="B9" s="13" t="s">
        <v>27</v>
      </c>
      <c r="C9" s="20">
        <v>647</v>
      </c>
      <c r="D9" s="17" t="s">
        <v>729</v>
      </c>
      <c r="E9" s="13" t="s">
        <v>27</v>
      </c>
      <c r="F9" s="20">
        <v>657</v>
      </c>
      <c r="G9" s="17" t="s">
        <v>730</v>
      </c>
    </row>
    <row r="10" spans="2:12" ht="14.25" x14ac:dyDescent="0.2">
      <c r="B10" s="13" t="s">
        <v>121</v>
      </c>
      <c r="C10" s="20">
        <v>730</v>
      </c>
      <c r="D10" s="17" t="s">
        <v>731</v>
      </c>
      <c r="E10" s="13" t="s">
        <v>121</v>
      </c>
      <c r="F10" s="20">
        <v>660</v>
      </c>
      <c r="G10" s="17" t="s">
        <v>732</v>
      </c>
    </row>
    <row r="11" spans="2:12" x14ac:dyDescent="0.25">
      <c r="C11" s="3"/>
    </row>
    <row r="14" spans="2:12" x14ac:dyDescent="0.25">
      <c r="B14" s="28" t="s">
        <v>733</v>
      </c>
      <c r="C14" s="28"/>
      <c r="D14" s="28"/>
      <c r="E14" s="28"/>
      <c r="F14" s="28"/>
      <c r="G14" s="28"/>
      <c r="H14" s="28"/>
      <c r="I14" s="28"/>
      <c r="J14" s="28"/>
      <c r="K14" s="28"/>
      <c r="L14" s="28"/>
    </row>
    <row r="15" spans="2:12" x14ac:dyDescent="0.25">
      <c r="B15" s="28"/>
      <c r="C15" s="23"/>
      <c r="D15" s="23"/>
      <c r="E15" s="23"/>
      <c r="F15" s="23"/>
      <c r="G15" s="23"/>
      <c r="H15" s="28"/>
      <c r="I15" s="28"/>
      <c r="J15" s="28"/>
      <c r="K15" s="28"/>
      <c r="L15" s="28"/>
    </row>
    <row r="16" spans="2:12" x14ac:dyDescent="0.25">
      <c r="B16" s="332" t="s">
        <v>734</v>
      </c>
      <c r="C16" s="297"/>
      <c r="D16" s="297"/>
      <c r="E16" s="297"/>
      <c r="F16" s="297"/>
      <c r="G16" s="298"/>
    </row>
    <row r="17" spans="2:12" ht="24" x14ac:dyDescent="0.2">
      <c r="B17" s="4" t="s">
        <v>0</v>
      </c>
      <c r="C17" s="5" t="s">
        <v>1</v>
      </c>
      <c r="D17" s="5" t="s">
        <v>42</v>
      </c>
      <c r="E17" s="5" t="s">
        <v>43</v>
      </c>
      <c r="F17" s="5" t="s">
        <v>44</v>
      </c>
      <c r="G17" s="7" t="s">
        <v>206</v>
      </c>
      <c r="I17" s="296" t="s">
        <v>45</v>
      </c>
      <c r="J17" s="297"/>
      <c r="K17" s="297"/>
      <c r="L17" s="298"/>
    </row>
    <row r="18" spans="2:12" ht="14.25" x14ac:dyDescent="0.2">
      <c r="B18" s="310" t="s">
        <v>275</v>
      </c>
      <c r="C18" s="297"/>
      <c r="D18" s="297"/>
      <c r="E18" s="297"/>
      <c r="F18" s="297"/>
      <c r="G18" s="298"/>
      <c r="I18" s="305" t="s">
        <v>275</v>
      </c>
      <c r="J18" s="297"/>
      <c r="K18" s="297"/>
      <c r="L18" s="298"/>
    </row>
    <row r="19" spans="2:12" ht="14.25" x14ac:dyDescent="0.2">
      <c r="B19" s="9" t="s">
        <v>11</v>
      </c>
      <c r="C19" s="12" t="s">
        <v>12</v>
      </c>
      <c r="D19" s="17">
        <v>780</v>
      </c>
      <c r="E19" s="22">
        <v>788</v>
      </c>
      <c r="F19" s="11">
        <v>783</v>
      </c>
      <c r="G19" s="110"/>
      <c r="I19" s="12"/>
      <c r="J19" s="12" t="s">
        <v>52</v>
      </c>
      <c r="K19" s="12" t="s">
        <v>53</v>
      </c>
      <c r="L19" s="12"/>
    </row>
    <row r="20" spans="2:12" ht="14.25" x14ac:dyDescent="0.2">
      <c r="B20" s="9" t="s">
        <v>11</v>
      </c>
      <c r="C20" s="12" t="s">
        <v>18</v>
      </c>
      <c r="D20" s="17">
        <v>0</v>
      </c>
      <c r="E20" s="22">
        <v>0</v>
      </c>
      <c r="F20" s="11">
        <v>0</v>
      </c>
      <c r="G20" s="110"/>
      <c r="I20" s="12" t="s">
        <v>12</v>
      </c>
      <c r="J20" s="17">
        <v>780</v>
      </c>
      <c r="K20" s="11">
        <v>780</v>
      </c>
      <c r="L20" s="17" t="s">
        <v>739</v>
      </c>
    </row>
    <row r="21" spans="2:12" ht="15.75" customHeight="1" x14ac:dyDescent="0.2">
      <c r="B21" s="9" t="s">
        <v>21</v>
      </c>
      <c r="C21" s="12" t="s">
        <v>59</v>
      </c>
      <c r="D21" s="17">
        <v>440</v>
      </c>
      <c r="E21" s="22">
        <v>456</v>
      </c>
      <c r="F21" s="11">
        <v>452</v>
      </c>
      <c r="G21" s="110"/>
      <c r="I21" s="12" t="s">
        <v>18</v>
      </c>
      <c r="J21" s="17">
        <v>0</v>
      </c>
      <c r="K21" s="11">
        <v>0</v>
      </c>
      <c r="L21" s="17" t="s">
        <v>741</v>
      </c>
    </row>
    <row r="22" spans="2:12" ht="15.75" customHeight="1" x14ac:dyDescent="0.2">
      <c r="B22" s="9" t="s">
        <v>21</v>
      </c>
      <c r="C22" s="12" t="s">
        <v>63</v>
      </c>
      <c r="D22" s="17">
        <v>160</v>
      </c>
      <c r="E22" s="22">
        <v>168</v>
      </c>
      <c r="F22" s="11">
        <v>163</v>
      </c>
      <c r="G22" s="110"/>
      <c r="I22" s="305" t="s">
        <v>313</v>
      </c>
      <c r="J22" s="297"/>
      <c r="K22" s="297"/>
      <c r="L22" s="298"/>
    </row>
    <row r="23" spans="2:12" ht="15.75" customHeight="1" x14ac:dyDescent="0.2">
      <c r="B23" s="310" t="s">
        <v>313</v>
      </c>
      <c r="C23" s="297"/>
      <c r="D23" s="297"/>
      <c r="E23" s="297"/>
      <c r="F23" s="297"/>
      <c r="G23" s="298"/>
      <c r="I23" s="12" t="s">
        <v>12</v>
      </c>
      <c r="J23" s="17">
        <v>730</v>
      </c>
      <c r="K23" s="11">
        <v>730</v>
      </c>
      <c r="L23" s="17" t="s">
        <v>745</v>
      </c>
    </row>
    <row r="24" spans="2:12" ht="15.75" customHeight="1" x14ac:dyDescent="0.2">
      <c r="B24" s="9" t="s">
        <v>11</v>
      </c>
      <c r="C24" s="12" t="s">
        <v>12</v>
      </c>
      <c r="D24" s="17">
        <v>730</v>
      </c>
      <c r="E24" s="22">
        <v>737</v>
      </c>
      <c r="F24" s="22">
        <v>735</v>
      </c>
      <c r="G24" s="110"/>
      <c r="I24" s="12" t="s">
        <v>18</v>
      </c>
      <c r="J24" s="17">
        <v>0</v>
      </c>
      <c r="K24" s="11">
        <v>0</v>
      </c>
      <c r="L24" s="17" t="s">
        <v>746</v>
      </c>
    </row>
    <row r="25" spans="2:12" ht="15.75" customHeight="1" x14ac:dyDescent="0.2">
      <c r="B25" s="9" t="s">
        <v>11</v>
      </c>
      <c r="C25" s="12" t="s">
        <v>18</v>
      </c>
      <c r="D25" s="17">
        <v>0</v>
      </c>
      <c r="E25" s="22">
        <v>0</v>
      </c>
      <c r="F25" s="22">
        <v>0</v>
      </c>
      <c r="G25" s="110"/>
    </row>
    <row r="26" spans="2:12" ht="15.75" customHeight="1" x14ac:dyDescent="0.2">
      <c r="B26" s="9" t="s">
        <v>21</v>
      </c>
      <c r="C26" s="12" t="s">
        <v>59</v>
      </c>
      <c r="D26" s="17">
        <v>430</v>
      </c>
      <c r="E26" s="22">
        <v>421</v>
      </c>
      <c r="F26" s="22">
        <v>420</v>
      </c>
      <c r="G26" s="110"/>
    </row>
    <row r="27" spans="2:12" ht="15.75" customHeight="1" x14ac:dyDescent="0.2">
      <c r="B27" s="9" t="s">
        <v>21</v>
      </c>
      <c r="C27" s="12" t="s">
        <v>63</v>
      </c>
      <c r="D27" s="17">
        <v>150</v>
      </c>
      <c r="E27" s="22">
        <v>160</v>
      </c>
      <c r="F27" s="22">
        <v>155</v>
      </c>
      <c r="G27" s="110"/>
    </row>
    <row r="28" spans="2:12" ht="15.75" customHeight="1" x14ac:dyDescent="0.25">
      <c r="C28" s="2"/>
      <c r="D28" s="1"/>
      <c r="L28" s="21" t="s">
        <v>661</v>
      </c>
    </row>
    <row r="29" spans="2:12" ht="15.75" customHeight="1" x14ac:dyDescent="0.2">
      <c r="C29" s="2"/>
      <c r="D29" s="2"/>
    </row>
    <row r="30" spans="2:12" ht="15.75" customHeight="1" x14ac:dyDescent="0.2">
      <c r="C30" s="2"/>
      <c r="D30" s="2"/>
    </row>
    <row r="31" spans="2:12" ht="15.75" customHeight="1" x14ac:dyDescent="0.25">
      <c r="G31" s="123"/>
    </row>
    <row r="32" spans="2:12" ht="15.75" customHeight="1" x14ac:dyDescent="0.25">
      <c r="G32" s="123"/>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
    <mergeCell ref="I22:L22"/>
    <mergeCell ref="B23:G23"/>
    <mergeCell ref="B5:G5"/>
    <mergeCell ref="B6:D6"/>
    <mergeCell ref="E6:G6"/>
    <mergeCell ref="B16:G16"/>
    <mergeCell ref="I17:L17"/>
    <mergeCell ref="B18:G18"/>
    <mergeCell ref="I18:L18"/>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Z1000"/>
  <sheetViews>
    <sheetView workbookViewId="0"/>
  </sheetViews>
  <sheetFormatPr baseColWidth="10" defaultColWidth="12.625" defaultRowHeight="15" customHeight="1" x14ac:dyDescent="0.2"/>
  <cols>
    <col min="1" max="26" width="10" customWidth="1"/>
  </cols>
  <sheetData>
    <row r="2" spans="2:13" x14ac:dyDescent="0.25">
      <c r="B2" s="21" t="s">
        <v>725</v>
      </c>
    </row>
    <row r="4" spans="2:13" x14ac:dyDescent="0.25">
      <c r="B4" s="304" t="s">
        <v>563</v>
      </c>
      <c r="C4" s="297"/>
      <c r="D4" s="297"/>
      <c r="E4" s="297"/>
      <c r="F4" s="154"/>
      <c r="I4" s="3"/>
    </row>
    <row r="5" spans="2:13" ht="24" x14ac:dyDescent="0.2">
      <c r="B5" s="4" t="s">
        <v>0</v>
      </c>
      <c r="C5" s="5" t="s">
        <v>1</v>
      </c>
      <c r="D5" s="5" t="s">
        <v>2</v>
      </c>
      <c r="E5" s="5" t="s">
        <v>43</v>
      </c>
      <c r="F5" s="45" t="s">
        <v>125</v>
      </c>
      <c r="H5" s="296" t="s">
        <v>6</v>
      </c>
      <c r="I5" s="297"/>
      <c r="J5" s="297"/>
      <c r="K5" s="297"/>
      <c r="L5" s="297"/>
      <c r="M5" s="298"/>
    </row>
    <row r="6" spans="2:13" ht="14.25" x14ac:dyDescent="0.2">
      <c r="B6" s="9" t="s">
        <v>7</v>
      </c>
      <c r="C6" s="302" t="s">
        <v>9</v>
      </c>
      <c r="D6" s="11">
        <v>28.1</v>
      </c>
      <c r="E6" s="11">
        <v>21</v>
      </c>
      <c r="F6" s="11">
        <v>29</v>
      </c>
      <c r="H6" s="296" t="s">
        <v>106</v>
      </c>
      <c r="I6" s="297"/>
      <c r="J6" s="298"/>
      <c r="K6" s="296" t="s">
        <v>107</v>
      </c>
      <c r="L6" s="297"/>
      <c r="M6" s="298"/>
    </row>
    <row r="7" spans="2:13" ht="14.25" x14ac:dyDescent="0.2">
      <c r="B7" s="9" t="s">
        <v>17</v>
      </c>
      <c r="C7" s="300"/>
      <c r="D7" s="11">
        <v>63.911000000000001</v>
      </c>
      <c r="E7" s="11">
        <v>25</v>
      </c>
      <c r="F7" s="11">
        <v>64</v>
      </c>
      <c r="H7" s="13" t="s">
        <v>13</v>
      </c>
      <c r="I7" s="14">
        <v>684</v>
      </c>
      <c r="J7" s="17" t="s">
        <v>735</v>
      </c>
      <c r="K7" s="13" t="s">
        <v>13</v>
      </c>
      <c r="L7" s="14">
        <f>L9+L9*0.05</f>
        <v>683.55</v>
      </c>
      <c r="M7" s="17" t="s">
        <v>736</v>
      </c>
    </row>
    <row r="8" spans="2:13" ht="14.25" x14ac:dyDescent="0.2">
      <c r="B8" s="9" t="s">
        <v>26</v>
      </c>
      <c r="C8" s="300"/>
      <c r="D8" s="11">
        <v>69.921999999999997</v>
      </c>
      <c r="E8" s="11">
        <v>27</v>
      </c>
      <c r="F8" s="11">
        <v>65</v>
      </c>
      <c r="H8" s="13" t="s">
        <v>19</v>
      </c>
      <c r="I8" s="18">
        <v>618</v>
      </c>
      <c r="J8" s="17" t="s">
        <v>737</v>
      </c>
      <c r="K8" s="13" t="s">
        <v>19</v>
      </c>
      <c r="L8" s="18">
        <f>L9-L9*0.05</f>
        <v>618.45000000000005</v>
      </c>
      <c r="M8" s="17" t="s">
        <v>738</v>
      </c>
    </row>
    <row r="9" spans="2:13" ht="14.25" x14ac:dyDescent="0.2">
      <c r="B9" s="9" t="s">
        <v>32</v>
      </c>
      <c r="C9" s="300"/>
      <c r="D9" s="11">
        <v>96.744</v>
      </c>
      <c r="E9" s="11">
        <v>86</v>
      </c>
      <c r="F9" s="11">
        <v>76</v>
      </c>
      <c r="H9" s="13" t="s">
        <v>27</v>
      </c>
      <c r="I9" s="20">
        <v>651</v>
      </c>
      <c r="J9" s="17" t="s">
        <v>740</v>
      </c>
      <c r="K9" s="13" t="s">
        <v>27</v>
      </c>
      <c r="L9" s="20">
        <v>651</v>
      </c>
      <c r="M9" s="17" t="s">
        <v>742</v>
      </c>
    </row>
    <row r="10" spans="2:13" ht="14.25" x14ac:dyDescent="0.2">
      <c r="B10" s="9" t="s">
        <v>33</v>
      </c>
      <c r="C10" s="301"/>
      <c r="D10" s="11">
        <v>128.11000000000001</v>
      </c>
      <c r="E10" s="11">
        <v>106</v>
      </c>
      <c r="F10" s="11">
        <v>102</v>
      </c>
      <c r="H10" s="13" t="s">
        <v>121</v>
      </c>
      <c r="I10" s="20">
        <v>617</v>
      </c>
      <c r="J10" s="17" t="s">
        <v>743</v>
      </c>
      <c r="K10" s="13" t="s">
        <v>121</v>
      </c>
      <c r="L10" s="20">
        <v>652</v>
      </c>
      <c r="M10" s="17" t="s">
        <v>744</v>
      </c>
    </row>
    <row r="11" spans="2:13" x14ac:dyDescent="0.25">
      <c r="B11" s="296"/>
      <c r="C11" s="297"/>
      <c r="D11" s="297"/>
      <c r="E11" s="297"/>
      <c r="F11" s="11"/>
      <c r="I11" s="3"/>
    </row>
    <row r="12" spans="2:13" x14ac:dyDescent="0.25">
      <c r="B12" s="9" t="s">
        <v>35</v>
      </c>
      <c r="C12" s="302" t="s">
        <v>36</v>
      </c>
      <c r="D12" s="11">
        <v>207.78</v>
      </c>
      <c r="E12" s="11">
        <v>174</v>
      </c>
      <c r="F12" s="11">
        <v>198</v>
      </c>
      <c r="I12" s="3"/>
    </row>
    <row r="13" spans="2:13" x14ac:dyDescent="0.25">
      <c r="B13" s="9" t="s">
        <v>37</v>
      </c>
      <c r="C13" s="300"/>
      <c r="D13" s="11">
        <v>444.11</v>
      </c>
      <c r="E13" s="11">
        <v>204</v>
      </c>
      <c r="F13" s="11">
        <v>230</v>
      </c>
      <c r="I13" s="3"/>
    </row>
    <row r="14" spans="2:13" x14ac:dyDescent="0.25">
      <c r="B14" s="9" t="s">
        <v>38</v>
      </c>
      <c r="C14" s="300"/>
      <c r="D14" s="11">
        <v>579.55999999999995</v>
      </c>
      <c r="E14" s="11">
        <v>250</v>
      </c>
      <c r="F14" s="11">
        <v>564</v>
      </c>
      <c r="I14" s="3"/>
    </row>
    <row r="15" spans="2:13" x14ac:dyDescent="0.25">
      <c r="B15" s="9" t="s">
        <v>39</v>
      </c>
      <c r="C15" s="300"/>
      <c r="D15" s="11">
        <v>746.22</v>
      </c>
      <c r="E15" s="11">
        <v>628</v>
      </c>
      <c r="F15" s="11">
        <v>686</v>
      </c>
      <c r="I15" s="3"/>
    </row>
    <row r="16" spans="2:13" x14ac:dyDescent="0.25">
      <c r="B16" s="49" t="s">
        <v>41</v>
      </c>
      <c r="C16" s="300"/>
      <c r="D16" s="51">
        <v>869.5</v>
      </c>
      <c r="E16" s="51">
        <v>670</v>
      </c>
      <c r="F16" s="51">
        <v>726</v>
      </c>
      <c r="I16" s="3"/>
    </row>
    <row r="17" spans="2:9" x14ac:dyDescent="0.25">
      <c r="B17" s="308"/>
      <c r="C17" s="297"/>
      <c r="D17" s="297"/>
      <c r="E17" s="297"/>
      <c r="F17" s="306"/>
      <c r="I17" s="3"/>
    </row>
    <row r="18" spans="2:9" x14ac:dyDescent="0.25">
      <c r="B18" s="9" t="s">
        <v>46</v>
      </c>
      <c r="C18" s="299" t="s">
        <v>47</v>
      </c>
      <c r="D18" s="11">
        <v>88.4</v>
      </c>
      <c r="E18" s="11">
        <v>85</v>
      </c>
      <c r="F18" s="11">
        <v>85</v>
      </c>
      <c r="I18" s="3"/>
    </row>
    <row r="19" spans="2:9" x14ac:dyDescent="0.25">
      <c r="B19" s="9" t="s">
        <v>48</v>
      </c>
      <c r="C19" s="300"/>
      <c r="D19" s="11">
        <v>94.6</v>
      </c>
      <c r="E19" s="11">
        <v>87</v>
      </c>
      <c r="F19" s="11">
        <v>85</v>
      </c>
      <c r="I19" s="3"/>
    </row>
    <row r="20" spans="2:9" x14ac:dyDescent="0.25">
      <c r="B20" s="296"/>
      <c r="C20" s="297"/>
      <c r="D20" s="297"/>
      <c r="E20" s="297"/>
      <c r="F20" s="11"/>
      <c r="I20" s="3"/>
    </row>
    <row r="21" spans="2:9" ht="15.75" customHeight="1" x14ac:dyDescent="0.25">
      <c r="B21" s="9" t="s">
        <v>50</v>
      </c>
      <c r="C21" s="302" t="s">
        <v>51</v>
      </c>
      <c r="D21" s="11">
        <v>271.44400000000002</v>
      </c>
      <c r="E21" s="11">
        <v>261</v>
      </c>
      <c r="F21" s="11">
        <v>263</v>
      </c>
      <c r="I21" s="3"/>
    </row>
    <row r="22" spans="2:9" ht="15.75" customHeight="1" x14ac:dyDescent="0.25">
      <c r="B22" s="9" t="s">
        <v>54</v>
      </c>
      <c r="C22" s="300"/>
      <c r="D22" s="11">
        <v>550.22199999999998</v>
      </c>
      <c r="E22" s="11">
        <v>268</v>
      </c>
      <c r="F22" s="11">
        <v>284</v>
      </c>
      <c r="I22" s="3"/>
    </row>
    <row r="23" spans="2:9" ht="15.75" customHeight="1" x14ac:dyDescent="0.25">
      <c r="B23" s="9" t="s">
        <v>55</v>
      </c>
      <c r="C23" s="300"/>
      <c r="D23" s="11">
        <v>609</v>
      </c>
      <c r="E23" s="11">
        <v>682</v>
      </c>
      <c r="F23" s="11">
        <v>660</v>
      </c>
      <c r="I23" s="3"/>
    </row>
    <row r="24" spans="2:9" ht="15.75" customHeight="1" x14ac:dyDescent="0.25">
      <c r="B24" s="9" t="s">
        <v>56</v>
      </c>
      <c r="C24" s="300"/>
      <c r="D24" s="11">
        <v>739.11099999999999</v>
      </c>
      <c r="E24" s="11">
        <v>712</v>
      </c>
      <c r="F24" s="11">
        <v>697</v>
      </c>
      <c r="I24" s="3"/>
    </row>
    <row r="25" spans="2:9" ht="15.75" customHeight="1" x14ac:dyDescent="0.25">
      <c r="B25" s="49" t="s">
        <v>57</v>
      </c>
      <c r="C25" s="300"/>
      <c r="D25" s="51">
        <v>746.88900000000001</v>
      </c>
      <c r="E25" s="51">
        <v>648</v>
      </c>
      <c r="F25" s="51">
        <v>619</v>
      </c>
      <c r="I25" s="3"/>
    </row>
    <row r="26" spans="2:9" ht="15.75" customHeight="1" x14ac:dyDescent="0.25">
      <c r="B26" s="308"/>
      <c r="C26" s="297"/>
      <c r="D26" s="297"/>
      <c r="E26" s="297"/>
      <c r="F26" s="306"/>
      <c r="I26" s="3"/>
    </row>
    <row r="27" spans="2:9" ht="15.75" customHeight="1" x14ac:dyDescent="0.25">
      <c r="B27" s="9" t="s">
        <v>60</v>
      </c>
      <c r="C27" s="299" t="s">
        <v>62</v>
      </c>
      <c r="D27" s="11">
        <v>19.36</v>
      </c>
      <c r="E27" s="11">
        <v>15</v>
      </c>
      <c r="F27" s="11">
        <v>17</v>
      </c>
      <c r="I27" s="3"/>
    </row>
    <row r="28" spans="2:9" ht="15.75" customHeight="1" x14ac:dyDescent="0.25">
      <c r="B28" s="9" t="s">
        <v>64</v>
      </c>
      <c r="C28" s="300"/>
      <c r="D28" s="11">
        <v>33.31</v>
      </c>
      <c r="E28" s="11">
        <v>21</v>
      </c>
      <c r="F28" s="11">
        <v>32</v>
      </c>
      <c r="I28" s="3"/>
    </row>
    <row r="29" spans="2:9" ht="15.75" customHeight="1" x14ac:dyDescent="0.25">
      <c r="B29" s="9" t="s">
        <v>65</v>
      </c>
      <c r="C29" s="301"/>
      <c r="D29" s="11">
        <v>41.74</v>
      </c>
      <c r="E29" s="11">
        <v>18</v>
      </c>
      <c r="F29" s="11">
        <v>20</v>
      </c>
      <c r="I29" s="3"/>
    </row>
    <row r="30" spans="2:9" ht="15.75" customHeight="1" x14ac:dyDescent="0.25">
      <c r="B30" s="296"/>
      <c r="C30" s="297"/>
      <c r="D30" s="297"/>
      <c r="E30" s="297"/>
      <c r="F30" s="11"/>
      <c r="I30" s="3"/>
    </row>
    <row r="31" spans="2:9" ht="15.75" customHeight="1" x14ac:dyDescent="0.25">
      <c r="B31" s="9" t="s">
        <v>66</v>
      </c>
      <c r="C31" s="302" t="s">
        <v>68</v>
      </c>
      <c r="D31" s="11">
        <v>204.5</v>
      </c>
      <c r="E31" s="11">
        <v>199</v>
      </c>
      <c r="F31" s="11">
        <v>164</v>
      </c>
      <c r="I31" s="3"/>
    </row>
    <row r="32" spans="2:9" ht="15.75" customHeight="1" x14ac:dyDescent="0.25">
      <c r="B32" s="49" t="s">
        <v>69</v>
      </c>
      <c r="C32" s="300"/>
      <c r="D32" s="51">
        <v>277.7</v>
      </c>
      <c r="E32" s="51">
        <v>233</v>
      </c>
      <c r="F32" s="51">
        <v>211</v>
      </c>
      <c r="I32" s="3"/>
    </row>
    <row r="33" spans="2:9" ht="15.75" customHeight="1" x14ac:dyDescent="0.25">
      <c r="B33" s="305"/>
      <c r="C33" s="297"/>
      <c r="D33" s="297"/>
      <c r="E33" s="297"/>
      <c r="F33" s="306"/>
      <c r="I33" s="3"/>
    </row>
    <row r="34" spans="2:9" ht="15.75" customHeight="1" x14ac:dyDescent="0.25">
      <c r="B34" s="9" t="s">
        <v>69</v>
      </c>
      <c r="C34" s="299" t="s">
        <v>71</v>
      </c>
      <c r="D34" s="11">
        <v>10.283300000000001</v>
      </c>
      <c r="E34" s="11">
        <v>5</v>
      </c>
      <c r="F34" s="11">
        <v>15</v>
      </c>
      <c r="I34" s="3"/>
    </row>
    <row r="35" spans="2:9" ht="15.75" customHeight="1" x14ac:dyDescent="0.25">
      <c r="B35" s="9" t="s">
        <v>72</v>
      </c>
      <c r="C35" s="300"/>
      <c r="D35" s="11">
        <v>11.8833</v>
      </c>
      <c r="E35" s="11">
        <v>5</v>
      </c>
      <c r="F35" s="11">
        <v>15</v>
      </c>
      <c r="I35" s="3"/>
    </row>
    <row r="36" spans="2:9" ht="15.75" customHeight="1" x14ac:dyDescent="0.25">
      <c r="B36" s="9" t="s">
        <v>73</v>
      </c>
      <c r="C36" s="301"/>
      <c r="D36" s="11">
        <v>17.433299999999999</v>
      </c>
      <c r="E36" s="11">
        <v>9</v>
      </c>
      <c r="F36" s="11">
        <v>19</v>
      </c>
      <c r="I36" s="3"/>
    </row>
    <row r="37" spans="2:9" ht="15.75" customHeight="1" x14ac:dyDescent="0.25">
      <c r="B37" s="296"/>
      <c r="C37" s="297"/>
      <c r="D37" s="297"/>
      <c r="E37" s="297"/>
      <c r="F37" s="11"/>
      <c r="I37" s="3"/>
    </row>
    <row r="38" spans="2:9" ht="15.75" customHeight="1" x14ac:dyDescent="0.25">
      <c r="B38" s="9" t="s">
        <v>76</v>
      </c>
      <c r="C38" s="302" t="s">
        <v>77</v>
      </c>
      <c r="D38" s="11">
        <v>117.467</v>
      </c>
      <c r="E38" s="11">
        <v>146</v>
      </c>
      <c r="F38" s="11">
        <v>153</v>
      </c>
      <c r="I38" s="3"/>
    </row>
    <row r="39" spans="2:9" ht="15.75" customHeight="1" x14ac:dyDescent="0.25">
      <c r="B39" s="9" t="s">
        <v>78</v>
      </c>
      <c r="C39" s="300"/>
      <c r="D39" s="11">
        <v>187.833</v>
      </c>
      <c r="E39" s="11">
        <v>116</v>
      </c>
      <c r="F39" s="11">
        <v>114</v>
      </c>
      <c r="I39" s="3"/>
    </row>
    <row r="40" spans="2:9" ht="15.75" customHeight="1" x14ac:dyDescent="0.25">
      <c r="B40" s="9" t="s">
        <v>79</v>
      </c>
      <c r="C40" s="300"/>
      <c r="D40" s="11">
        <v>218.333</v>
      </c>
      <c r="E40" s="11">
        <v>178</v>
      </c>
      <c r="F40" s="11">
        <v>193</v>
      </c>
      <c r="I40" s="3"/>
    </row>
    <row r="41" spans="2:9" ht="15.75" customHeight="1" x14ac:dyDescent="0.25">
      <c r="B41" s="49" t="s">
        <v>80</v>
      </c>
      <c r="C41" s="300"/>
      <c r="D41" s="51">
        <v>238.5</v>
      </c>
      <c r="E41" s="51">
        <v>91</v>
      </c>
      <c r="F41" s="51">
        <v>87</v>
      </c>
      <c r="I41" s="3"/>
    </row>
    <row r="42" spans="2:9" ht="15.75" customHeight="1" x14ac:dyDescent="0.25">
      <c r="B42" s="305"/>
      <c r="C42" s="297"/>
      <c r="D42" s="297"/>
      <c r="E42" s="297"/>
      <c r="F42" s="306"/>
      <c r="I42" s="3"/>
    </row>
    <row r="43" spans="2:9" ht="15.75" customHeight="1" x14ac:dyDescent="0.25">
      <c r="B43" s="9" t="s">
        <v>81</v>
      </c>
      <c r="C43" s="299" t="s">
        <v>82</v>
      </c>
      <c r="D43" s="11">
        <v>2</v>
      </c>
      <c r="E43" s="11">
        <v>2</v>
      </c>
      <c r="F43" s="11">
        <v>2</v>
      </c>
      <c r="I43" s="3"/>
    </row>
    <row r="44" spans="2:9" ht="15.75" customHeight="1" x14ac:dyDescent="0.25">
      <c r="B44" s="9" t="s">
        <v>83</v>
      </c>
      <c r="C44" s="300"/>
      <c r="D44" s="11">
        <v>7.133</v>
      </c>
      <c r="E44" s="11">
        <v>2</v>
      </c>
      <c r="F44" s="11">
        <v>7</v>
      </c>
      <c r="I44" s="3"/>
    </row>
    <row r="45" spans="2:9" ht="15.75" customHeight="1" x14ac:dyDescent="0.25">
      <c r="B45" s="9" t="s">
        <v>84</v>
      </c>
      <c r="C45" s="301"/>
      <c r="D45" s="11">
        <v>10.72</v>
      </c>
      <c r="E45" s="11">
        <v>2</v>
      </c>
      <c r="F45" s="11">
        <v>4</v>
      </c>
      <c r="I45" s="3"/>
    </row>
    <row r="46" spans="2:9" ht="15.75" customHeight="1" x14ac:dyDescent="0.25">
      <c r="B46" s="296"/>
      <c r="C46" s="297"/>
      <c r="D46" s="297"/>
      <c r="E46" s="297"/>
      <c r="F46" s="11"/>
      <c r="I46" s="3"/>
    </row>
    <row r="47" spans="2:9" ht="15.75" customHeight="1" x14ac:dyDescent="0.25">
      <c r="B47" s="9" t="s">
        <v>86</v>
      </c>
      <c r="C47" s="302" t="s">
        <v>87</v>
      </c>
      <c r="D47" s="11">
        <v>20.466999999999999</v>
      </c>
      <c r="E47" s="11">
        <v>21</v>
      </c>
      <c r="F47" s="11">
        <v>20</v>
      </c>
      <c r="I47" s="3"/>
    </row>
    <row r="48" spans="2:9" ht="15.75" customHeight="1" x14ac:dyDescent="0.25">
      <c r="B48" s="49" t="s">
        <v>88</v>
      </c>
      <c r="C48" s="300"/>
      <c r="D48" s="51">
        <v>20.367000000000001</v>
      </c>
      <c r="E48" s="51">
        <v>21</v>
      </c>
      <c r="F48" s="51">
        <v>20</v>
      </c>
      <c r="I48" s="3"/>
    </row>
    <row r="49" spans="1:26" ht="15.75" customHeight="1" x14ac:dyDescent="0.25">
      <c r="B49" s="305"/>
      <c r="C49" s="297"/>
      <c r="D49" s="297"/>
      <c r="E49" s="297"/>
      <c r="F49" s="306"/>
      <c r="I49" s="3"/>
    </row>
    <row r="50" spans="1:26" ht="15.75" customHeight="1" x14ac:dyDescent="0.25">
      <c r="B50" s="9" t="s">
        <v>89</v>
      </c>
      <c r="C50" s="299" t="s">
        <v>90</v>
      </c>
      <c r="D50" s="11">
        <v>5.15</v>
      </c>
      <c r="E50" s="11">
        <v>15</v>
      </c>
      <c r="F50" s="11">
        <v>15</v>
      </c>
      <c r="I50" s="3"/>
    </row>
    <row r="51" spans="1:26" ht="15.75" customHeight="1" x14ac:dyDescent="0.25">
      <c r="B51" s="49" t="s">
        <v>91</v>
      </c>
      <c r="C51" s="300"/>
      <c r="D51" s="51">
        <v>16.2</v>
      </c>
      <c r="E51" s="51">
        <v>15</v>
      </c>
      <c r="F51" s="51">
        <v>15</v>
      </c>
      <c r="I51" s="3"/>
    </row>
    <row r="52" spans="1:26" ht="15.75" customHeight="1" x14ac:dyDescent="0.25">
      <c r="B52" s="296"/>
      <c r="C52" s="297"/>
      <c r="D52" s="297"/>
      <c r="E52" s="297"/>
      <c r="F52" s="298"/>
      <c r="I52" s="3"/>
    </row>
    <row r="53" spans="1:26" ht="15.75" customHeight="1" x14ac:dyDescent="0.25">
      <c r="B53" s="9" t="s">
        <v>94</v>
      </c>
      <c r="C53" s="299" t="s">
        <v>95</v>
      </c>
      <c r="D53" s="11">
        <v>50.082999999999998</v>
      </c>
      <c r="E53" s="11">
        <v>42</v>
      </c>
      <c r="F53" s="11">
        <v>50</v>
      </c>
      <c r="I53" s="3"/>
    </row>
    <row r="54" spans="1:26" ht="15.75" customHeight="1" x14ac:dyDescent="0.25">
      <c r="B54" s="9" t="s">
        <v>96</v>
      </c>
      <c r="C54" s="300"/>
      <c r="D54" s="11">
        <v>93.992999999999995</v>
      </c>
      <c r="E54" s="11">
        <v>55</v>
      </c>
      <c r="F54" s="11">
        <v>110</v>
      </c>
      <c r="I54" s="3"/>
    </row>
    <row r="55" spans="1:26" ht="15.75" customHeight="1" x14ac:dyDescent="0.25">
      <c r="B55" s="9" t="s">
        <v>97</v>
      </c>
      <c r="C55" s="300"/>
      <c r="D55" s="11">
        <v>95.516999999999996</v>
      </c>
      <c r="E55" s="11">
        <v>43</v>
      </c>
      <c r="F55" s="11">
        <v>54</v>
      </c>
      <c r="I55" s="3"/>
    </row>
    <row r="56" spans="1:26" ht="15.75" customHeight="1" x14ac:dyDescent="0.25">
      <c r="B56" s="9" t="s">
        <v>98</v>
      </c>
      <c r="C56" s="300"/>
      <c r="D56" s="11">
        <v>100.92</v>
      </c>
      <c r="E56" s="11">
        <v>58</v>
      </c>
      <c r="F56" s="11">
        <v>112</v>
      </c>
      <c r="I56" s="3"/>
    </row>
    <row r="57" spans="1:26" ht="15.75" customHeight="1" x14ac:dyDescent="0.25">
      <c r="B57" s="9" t="s">
        <v>99</v>
      </c>
      <c r="C57" s="301"/>
      <c r="D57" s="11">
        <v>115.37</v>
      </c>
      <c r="E57" s="11">
        <v>54</v>
      </c>
      <c r="F57" s="11">
        <v>109</v>
      </c>
      <c r="I57" s="3"/>
    </row>
    <row r="58" spans="1:26" ht="15.75" customHeight="1" x14ac:dyDescent="0.25">
      <c r="B58" s="1"/>
      <c r="C58" s="1"/>
      <c r="D58" s="2"/>
      <c r="E58" s="2"/>
      <c r="F58" s="146"/>
      <c r="I58" s="3"/>
    </row>
    <row r="59" spans="1:26" ht="15.75" customHeight="1" x14ac:dyDescent="0.25">
      <c r="A59" s="29" t="s">
        <v>668</v>
      </c>
      <c r="B59" s="30"/>
      <c r="C59" s="30"/>
      <c r="D59" s="32"/>
      <c r="E59" s="32"/>
      <c r="F59" s="159"/>
      <c r="G59" s="29"/>
      <c r="H59" s="29"/>
      <c r="I59" s="34"/>
      <c r="J59" s="29"/>
      <c r="K59" s="29"/>
      <c r="L59" s="29"/>
      <c r="M59" s="29"/>
      <c r="N59" s="29"/>
      <c r="O59" s="29"/>
      <c r="P59" s="29"/>
      <c r="Q59" s="29"/>
      <c r="R59" s="29"/>
      <c r="S59" s="29"/>
      <c r="T59" s="29"/>
      <c r="U59" s="29"/>
      <c r="V59" s="29"/>
      <c r="W59" s="29"/>
      <c r="X59" s="29"/>
      <c r="Y59" s="29"/>
      <c r="Z59" s="29"/>
    </row>
    <row r="60" spans="1:26" ht="15.75" customHeight="1" x14ac:dyDescent="0.2"/>
    <row r="61" spans="1:26" ht="15.75" customHeight="1" x14ac:dyDescent="0.2"/>
    <row r="62" spans="1:26" ht="15.75" customHeight="1" x14ac:dyDescent="0.25">
      <c r="A62" s="28"/>
      <c r="B62" s="28" t="s">
        <v>725</v>
      </c>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5.75" customHeight="1" x14ac:dyDescent="0.25">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5.75" customHeight="1" x14ac:dyDescent="0.25">
      <c r="A64" s="28"/>
      <c r="B64" s="304" t="s">
        <v>754</v>
      </c>
      <c r="C64" s="297"/>
      <c r="D64" s="297"/>
      <c r="E64" s="297"/>
      <c r="F64" s="154"/>
      <c r="G64" s="28"/>
      <c r="H64" s="28"/>
      <c r="I64" s="3"/>
      <c r="J64" s="28"/>
      <c r="K64" s="28"/>
      <c r="L64" s="28"/>
      <c r="M64" s="28"/>
      <c r="N64" s="28"/>
      <c r="O64" s="28"/>
      <c r="P64" s="28"/>
      <c r="Q64" s="28"/>
      <c r="R64" s="28"/>
      <c r="S64" s="28"/>
      <c r="T64" s="28"/>
      <c r="U64" s="28"/>
      <c r="V64" s="28"/>
      <c r="W64" s="28"/>
      <c r="X64" s="28"/>
      <c r="Y64" s="28"/>
      <c r="Z64" s="28"/>
    </row>
    <row r="65" spans="1:26" ht="24.75" customHeight="1" x14ac:dyDescent="0.25">
      <c r="A65" s="28"/>
      <c r="B65" s="4" t="s">
        <v>0</v>
      </c>
      <c r="C65" s="5" t="s">
        <v>1</v>
      </c>
      <c r="D65" s="5" t="s">
        <v>2</v>
      </c>
      <c r="E65" s="5" t="s">
        <v>43</v>
      </c>
      <c r="F65" s="45" t="s">
        <v>125</v>
      </c>
      <c r="G65" s="28"/>
      <c r="H65" s="296" t="s">
        <v>6</v>
      </c>
      <c r="I65" s="297"/>
      <c r="J65" s="297"/>
      <c r="K65" s="297"/>
      <c r="L65" s="297"/>
      <c r="M65" s="298"/>
      <c r="N65" s="28"/>
      <c r="O65" s="28"/>
      <c r="P65" s="28"/>
      <c r="Q65" s="28"/>
      <c r="R65" s="28"/>
      <c r="S65" s="28"/>
      <c r="T65" s="28"/>
      <c r="U65" s="28"/>
      <c r="V65" s="28"/>
      <c r="W65" s="28"/>
      <c r="X65" s="28"/>
      <c r="Y65" s="28"/>
      <c r="Z65" s="28"/>
    </row>
    <row r="66" spans="1:26" ht="15.75" customHeight="1" x14ac:dyDescent="0.25">
      <c r="A66" s="28"/>
      <c r="B66" s="9" t="s">
        <v>7</v>
      </c>
      <c r="C66" s="302" t="s">
        <v>9</v>
      </c>
      <c r="D66" s="47">
        <v>28.1</v>
      </c>
      <c r="E66" s="11">
        <v>29</v>
      </c>
      <c r="F66" s="11">
        <v>61</v>
      </c>
      <c r="G66" s="28"/>
      <c r="H66" s="296" t="s">
        <v>106</v>
      </c>
      <c r="I66" s="297"/>
      <c r="J66" s="298"/>
      <c r="K66" s="296" t="s">
        <v>107</v>
      </c>
      <c r="L66" s="297"/>
      <c r="M66" s="298"/>
      <c r="N66" s="28"/>
      <c r="O66" s="28"/>
      <c r="P66" s="28"/>
      <c r="Q66" s="28"/>
      <c r="R66" s="28"/>
      <c r="S66" s="28"/>
      <c r="T66" s="28"/>
      <c r="U66" s="28"/>
      <c r="V66" s="28"/>
      <c r="W66" s="28"/>
      <c r="X66" s="28"/>
      <c r="Y66" s="28"/>
      <c r="Z66" s="28"/>
    </row>
    <row r="67" spans="1:26" ht="15.75" customHeight="1" x14ac:dyDescent="0.25">
      <c r="A67" s="28"/>
      <c r="B67" s="9" t="s">
        <v>17</v>
      </c>
      <c r="C67" s="300"/>
      <c r="D67" s="47">
        <v>63.911000000000001</v>
      </c>
      <c r="E67" s="11">
        <v>64</v>
      </c>
      <c r="F67" s="11">
        <v>62</v>
      </c>
      <c r="G67" s="28"/>
      <c r="H67" s="13" t="s">
        <v>13</v>
      </c>
      <c r="I67" s="39">
        <f>I69+I69*0.05</f>
        <v>921.9</v>
      </c>
      <c r="J67" s="17" t="s">
        <v>762</v>
      </c>
      <c r="K67" s="13" t="s">
        <v>13</v>
      </c>
      <c r="L67" s="14">
        <f>L69+L69*0.05</f>
        <v>945</v>
      </c>
      <c r="M67" s="17" t="s">
        <v>765</v>
      </c>
      <c r="N67" s="28"/>
      <c r="O67" s="28"/>
      <c r="P67" s="28"/>
      <c r="Q67" s="28"/>
      <c r="R67" s="28"/>
      <c r="S67" s="28"/>
      <c r="T67" s="28"/>
      <c r="U67" s="28"/>
      <c r="V67" s="28"/>
      <c r="W67" s="28"/>
      <c r="X67" s="28"/>
      <c r="Y67" s="28"/>
      <c r="Z67" s="28"/>
    </row>
    <row r="68" spans="1:26" ht="15.75" customHeight="1" x14ac:dyDescent="0.25">
      <c r="A68" s="28"/>
      <c r="B68" s="9" t="s">
        <v>26</v>
      </c>
      <c r="C68" s="300"/>
      <c r="D68" s="47">
        <v>69.921999999999997</v>
      </c>
      <c r="E68" s="11">
        <v>65</v>
      </c>
      <c r="F68" s="11">
        <v>68</v>
      </c>
      <c r="G68" s="28"/>
      <c r="H68" s="13" t="s">
        <v>19</v>
      </c>
      <c r="I68" s="40">
        <f>I69-I69*0.05</f>
        <v>834.1</v>
      </c>
      <c r="J68" s="17" t="s">
        <v>769</v>
      </c>
      <c r="K68" s="13" t="s">
        <v>19</v>
      </c>
      <c r="L68" s="18">
        <f>L69-L69*0.05</f>
        <v>855</v>
      </c>
      <c r="M68" s="17" t="s">
        <v>770</v>
      </c>
      <c r="N68" s="28"/>
      <c r="O68" s="28"/>
      <c r="P68" s="28"/>
      <c r="Q68" s="28"/>
      <c r="R68" s="28"/>
      <c r="S68" s="28"/>
      <c r="T68" s="28"/>
      <c r="U68" s="28"/>
      <c r="V68" s="28"/>
      <c r="W68" s="28"/>
      <c r="X68" s="28"/>
      <c r="Y68" s="28"/>
      <c r="Z68" s="28"/>
    </row>
    <row r="69" spans="1:26" ht="15.75" customHeight="1" x14ac:dyDescent="0.25">
      <c r="A69" s="28"/>
      <c r="B69" s="9" t="s">
        <v>32</v>
      </c>
      <c r="C69" s="300"/>
      <c r="D69" s="47">
        <v>96.744</v>
      </c>
      <c r="E69" s="11">
        <v>76</v>
      </c>
      <c r="F69" s="11">
        <v>93</v>
      </c>
      <c r="G69" s="28"/>
      <c r="H69" s="13" t="s">
        <v>27</v>
      </c>
      <c r="I69" s="20">
        <v>878</v>
      </c>
      <c r="J69" s="17" t="s">
        <v>771</v>
      </c>
      <c r="K69" s="13" t="s">
        <v>27</v>
      </c>
      <c r="L69" s="20">
        <v>900</v>
      </c>
      <c r="M69" s="17" t="s">
        <v>772</v>
      </c>
      <c r="N69" s="28"/>
      <c r="O69" s="28"/>
      <c r="P69" s="28"/>
      <c r="Q69" s="28"/>
      <c r="R69" s="28"/>
      <c r="S69" s="28"/>
      <c r="T69" s="28"/>
      <c r="U69" s="28"/>
      <c r="V69" s="28"/>
      <c r="W69" s="28"/>
      <c r="X69" s="28"/>
      <c r="Y69" s="28"/>
      <c r="Z69" s="28"/>
    </row>
    <row r="70" spans="1:26" ht="15.75" customHeight="1" x14ac:dyDescent="0.25">
      <c r="A70" s="28"/>
      <c r="B70" s="9" t="s">
        <v>33</v>
      </c>
      <c r="C70" s="301"/>
      <c r="D70" s="47">
        <v>128.11000000000001</v>
      </c>
      <c r="E70" s="11">
        <v>102</v>
      </c>
      <c r="F70" s="11">
        <v>137</v>
      </c>
      <c r="G70" s="28"/>
      <c r="H70" s="13" t="s">
        <v>121</v>
      </c>
      <c r="I70" s="20">
        <v>617</v>
      </c>
      <c r="J70" s="17" t="s">
        <v>773</v>
      </c>
      <c r="K70" s="13" t="s">
        <v>121</v>
      </c>
      <c r="L70" s="20">
        <v>894</v>
      </c>
      <c r="M70" s="17" t="s">
        <v>774</v>
      </c>
      <c r="N70" s="28"/>
      <c r="O70" s="28"/>
      <c r="P70" s="28"/>
      <c r="Q70" s="28"/>
      <c r="R70" s="28"/>
      <c r="S70" s="28"/>
      <c r="T70" s="28"/>
      <c r="U70" s="28"/>
      <c r="V70" s="28"/>
      <c r="W70" s="28"/>
      <c r="X70" s="28"/>
      <c r="Y70" s="28"/>
      <c r="Z70" s="28"/>
    </row>
    <row r="71" spans="1:26" ht="15.75" customHeight="1" x14ac:dyDescent="0.25">
      <c r="A71" s="28"/>
      <c r="B71" s="41"/>
      <c r="C71" s="42"/>
      <c r="D71" s="69"/>
      <c r="E71" s="11"/>
      <c r="F71" s="11"/>
      <c r="G71" s="28"/>
      <c r="H71" s="28"/>
      <c r="I71" s="3"/>
      <c r="J71" s="28"/>
      <c r="K71" s="28"/>
      <c r="L71" s="28"/>
      <c r="M71" s="28"/>
      <c r="N71" s="28"/>
      <c r="O71" s="28"/>
      <c r="P71" s="28"/>
      <c r="Q71" s="28"/>
      <c r="R71" s="28"/>
      <c r="S71" s="28"/>
      <c r="T71" s="28"/>
      <c r="U71" s="28"/>
      <c r="V71" s="28"/>
      <c r="W71" s="28"/>
      <c r="X71" s="28"/>
      <c r="Y71" s="28"/>
      <c r="Z71" s="28"/>
    </row>
    <row r="72" spans="1:26" ht="15.75" customHeight="1" x14ac:dyDescent="0.25">
      <c r="A72" s="28"/>
      <c r="B72" s="9" t="s">
        <v>35</v>
      </c>
      <c r="C72" s="302" t="s">
        <v>36</v>
      </c>
      <c r="D72" s="47">
        <v>207.78</v>
      </c>
      <c r="E72" s="11">
        <v>198</v>
      </c>
      <c r="F72" s="11">
        <v>317</v>
      </c>
      <c r="G72" s="28"/>
      <c r="H72" s="28"/>
      <c r="I72" s="3"/>
      <c r="J72" s="28"/>
      <c r="K72" s="28"/>
      <c r="L72" s="28"/>
      <c r="M72" s="28"/>
      <c r="N72" s="28"/>
      <c r="O72" s="28"/>
      <c r="P72" s="28"/>
      <c r="Q72" s="28"/>
      <c r="R72" s="28"/>
      <c r="S72" s="28"/>
      <c r="T72" s="28"/>
      <c r="U72" s="28"/>
      <c r="V72" s="28"/>
      <c r="W72" s="28"/>
      <c r="X72" s="28"/>
      <c r="Y72" s="28"/>
      <c r="Z72" s="28"/>
    </row>
    <row r="73" spans="1:26" ht="15.75" customHeight="1" x14ac:dyDescent="0.25">
      <c r="A73" s="28"/>
      <c r="B73" s="9" t="s">
        <v>37</v>
      </c>
      <c r="C73" s="300"/>
      <c r="D73" s="47">
        <v>444.11</v>
      </c>
      <c r="E73" s="11">
        <v>230</v>
      </c>
      <c r="F73" s="11">
        <v>389</v>
      </c>
      <c r="G73" s="28"/>
      <c r="H73" s="28"/>
      <c r="I73" s="3"/>
      <c r="J73" s="28"/>
      <c r="K73" s="28"/>
      <c r="L73" s="28"/>
      <c r="M73" s="28"/>
      <c r="N73" s="28"/>
      <c r="O73" s="28"/>
      <c r="P73" s="28"/>
      <c r="Q73" s="28"/>
      <c r="R73" s="28"/>
      <c r="S73" s="28"/>
      <c r="T73" s="28"/>
      <c r="U73" s="28"/>
      <c r="V73" s="28"/>
      <c r="W73" s="28"/>
      <c r="X73" s="28"/>
      <c r="Y73" s="28"/>
      <c r="Z73" s="28"/>
    </row>
    <row r="74" spans="1:26" ht="15.75" customHeight="1" x14ac:dyDescent="0.25">
      <c r="A74" s="28"/>
      <c r="B74" s="9" t="s">
        <v>38</v>
      </c>
      <c r="C74" s="300"/>
      <c r="D74" s="47">
        <v>579.55999999999995</v>
      </c>
      <c r="E74" s="11">
        <v>564</v>
      </c>
      <c r="F74" s="11">
        <v>504</v>
      </c>
      <c r="G74" s="28"/>
      <c r="H74" s="28"/>
      <c r="I74" s="3"/>
      <c r="J74" s="28"/>
      <c r="K74" s="28"/>
      <c r="L74" s="28"/>
      <c r="M74" s="28"/>
      <c r="N74" s="28"/>
      <c r="O74" s="28"/>
      <c r="P74" s="28"/>
      <c r="Q74" s="28"/>
      <c r="R74" s="28"/>
      <c r="S74" s="28"/>
      <c r="T74" s="28"/>
      <c r="U74" s="28"/>
      <c r="V74" s="28"/>
      <c r="W74" s="28"/>
      <c r="X74" s="28"/>
      <c r="Y74" s="28"/>
      <c r="Z74" s="28"/>
    </row>
    <row r="75" spans="1:26" ht="15.75" customHeight="1" x14ac:dyDescent="0.25">
      <c r="A75" s="28"/>
      <c r="B75" s="9" t="s">
        <v>39</v>
      </c>
      <c r="C75" s="300"/>
      <c r="D75" s="47">
        <v>746.22</v>
      </c>
      <c r="E75" s="11">
        <v>686</v>
      </c>
      <c r="F75" s="11">
        <v>794</v>
      </c>
      <c r="G75" s="28"/>
      <c r="H75" s="28"/>
      <c r="I75" s="3"/>
      <c r="J75" s="28"/>
      <c r="K75" s="28"/>
      <c r="L75" s="28"/>
      <c r="M75" s="28"/>
      <c r="N75" s="28"/>
      <c r="O75" s="28"/>
      <c r="P75" s="28"/>
      <c r="Q75" s="28"/>
      <c r="R75" s="28"/>
      <c r="S75" s="28"/>
      <c r="T75" s="28"/>
      <c r="U75" s="28"/>
      <c r="V75" s="28"/>
      <c r="W75" s="28"/>
      <c r="X75" s="28"/>
      <c r="Y75" s="28"/>
      <c r="Z75" s="28"/>
    </row>
    <row r="76" spans="1:26" ht="15.75" customHeight="1" x14ac:dyDescent="0.25">
      <c r="A76" s="28"/>
      <c r="B76" s="49" t="s">
        <v>41</v>
      </c>
      <c r="C76" s="301"/>
      <c r="D76" s="50">
        <v>869.5</v>
      </c>
      <c r="E76" s="51">
        <v>726</v>
      </c>
      <c r="F76" s="51">
        <v>840</v>
      </c>
      <c r="G76" s="28"/>
      <c r="H76" s="28"/>
      <c r="I76" s="3"/>
      <c r="J76" s="28"/>
      <c r="K76" s="28"/>
      <c r="L76" s="28"/>
      <c r="M76" s="28"/>
      <c r="N76" s="28"/>
      <c r="O76" s="28"/>
      <c r="P76" s="28"/>
      <c r="Q76" s="28"/>
      <c r="R76" s="28"/>
      <c r="S76" s="28"/>
      <c r="T76" s="28"/>
      <c r="U76" s="28"/>
      <c r="V76" s="28"/>
      <c r="W76" s="28"/>
      <c r="X76" s="28"/>
      <c r="Y76" s="28"/>
      <c r="Z76" s="28"/>
    </row>
    <row r="77" spans="1:26" ht="15.75" customHeight="1" x14ac:dyDescent="0.25">
      <c r="A77" s="28"/>
      <c r="B77" s="79"/>
      <c r="C77" s="81"/>
      <c r="D77" s="83"/>
      <c r="E77" s="81"/>
      <c r="F77" s="81"/>
      <c r="G77" s="28"/>
      <c r="H77" s="28"/>
      <c r="I77" s="3"/>
      <c r="J77" s="28"/>
      <c r="K77" s="28"/>
      <c r="L77" s="28"/>
      <c r="M77" s="28"/>
      <c r="N77" s="28"/>
      <c r="O77" s="28"/>
      <c r="P77" s="28"/>
      <c r="Q77" s="28"/>
      <c r="R77" s="28"/>
      <c r="S77" s="28"/>
      <c r="T77" s="28"/>
      <c r="U77" s="28"/>
      <c r="V77" s="28"/>
      <c r="W77" s="28"/>
      <c r="X77" s="28"/>
      <c r="Y77" s="28"/>
      <c r="Z77" s="28"/>
    </row>
    <row r="78" spans="1:26" ht="15.75" customHeight="1" x14ac:dyDescent="0.25">
      <c r="A78" s="28"/>
      <c r="B78" s="9" t="s">
        <v>46</v>
      </c>
      <c r="C78" s="302" t="s">
        <v>47</v>
      </c>
      <c r="D78" s="47">
        <v>88.4</v>
      </c>
      <c r="E78" s="11">
        <v>85</v>
      </c>
      <c r="F78" s="11">
        <v>98</v>
      </c>
      <c r="G78" s="28"/>
      <c r="H78" s="28"/>
      <c r="I78" s="3"/>
      <c r="J78" s="28"/>
      <c r="K78" s="28"/>
      <c r="L78" s="28"/>
      <c r="M78" s="28"/>
      <c r="N78" s="28"/>
      <c r="O78" s="28"/>
      <c r="P78" s="28"/>
      <c r="Q78" s="28"/>
      <c r="R78" s="28"/>
      <c r="S78" s="28"/>
      <c r="T78" s="28"/>
      <c r="U78" s="28"/>
      <c r="V78" s="28"/>
      <c r="W78" s="28"/>
      <c r="X78" s="28"/>
      <c r="Y78" s="28"/>
      <c r="Z78" s="28"/>
    </row>
    <row r="79" spans="1:26" ht="15.75" customHeight="1" x14ac:dyDescent="0.25">
      <c r="A79" s="28"/>
      <c r="B79" s="9" t="s">
        <v>48</v>
      </c>
      <c r="C79" s="301"/>
      <c r="D79" s="47">
        <v>94.6</v>
      </c>
      <c r="E79" s="11">
        <v>85</v>
      </c>
      <c r="F79" s="11">
        <v>119</v>
      </c>
      <c r="G79" s="28"/>
      <c r="H79" s="28"/>
      <c r="I79" s="3"/>
      <c r="J79" s="28"/>
      <c r="K79" s="28"/>
      <c r="L79" s="28"/>
      <c r="M79" s="28"/>
      <c r="N79" s="28"/>
      <c r="O79" s="28"/>
      <c r="P79" s="28"/>
      <c r="Q79" s="28"/>
      <c r="R79" s="28"/>
      <c r="S79" s="28"/>
      <c r="T79" s="28"/>
      <c r="U79" s="28"/>
      <c r="V79" s="28"/>
      <c r="W79" s="28"/>
      <c r="X79" s="28"/>
      <c r="Y79" s="28"/>
      <c r="Z79" s="28"/>
    </row>
    <row r="80" spans="1:26" ht="15.75" customHeight="1" x14ac:dyDescent="0.25">
      <c r="A80" s="28"/>
      <c r="B80" s="41"/>
      <c r="C80" s="42"/>
      <c r="D80" s="69"/>
      <c r="E80" s="11"/>
      <c r="F80" s="11"/>
      <c r="G80" s="28"/>
      <c r="H80" s="28"/>
      <c r="I80" s="3"/>
      <c r="J80" s="28"/>
      <c r="K80" s="28"/>
      <c r="L80" s="28"/>
      <c r="M80" s="28"/>
      <c r="N80" s="28"/>
      <c r="O80" s="28"/>
      <c r="P80" s="28"/>
      <c r="Q80" s="28"/>
      <c r="R80" s="28"/>
      <c r="S80" s="28"/>
      <c r="T80" s="28"/>
      <c r="U80" s="28"/>
      <c r="V80" s="28"/>
      <c r="W80" s="28"/>
      <c r="X80" s="28"/>
      <c r="Y80" s="28"/>
      <c r="Z80" s="28"/>
    </row>
    <row r="81" spans="1:26" ht="15.75" customHeight="1" x14ac:dyDescent="0.25">
      <c r="A81" s="28"/>
      <c r="B81" s="9" t="s">
        <v>50</v>
      </c>
      <c r="C81" s="302" t="s">
        <v>51</v>
      </c>
      <c r="D81" s="47">
        <v>271.44400000000002</v>
      </c>
      <c r="E81" s="11">
        <v>263</v>
      </c>
      <c r="F81" s="11">
        <v>417</v>
      </c>
      <c r="G81" s="28"/>
      <c r="H81" s="28"/>
      <c r="I81" s="3"/>
      <c r="J81" s="28"/>
      <c r="K81" s="28"/>
      <c r="L81" s="28"/>
      <c r="M81" s="28"/>
      <c r="N81" s="28"/>
      <c r="O81" s="28"/>
      <c r="P81" s="28"/>
      <c r="Q81" s="28"/>
      <c r="R81" s="28"/>
      <c r="S81" s="28"/>
      <c r="T81" s="28"/>
      <c r="U81" s="28"/>
      <c r="V81" s="28"/>
      <c r="W81" s="28"/>
      <c r="X81" s="28"/>
      <c r="Y81" s="28"/>
      <c r="Z81" s="28"/>
    </row>
    <row r="82" spans="1:26" ht="15.75" customHeight="1" x14ac:dyDescent="0.25">
      <c r="A82" s="28"/>
      <c r="B82" s="9" t="s">
        <v>54</v>
      </c>
      <c r="C82" s="300"/>
      <c r="D82" s="47">
        <v>550.22199999999998</v>
      </c>
      <c r="E82" s="11">
        <v>284</v>
      </c>
      <c r="F82" s="11">
        <v>579</v>
      </c>
      <c r="G82" s="28"/>
      <c r="H82" s="28"/>
      <c r="I82" s="3"/>
      <c r="J82" s="28"/>
      <c r="K82" s="28"/>
      <c r="L82" s="28"/>
      <c r="M82" s="28"/>
      <c r="N82" s="28"/>
      <c r="O82" s="28"/>
      <c r="P82" s="28"/>
      <c r="Q82" s="28"/>
      <c r="R82" s="28"/>
      <c r="S82" s="28"/>
      <c r="T82" s="28"/>
      <c r="U82" s="28"/>
      <c r="V82" s="28"/>
      <c r="W82" s="28"/>
      <c r="X82" s="28"/>
      <c r="Y82" s="28"/>
      <c r="Z82" s="28"/>
    </row>
    <row r="83" spans="1:26" ht="15.75" customHeight="1" x14ac:dyDescent="0.25">
      <c r="A83" s="28"/>
      <c r="B83" s="9" t="s">
        <v>55</v>
      </c>
      <c r="C83" s="300"/>
      <c r="D83" s="47">
        <v>609</v>
      </c>
      <c r="E83" s="11">
        <v>660</v>
      </c>
      <c r="F83" s="11">
        <v>601</v>
      </c>
      <c r="G83" s="28"/>
      <c r="H83" s="28"/>
      <c r="I83" s="3"/>
      <c r="J83" s="28"/>
      <c r="K83" s="28"/>
      <c r="L83" s="28"/>
      <c r="M83" s="28"/>
      <c r="N83" s="28"/>
      <c r="O83" s="28"/>
      <c r="P83" s="28"/>
      <c r="Q83" s="28"/>
      <c r="R83" s="28"/>
      <c r="S83" s="28"/>
      <c r="T83" s="28"/>
      <c r="U83" s="28"/>
      <c r="V83" s="28"/>
      <c r="W83" s="28"/>
      <c r="X83" s="28"/>
      <c r="Y83" s="28"/>
      <c r="Z83" s="28"/>
    </row>
    <row r="84" spans="1:26" ht="15.75" customHeight="1" x14ac:dyDescent="0.25">
      <c r="A84" s="28"/>
      <c r="B84" s="9" t="s">
        <v>56</v>
      </c>
      <c r="C84" s="300"/>
      <c r="D84" s="47">
        <v>739.11099999999999</v>
      </c>
      <c r="E84" s="11">
        <v>697</v>
      </c>
      <c r="F84" s="11">
        <v>774</v>
      </c>
      <c r="G84" s="28"/>
      <c r="H84" s="28"/>
      <c r="I84" s="3"/>
      <c r="J84" s="28"/>
      <c r="K84" s="28"/>
      <c r="L84" s="28"/>
      <c r="M84" s="28"/>
      <c r="N84" s="28"/>
      <c r="O84" s="28"/>
      <c r="P84" s="28"/>
      <c r="Q84" s="28"/>
      <c r="R84" s="28"/>
      <c r="S84" s="28"/>
      <c r="T84" s="28"/>
      <c r="U84" s="28"/>
      <c r="V84" s="28"/>
      <c r="W84" s="28"/>
      <c r="X84" s="28"/>
      <c r="Y84" s="28"/>
      <c r="Z84" s="28"/>
    </row>
    <row r="85" spans="1:26" ht="15.75" customHeight="1" x14ac:dyDescent="0.25">
      <c r="A85" s="28"/>
      <c r="B85" s="49" t="s">
        <v>57</v>
      </c>
      <c r="C85" s="301"/>
      <c r="D85" s="50">
        <v>746.88900000000001</v>
      </c>
      <c r="E85" s="51">
        <v>619</v>
      </c>
      <c r="F85" s="51">
        <v>622</v>
      </c>
      <c r="G85" s="28"/>
      <c r="H85" s="28"/>
      <c r="I85" s="3"/>
      <c r="J85" s="28"/>
      <c r="K85" s="28"/>
      <c r="L85" s="28"/>
      <c r="M85" s="28"/>
      <c r="N85" s="28"/>
      <c r="O85" s="28"/>
      <c r="P85" s="28"/>
      <c r="Q85" s="28"/>
      <c r="R85" s="28"/>
      <c r="S85" s="28"/>
      <c r="T85" s="28"/>
      <c r="U85" s="28"/>
      <c r="V85" s="28"/>
      <c r="W85" s="28"/>
      <c r="X85" s="28"/>
      <c r="Y85" s="28"/>
      <c r="Z85" s="28"/>
    </row>
    <row r="86" spans="1:26" ht="15.75" customHeight="1" x14ac:dyDescent="0.25">
      <c r="A86" s="28"/>
      <c r="B86" s="79"/>
      <c r="C86" s="81"/>
      <c r="D86" s="83"/>
      <c r="E86" s="81"/>
      <c r="F86" s="81"/>
      <c r="G86" s="28"/>
      <c r="H86" s="28"/>
      <c r="I86" s="3"/>
      <c r="J86" s="28"/>
      <c r="K86" s="28"/>
      <c r="L86" s="28"/>
      <c r="M86" s="28"/>
      <c r="N86" s="28"/>
      <c r="O86" s="28"/>
      <c r="P86" s="28"/>
      <c r="Q86" s="28"/>
      <c r="R86" s="28"/>
      <c r="S86" s="28"/>
      <c r="T86" s="28"/>
      <c r="U86" s="28"/>
      <c r="V86" s="28"/>
      <c r="W86" s="28"/>
      <c r="X86" s="28"/>
      <c r="Y86" s="28"/>
      <c r="Z86" s="28"/>
    </row>
    <row r="87" spans="1:26" ht="15.75" customHeight="1" x14ac:dyDescent="0.25">
      <c r="A87" s="28"/>
      <c r="B87" s="9" t="s">
        <v>60</v>
      </c>
      <c r="C87" s="302" t="s">
        <v>62</v>
      </c>
      <c r="D87" s="47">
        <v>19.36</v>
      </c>
      <c r="E87" s="11">
        <v>17</v>
      </c>
      <c r="F87" s="11">
        <v>21</v>
      </c>
      <c r="G87" s="28"/>
      <c r="H87" s="28"/>
      <c r="I87" s="3"/>
      <c r="J87" s="28"/>
      <c r="K87" s="28"/>
      <c r="L87" s="28"/>
      <c r="M87" s="28"/>
      <c r="N87" s="28"/>
      <c r="O87" s="28"/>
      <c r="P87" s="28"/>
      <c r="Q87" s="28"/>
      <c r="R87" s="28"/>
      <c r="S87" s="28"/>
      <c r="T87" s="28"/>
      <c r="U87" s="28"/>
      <c r="V87" s="28"/>
      <c r="W87" s="28"/>
      <c r="X87" s="28"/>
      <c r="Y87" s="28"/>
      <c r="Z87" s="28"/>
    </row>
    <row r="88" spans="1:26" ht="15.75" customHeight="1" x14ac:dyDescent="0.25">
      <c r="A88" s="28"/>
      <c r="B88" s="9" t="s">
        <v>64</v>
      </c>
      <c r="C88" s="300"/>
      <c r="D88" s="47">
        <v>33.31</v>
      </c>
      <c r="E88" s="11">
        <v>32</v>
      </c>
      <c r="F88" s="11">
        <v>29</v>
      </c>
      <c r="G88" s="28"/>
      <c r="H88" s="28"/>
      <c r="I88" s="3"/>
      <c r="J88" s="28"/>
      <c r="K88" s="28"/>
      <c r="L88" s="28"/>
      <c r="M88" s="28"/>
      <c r="N88" s="28"/>
      <c r="O88" s="28"/>
      <c r="P88" s="28"/>
      <c r="Q88" s="28"/>
      <c r="R88" s="28"/>
      <c r="S88" s="28"/>
      <c r="T88" s="28"/>
      <c r="U88" s="28"/>
      <c r="V88" s="28"/>
      <c r="W88" s="28"/>
      <c r="X88" s="28"/>
      <c r="Y88" s="28"/>
      <c r="Z88" s="28"/>
    </row>
    <row r="89" spans="1:26" ht="15.75" customHeight="1" x14ac:dyDescent="0.25">
      <c r="A89" s="28"/>
      <c r="B89" s="9" t="s">
        <v>65</v>
      </c>
      <c r="C89" s="301"/>
      <c r="D89" s="47">
        <v>41.74</v>
      </c>
      <c r="E89" s="11">
        <v>20</v>
      </c>
      <c r="F89" s="11">
        <v>41</v>
      </c>
      <c r="G89" s="28"/>
      <c r="H89" s="28"/>
      <c r="I89" s="3"/>
      <c r="J89" s="28"/>
      <c r="K89" s="28"/>
      <c r="L89" s="28"/>
      <c r="M89" s="28"/>
      <c r="N89" s="28"/>
      <c r="O89" s="28"/>
      <c r="P89" s="28"/>
      <c r="Q89" s="28"/>
      <c r="R89" s="28"/>
      <c r="S89" s="28"/>
      <c r="T89" s="28"/>
      <c r="U89" s="28"/>
      <c r="V89" s="28"/>
      <c r="W89" s="28"/>
      <c r="X89" s="28"/>
      <c r="Y89" s="28"/>
      <c r="Z89" s="28"/>
    </row>
    <row r="90" spans="1:26" ht="15.75" customHeight="1" x14ac:dyDescent="0.25">
      <c r="A90" s="28"/>
      <c r="B90" s="41"/>
      <c r="C90" s="42"/>
      <c r="D90" s="69"/>
      <c r="E90" s="11"/>
      <c r="F90" s="11"/>
      <c r="G90" s="28"/>
      <c r="H90" s="28"/>
      <c r="I90" s="3"/>
      <c r="J90" s="28"/>
      <c r="K90" s="28"/>
      <c r="L90" s="28"/>
      <c r="M90" s="28"/>
      <c r="N90" s="28"/>
      <c r="O90" s="28"/>
      <c r="P90" s="28"/>
      <c r="Q90" s="28"/>
      <c r="R90" s="28"/>
      <c r="S90" s="28"/>
      <c r="T90" s="28"/>
      <c r="U90" s="28"/>
      <c r="V90" s="28"/>
      <c r="W90" s="28"/>
      <c r="X90" s="28"/>
      <c r="Y90" s="28"/>
      <c r="Z90" s="28"/>
    </row>
    <row r="91" spans="1:26" ht="15.75" customHeight="1" x14ac:dyDescent="0.25">
      <c r="A91" s="28"/>
      <c r="B91" s="9" t="s">
        <v>66</v>
      </c>
      <c r="C91" s="302" t="s">
        <v>68</v>
      </c>
      <c r="D91" s="47">
        <v>204.5</v>
      </c>
      <c r="E91" s="11">
        <v>164</v>
      </c>
      <c r="F91" s="11">
        <v>208</v>
      </c>
      <c r="G91" s="28"/>
      <c r="H91" s="28"/>
      <c r="I91" s="3"/>
      <c r="J91" s="28"/>
      <c r="K91" s="28"/>
      <c r="L91" s="28"/>
      <c r="M91" s="28"/>
      <c r="N91" s="28"/>
      <c r="O91" s="28"/>
      <c r="P91" s="28"/>
      <c r="Q91" s="28"/>
      <c r="R91" s="28"/>
      <c r="S91" s="28"/>
      <c r="T91" s="28"/>
      <c r="U91" s="28"/>
      <c r="V91" s="28"/>
      <c r="W91" s="28"/>
      <c r="X91" s="28"/>
      <c r="Y91" s="28"/>
      <c r="Z91" s="28"/>
    </row>
    <row r="92" spans="1:26" ht="15.75" customHeight="1" x14ac:dyDescent="0.25">
      <c r="A92" s="28"/>
      <c r="B92" s="49" t="s">
        <v>69</v>
      </c>
      <c r="C92" s="301"/>
      <c r="D92" s="50">
        <v>277.7</v>
      </c>
      <c r="E92" s="51">
        <v>211</v>
      </c>
      <c r="F92" s="51">
        <v>281</v>
      </c>
      <c r="G92" s="28"/>
      <c r="H92" s="28"/>
      <c r="I92" s="3"/>
      <c r="J92" s="28"/>
      <c r="K92" s="28"/>
      <c r="L92" s="28"/>
      <c r="M92" s="28"/>
      <c r="N92" s="28"/>
      <c r="O92" s="28"/>
      <c r="P92" s="28"/>
      <c r="Q92" s="28"/>
      <c r="R92" s="28"/>
      <c r="S92" s="28"/>
      <c r="T92" s="28"/>
      <c r="U92" s="28"/>
      <c r="V92" s="28"/>
      <c r="W92" s="28"/>
      <c r="X92" s="28"/>
      <c r="Y92" s="28"/>
      <c r="Z92" s="28"/>
    </row>
    <row r="93" spans="1:26" ht="15.75" customHeight="1" x14ac:dyDescent="0.25">
      <c r="A93" s="28"/>
      <c r="B93" s="44"/>
      <c r="C93" s="46"/>
      <c r="D93" s="83"/>
      <c r="E93" s="46"/>
      <c r="F93" s="46"/>
      <c r="G93" s="28"/>
      <c r="H93" s="28"/>
      <c r="I93" s="3"/>
      <c r="J93" s="28"/>
      <c r="K93" s="28"/>
      <c r="L93" s="28"/>
      <c r="M93" s="28"/>
      <c r="N93" s="28"/>
      <c r="O93" s="28"/>
      <c r="P93" s="28"/>
      <c r="Q93" s="28"/>
      <c r="R93" s="28"/>
      <c r="S93" s="28"/>
      <c r="T93" s="28"/>
      <c r="U93" s="28"/>
      <c r="V93" s="28"/>
      <c r="W93" s="28"/>
      <c r="X93" s="28"/>
      <c r="Y93" s="28"/>
      <c r="Z93" s="28"/>
    </row>
    <row r="94" spans="1:26" ht="15.75" customHeight="1" x14ac:dyDescent="0.25">
      <c r="A94" s="28"/>
      <c r="B94" s="9" t="s">
        <v>69</v>
      </c>
      <c r="C94" s="302" t="s">
        <v>71</v>
      </c>
      <c r="D94" s="47">
        <v>10.283300000000001</v>
      </c>
      <c r="E94" s="11">
        <v>15</v>
      </c>
      <c r="F94" s="11">
        <v>16</v>
      </c>
      <c r="G94" s="28"/>
      <c r="H94" s="28"/>
      <c r="I94" s="3"/>
      <c r="J94" s="28"/>
      <c r="K94" s="28"/>
      <c r="L94" s="28"/>
      <c r="M94" s="28"/>
      <c r="N94" s="28"/>
      <c r="O94" s="28"/>
      <c r="P94" s="28"/>
      <c r="Q94" s="28"/>
      <c r="R94" s="28"/>
      <c r="S94" s="28"/>
      <c r="T94" s="28"/>
      <c r="U94" s="28"/>
      <c r="V94" s="28"/>
      <c r="W94" s="28"/>
      <c r="X94" s="28"/>
      <c r="Y94" s="28"/>
      <c r="Z94" s="28"/>
    </row>
    <row r="95" spans="1:26" ht="15.75" customHeight="1" x14ac:dyDescent="0.25">
      <c r="A95" s="28"/>
      <c r="B95" s="9" t="s">
        <v>72</v>
      </c>
      <c r="C95" s="300"/>
      <c r="D95" s="47">
        <v>11.8833</v>
      </c>
      <c r="E95" s="11">
        <v>15</v>
      </c>
      <c r="F95" s="11">
        <v>15</v>
      </c>
      <c r="G95" s="28"/>
      <c r="H95" s="28"/>
      <c r="I95" s="3"/>
      <c r="J95" s="28"/>
      <c r="K95" s="28"/>
      <c r="L95" s="28"/>
      <c r="M95" s="28"/>
      <c r="N95" s="28"/>
      <c r="O95" s="28"/>
      <c r="P95" s="28"/>
      <c r="Q95" s="28"/>
      <c r="R95" s="28"/>
      <c r="S95" s="28"/>
      <c r="T95" s="28"/>
      <c r="U95" s="28"/>
      <c r="V95" s="28"/>
      <c r="W95" s="28"/>
      <c r="X95" s="28"/>
      <c r="Y95" s="28"/>
      <c r="Z95" s="28"/>
    </row>
    <row r="96" spans="1:26" ht="15.75" customHeight="1" x14ac:dyDescent="0.25">
      <c r="A96" s="28"/>
      <c r="B96" s="9" t="s">
        <v>73</v>
      </c>
      <c r="C96" s="301"/>
      <c r="D96" s="47">
        <v>17.433299999999999</v>
      </c>
      <c r="E96" s="11">
        <v>19</v>
      </c>
      <c r="F96" s="11">
        <v>19</v>
      </c>
      <c r="G96" s="28"/>
      <c r="H96" s="28"/>
      <c r="I96" s="3"/>
      <c r="J96" s="28"/>
      <c r="K96" s="28"/>
      <c r="L96" s="28"/>
      <c r="M96" s="28"/>
      <c r="N96" s="28"/>
      <c r="O96" s="28"/>
      <c r="P96" s="28"/>
      <c r="Q96" s="28"/>
      <c r="R96" s="28"/>
      <c r="S96" s="28"/>
      <c r="T96" s="28"/>
      <c r="U96" s="28"/>
      <c r="V96" s="28"/>
      <c r="W96" s="28"/>
      <c r="X96" s="28"/>
      <c r="Y96" s="28"/>
      <c r="Z96" s="28"/>
    </row>
    <row r="97" spans="1:26" ht="15.75" customHeight="1" x14ac:dyDescent="0.25">
      <c r="A97" s="28"/>
      <c r="B97" s="41"/>
      <c r="C97" s="42"/>
      <c r="D97" s="69"/>
      <c r="E97" s="11"/>
      <c r="F97" s="11"/>
      <c r="G97" s="28"/>
      <c r="H97" s="28"/>
      <c r="I97" s="3"/>
      <c r="J97" s="28"/>
      <c r="K97" s="28"/>
      <c r="L97" s="28"/>
      <c r="M97" s="28"/>
      <c r="N97" s="28"/>
      <c r="O97" s="28"/>
      <c r="P97" s="28"/>
      <c r="Q97" s="28"/>
      <c r="R97" s="28"/>
      <c r="S97" s="28"/>
      <c r="T97" s="28"/>
      <c r="U97" s="28"/>
      <c r="V97" s="28"/>
      <c r="W97" s="28"/>
      <c r="X97" s="28"/>
      <c r="Y97" s="28"/>
      <c r="Z97" s="28"/>
    </row>
    <row r="98" spans="1:26" ht="15.75" customHeight="1" x14ac:dyDescent="0.25">
      <c r="A98" s="28"/>
      <c r="B98" s="9" t="s">
        <v>76</v>
      </c>
      <c r="C98" s="302" t="s">
        <v>77</v>
      </c>
      <c r="D98" s="47">
        <v>117.467</v>
      </c>
      <c r="E98" s="11">
        <v>153</v>
      </c>
      <c r="F98" s="11">
        <v>215</v>
      </c>
      <c r="G98" s="28"/>
      <c r="H98" s="28"/>
      <c r="I98" s="3"/>
      <c r="J98" s="28"/>
      <c r="K98" s="28"/>
      <c r="L98" s="28"/>
      <c r="M98" s="28"/>
      <c r="N98" s="28"/>
      <c r="O98" s="28"/>
      <c r="P98" s="28"/>
      <c r="Q98" s="28"/>
      <c r="R98" s="28"/>
      <c r="S98" s="28"/>
      <c r="T98" s="28"/>
      <c r="U98" s="28"/>
      <c r="V98" s="28"/>
      <c r="W98" s="28"/>
      <c r="X98" s="28"/>
      <c r="Y98" s="28"/>
      <c r="Z98" s="28"/>
    </row>
    <row r="99" spans="1:26" ht="15.75" customHeight="1" x14ac:dyDescent="0.25">
      <c r="A99" s="28"/>
      <c r="B99" s="9" t="s">
        <v>78</v>
      </c>
      <c r="C99" s="300"/>
      <c r="D99" s="47">
        <v>187.833</v>
      </c>
      <c r="E99" s="11">
        <v>114</v>
      </c>
      <c r="F99" s="11">
        <v>202</v>
      </c>
      <c r="G99" s="28"/>
      <c r="H99" s="28"/>
      <c r="I99" s="3"/>
      <c r="J99" s="28"/>
      <c r="K99" s="28"/>
      <c r="L99" s="28"/>
      <c r="M99" s="28"/>
      <c r="N99" s="28"/>
      <c r="O99" s="28"/>
      <c r="P99" s="28"/>
      <c r="Q99" s="28"/>
      <c r="R99" s="28"/>
      <c r="S99" s="28"/>
      <c r="T99" s="28"/>
      <c r="U99" s="28"/>
      <c r="V99" s="28"/>
      <c r="W99" s="28"/>
      <c r="X99" s="28"/>
      <c r="Y99" s="28"/>
      <c r="Z99" s="28"/>
    </row>
    <row r="100" spans="1:26" ht="15.75" customHeight="1" x14ac:dyDescent="0.25">
      <c r="A100" s="28"/>
      <c r="B100" s="9" t="s">
        <v>79</v>
      </c>
      <c r="C100" s="300"/>
      <c r="D100" s="47">
        <v>218.333</v>
      </c>
      <c r="E100" s="11">
        <v>193</v>
      </c>
      <c r="F100" s="11">
        <v>244</v>
      </c>
      <c r="G100" s="28"/>
      <c r="H100" s="28"/>
      <c r="I100" s="3"/>
      <c r="J100" s="28"/>
      <c r="K100" s="28"/>
      <c r="L100" s="28"/>
      <c r="M100" s="28"/>
      <c r="N100" s="28"/>
      <c r="O100" s="28"/>
      <c r="P100" s="28"/>
      <c r="Q100" s="28"/>
      <c r="R100" s="28"/>
      <c r="S100" s="28"/>
      <c r="T100" s="28"/>
      <c r="U100" s="28"/>
      <c r="V100" s="28"/>
      <c r="W100" s="28"/>
      <c r="X100" s="28"/>
      <c r="Y100" s="28"/>
      <c r="Z100" s="28"/>
    </row>
    <row r="101" spans="1:26" ht="15.75" customHeight="1" x14ac:dyDescent="0.25">
      <c r="A101" s="28"/>
      <c r="B101" s="49" t="s">
        <v>80</v>
      </c>
      <c r="C101" s="301"/>
      <c r="D101" s="50">
        <v>238.5</v>
      </c>
      <c r="E101" s="51">
        <v>87</v>
      </c>
      <c r="F101" s="51">
        <v>118</v>
      </c>
      <c r="G101" s="28"/>
      <c r="H101" s="28"/>
      <c r="I101" s="3"/>
      <c r="J101" s="28"/>
      <c r="K101" s="28"/>
      <c r="L101" s="28"/>
      <c r="M101" s="28"/>
      <c r="N101" s="28"/>
      <c r="O101" s="28"/>
      <c r="P101" s="28"/>
      <c r="Q101" s="28"/>
      <c r="R101" s="28"/>
      <c r="S101" s="28"/>
      <c r="T101" s="28"/>
      <c r="U101" s="28"/>
      <c r="V101" s="28"/>
      <c r="W101" s="28"/>
      <c r="X101" s="28"/>
      <c r="Y101" s="28"/>
      <c r="Z101" s="28"/>
    </row>
    <row r="102" spans="1:26" ht="15.75" customHeight="1" x14ac:dyDescent="0.25">
      <c r="A102" s="28"/>
      <c r="B102" s="44"/>
      <c r="C102" s="46"/>
      <c r="D102" s="83"/>
      <c r="E102" s="46"/>
      <c r="F102" s="46"/>
      <c r="G102" s="28"/>
      <c r="H102" s="28"/>
      <c r="I102" s="3"/>
      <c r="J102" s="28"/>
      <c r="K102" s="28"/>
      <c r="L102" s="28"/>
      <c r="M102" s="28"/>
      <c r="N102" s="28"/>
      <c r="O102" s="28"/>
      <c r="P102" s="28"/>
      <c r="Q102" s="28"/>
      <c r="R102" s="28"/>
      <c r="S102" s="28"/>
      <c r="T102" s="28"/>
      <c r="U102" s="28"/>
      <c r="V102" s="28"/>
      <c r="W102" s="28"/>
      <c r="X102" s="28"/>
      <c r="Y102" s="28"/>
      <c r="Z102" s="28"/>
    </row>
    <row r="103" spans="1:26" ht="15.75" customHeight="1" x14ac:dyDescent="0.25">
      <c r="A103" s="28"/>
      <c r="B103" s="9" t="s">
        <v>81</v>
      </c>
      <c r="C103" s="302" t="s">
        <v>82</v>
      </c>
      <c r="D103" s="47">
        <v>2</v>
      </c>
      <c r="E103" s="11">
        <v>2</v>
      </c>
      <c r="F103" s="11">
        <v>2</v>
      </c>
      <c r="G103" s="28"/>
      <c r="H103" s="28"/>
      <c r="I103" s="3"/>
      <c r="J103" s="28"/>
      <c r="K103" s="28"/>
      <c r="L103" s="28"/>
      <c r="M103" s="28"/>
      <c r="N103" s="28"/>
      <c r="O103" s="28"/>
      <c r="P103" s="28"/>
      <c r="Q103" s="28"/>
      <c r="R103" s="28"/>
      <c r="S103" s="28"/>
      <c r="T103" s="28"/>
      <c r="U103" s="28"/>
      <c r="V103" s="28"/>
      <c r="W103" s="28"/>
      <c r="X103" s="28"/>
      <c r="Y103" s="28"/>
      <c r="Z103" s="28"/>
    </row>
    <row r="104" spans="1:26" ht="15.75" customHeight="1" x14ac:dyDescent="0.25">
      <c r="A104" s="28"/>
      <c r="B104" s="9" t="s">
        <v>83</v>
      </c>
      <c r="C104" s="300"/>
      <c r="D104" s="47">
        <v>7.133</v>
      </c>
      <c r="E104" s="11">
        <v>7</v>
      </c>
      <c r="F104" s="11">
        <v>7</v>
      </c>
      <c r="G104" s="28"/>
      <c r="H104" s="28"/>
      <c r="I104" s="3"/>
      <c r="J104" s="28"/>
      <c r="K104" s="28"/>
      <c r="L104" s="28"/>
      <c r="M104" s="28"/>
      <c r="N104" s="28"/>
      <c r="O104" s="28"/>
      <c r="P104" s="28"/>
      <c r="Q104" s="28"/>
      <c r="R104" s="28"/>
      <c r="S104" s="28"/>
      <c r="T104" s="28"/>
      <c r="U104" s="28"/>
      <c r="V104" s="28"/>
      <c r="W104" s="28"/>
      <c r="X104" s="28"/>
      <c r="Y104" s="28"/>
      <c r="Z104" s="28"/>
    </row>
    <row r="105" spans="1:26" ht="15.75" customHeight="1" x14ac:dyDescent="0.25">
      <c r="A105" s="28"/>
      <c r="B105" s="9" t="s">
        <v>84</v>
      </c>
      <c r="C105" s="301"/>
      <c r="D105" s="47">
        <v>10.72</v>
      </c>
      <c r="E105" s="11">
        <v>4</v>
      </c>
      <c r="F105" s="11">
        <v>8</v>
      </c>
      <c r="G105" s="28"/>
      <c r="H105" s="28"/>
      <c r="I105" s="3"/>
      <c r="J105" s="28"/>
      <c r="K105" s="28"/>
      <c r="L105" s="28"/>
      <c r="M105" s="28"/>
      <c r="N105" s="28"/>
      <c r="O105" s="28"/>
      <c r="P105" s="28"/>
      <c r="Q105" s="28"/>
      <c r="R105" s="28"/>
      <c r="S105" s="28"/>
      <c r="T105" s="28"/>
      <c r="U105" s="28"/>
      <c r="V105" s="28"/>
      <c r="W105" s="28"/>
      <c r="X105" s="28"/>
      <c r="Y105" s="28"/>
      <c r="Z105" s="28"/>
    </row>
    <row r="106" spans="1:26" ht="15.75" customHeight="1" x14ac:dyDescent="0.25">
      <c r="A106" s="28"/>
      <c r="B106" s="41"/>
      <c r="C106" s="42"/>
      <c r="D106" s="69"/>
      <c r="E106" s="11"/>
      <c r="F106" s="11"/>
      <c r="G106" s="28"/>
      <c r="H106" s="28"/>
      <c r="I106" s="3"/>
      <c r="J106" s="28"/>
      <c r="K106" s="28"/>
      <c r="L106" s="28"/>
      <c r="M106" s="28"/>
      <c r="N106" s="28"/>
      <c r="O106" s="28"/>
      <c r="P106" s="28"/>
      <c r="Q106" s="28"/>
      <c r="R106" s="28"/>
      <c r="S106" s="28"/>
      <c r="T106" s="28"/>
      <c r="U106" s="28"/>
      <c r="V106" s="28"/>
      <c r="W106" s="28"/>
      <c r="X106" s="28"/>
      <c r="Y106" s="28"/>
      <c r="Z106" s="28"/>
    </row>
    <row r="107" spans="1:26" ht="15.75" customHeight="1" x14ac:dyDescent="0.25">
      <c r="A107" s="28"/>
      <c r="B107" s="9" t="s">
        <v>86</v>
      </c>
      <c r="C107" s="302" t="s">
        <v>87</v>
      </c>
      <c r="D107" s="47">
        <v>20.466999999999999</v>
      </c>
      <c r="E107" s="11">
        <v>20</v>
      </c>
      <c r="F107" s="11">
        <v>24</v>
      </c>
      <c r="G107" s="28"/>
      <c r="H107" s="28"/>
      <c r="I107" s="3"/>
      <c r="J107" s="28"/>
      <c r="K107" s="28"/>
      <c r="L107" s="28"/>
      <c r="M107" s="28"/>
      <c r="N107" s="28"/>
      <c r="O107" s="28"/>
      <c r="P107" s="28"/>
      <c r="Q107" s="28"/>
      <c r="R107" s="28"/>
      <c r="S107" s="28"/>
      <c r="T107" s="28"/>
      <c r="U107" s="28"/>
      <c r="V107" s="28"/>
      <c r="W107" s="28"/>
      <c r="X107" s="28"/>
      <c r="Y107" s="28"/>
      <c r="Z107" s="28"/>
    </row>
    <row r="108" spans="1:26" ht="15.75" customHeight="1" x14ac:dyDescent="0.25">
      <c r="A108" s="28"/>
      <c r="B108" s="49" t="s">
        <v>88</v>
      </c>
      <c r="C108" s="301"/>
      <c r="D108" s="50">
        <v>20.367000000000001</v>
      </c>
      <c r="E108" s="51">
        <v>20</v>
      </c>
      <c r="F108" s="51">
        <v>25</v>
      </c>
      <c r="G108" s="28"/>
      <c r="H108" s="28"/>
      <c r="I108" s="3"/>
      <c r="J108" s="28"/>
      <c r="K108" s="28"/>
      <c r="L108" s="28"/>
      <c r="M108" s="28"/>
      <c r="N108" s="28"/>
      <c r="O108" s="28"/>
      <c r="P108" s="28"/>
      <c r="Q108" s="28"/>
      <c r="R108" s="28"/>
      <c r="S108" s="28"/>
      <c r="T108" s="28"/>
      <c r="U108" s="28"/>
      <c r="V108" s="28"/>
      <c r="W108" s="28"/>
      <c r="X108" s="28"/>
      <c r="Y108" s="28"/>
      <c r="Z108" s="28"/>
    </row>
    <row r="109" spans="1:26" ht="15.75" customHeight="1" x14ac:dyDescent="0.25">
      <c r="A109" s="28"/>
      <c r="B109" s="44"/>
      <c r="C109" s="46"/>
      <c r="D109" s="83"/>
      <c r="E109" s="46"/>
      <c r="F109" s="46"/>
      <c r="G109" s="28"/>
      <c r="H109" s="28"/>
      <c r="I109" s="3"/>
      <c r="J109" s="28"/>
      <c r="K109" s="28"/>
      <c r="L109" s="28"/>
      <c r="M109" s="28"/>
      <c r="N109" s="28"/>
      <c r="O109" s="28"/>
      <c r="P109" s="28"/>
      <c r="Q109" s="28"/>
      <c r="R109" s="28"/>
      <c r="S109" s="28"/>
      <c r="T109" s="28"/>
      <c r="U109" s="28"/>
      <c r="V109" s="28"/>
      <c r="W109" s="28"/>
      <c r="X109" s="28"/>
      <c r="Y109" s="28"/>
      <c r="Z109" s="28"/>
    </row>
    <row r="110" spans="1:26" ht="15.75" customHeight="1" x14ac:dyDescent="0.25">
      <c r="A110" s="28"/>
      <c r="B110" s="9" t="s">
        <v>89</v>
      </c>
      <c r="C110" s="302" t="s">
        <v>90</v>
      </c>
      <c r="D110" s="47">
        <v>5.15</v>
      </c>
      <c r="E110" s="11">
        <v>15</v>
      </c>
      <c r="F110" s="11">
        <v>9</v>
      </c>
      <c r="G110" s="28"/>
      <c r="H110" s="28"/>
      <c r="I110" s="3"/>
      <c r="J110" s="28"/>
      <c r="K110" s="28"/>
      <c r="L110" s="28"/>
      <c r="M110" s="28"/>
      <c r="N110" s="28"/>
      <c r="O110" s="28"/>
      <c r="P110" s="28"/>
      <c r="Q110" s="28"/>
      <c r="R110" s="28"/>
      <c r="S110" s="28"/>
      <c r="T110" s="28"/>
      <c r="U110" s="28"/>
      <c r="V110" s="28"/>
      <c r="W110" s="28"/>
      <c r="X110" s="28"/>
      <c r="Y110" s="28"/>
      <c r="Z110" s="28"/>
    </row>
    <row r="111" spans="1:26" ht="15.75" customHeight="1" x14ac:dyDescent="0.25">
      <c r="A111" s="28"/>
      <c r="B111" s="49" t="s">
        <v>91</v>
      </c>
      <c r="C111" s="301"/>
      <c r="D111" s="50">
        <v>16.2</v>
      </c>
      <c r="E111" s="51">
        <v>15</v>
      </c>
      <c r="F111" s="51">
        <v>15</v>
      </c>
      <c r="G111" s="28"/>
      <c r="H111" s="28"/>
      <c r="I111" s="3"/>
      <c r="J111" s="28"/>
      <c r="K111" s="28"/>
      <c r="L111" s="28"/>
      <c r="M111" s="28"/>
      <c r="N111" s="28"/>
      <c r="O111" s="28"/>
      <c r="P111" s="28"/>
      <c r="Q111" s="28"/>
      <c r="R111" s="28"/>
      <c r="S111" s="28"/>
      <c r="T111" s="28"/>
      <c r="U111" s="28"/>
      <c r="V111" s="28"/>
      <c r="W111" s="28"/>
      <c r="X111" s="28"/>
      <c r="Y111" s="28"/>
      <c r="Z111" s="28"/>
    </row>
    <row r="112" spans="1:26" ht="15.75" customHeight="1" x14ac:dyDescent="0.25">
      <c r="A112" s="28"/>
      <c r="B112" s="41"/>
      <c r="C112" s="42"/>
      <c r="D112" s="69"/>
      <c r="E112" s="201"/>
      <c r="F112" s="201"/>
      <c r="G112" s="28"/>
      <c r="H112" s="28"/>
      <c r="I112" s="3"/>
      <c r="J112" s="28"/>
      <c r="K112" s="28"/>
      <c r="L112" s="28"/>
      <c r="M112" s="28"/>
      <c r="N112" s="28"/>
      <c r="O112" s="28"/>
      <c r="P112" s="28"/>
      <c r="Q112" s="28"/>
      <c r="R112" s="28"/>
      <c r="S112" s="28"/>
      <c r="T112" s="28"/>
      <c r="U112" s="28"/>
      <c r="V112" s="28"/>
      <c r="W112" s="28"/>
      <c r="X112" s="28"/>
      <c r="Y112" s="28"/>
      <c r="Z112" s="28"/>
    </row>
    <row r="113" spans="1:26" ht="15.75" customHeight="1" x14ac:dyDescent="0.25">
      <c r="B113" s="9" t="s">
        <v>94</v>
      </c>
      <c r="C113" s="302" t="s">
        <v>95</v>
      </c>
      <c r="D113" s="47">
        <v>50.082999999999998</v>
      </c>
      <c r="E113" s="11">
        <v>50</v>
      </c>
      <c r="F113" s="11">
        <v>98</v>
      </c>
      <c r="G113" s="28"/>
      <c r="H113" s="28"/>
      <c r="I113" s="3"/>
      <c r="J113" s="28"/>
      <c r="K113" s="28"/>
      <c r="L113" s="28"/>
      <c r="M113" s="28"/>
      <c r="N113" s="28"/>
      <c r="O113" s="28"/>
      <c r="P113" s="28"/>
      <c r="Q113" s="28"/>
      <c r="R113" s="28"/>
      <c r="S113" s="28"/>
      <c r="T113" s="28"/>
      <c r="U113" s="28"/>
      <c r="V113" s="28"/>
      <c r="W113" s="28"/>
      <c r="X113" s="28"/>
      <c r="Y113" s="28"/>
      <c r="Z113" s="28"/>
    </row>
    <row r="114" spans="1:26" ht="15.75" customHeight="1" x14ac:dyDescent="0.25">
      <c r="B114" s="9" t="s">
        <v>96</v>
      </c>
      <c r="C114" s="300"/>
      <c r="D114" s="47">
        <v>93.992999999999995</v>
      </c>
      <c r="E114" s="11">
        <v>110</v>
      </c>
      <c r="F114" s="11">
        <v>103</v>
      </c>
      <c r="G114" s="28"/>
      <c r="H114" s="28"/>
      <c r="I114" s="3"/>
      <c r="J114" s="28"/>
      <c r="K114" s="28"/>
      <c r="L114" s="28"/>
      <c r="M114" s="28"/>
      <c r="N114" s="28"/>
      <c r="O114" s="28"/>
      <c r="P114" s="28"/>
      <c r="Q114" s="28"/>
      <c r="R114" s="28"/>
      <c r="S114" s="28"/>
      <c r="T114" s="28"/>
      <c r="U114" s="28"/>
      <c r="V114" s="28"/>
      <c r="W114" s="28"/>
      <c r="X114" s="28"/>
      <c r="Y114" s="28"/>
      <c r="Z114" s="28"/>
    </row>
    <row r="115" spans="1:26" ht="15.75" customHeight="1" x14ac:dyDescent="0.25">
      <c r="B115" s="9" t="s">
        <v>97</v>
      </c>
      <c r="C115" s="300"/>
      <c r="D115" s="47">
        <v>95.516999999999996</v>
      </c>
      <c r="E115" s="11">
        <v>54</v>
      </c>
      <c r="F115" s="11">
        <v>103</v>
      </c>
      <c r="G115" s="28"/>
      <c r="H115" s="28"/>
      <c r="I115" s="3"/>
      <c r="J115" s="28"/>
      <c r="K115" s="28"/>
      <c r="L115" s="28"/>
      <c r="M115" s="28"/>
      <c r="N115" s="28"/>
      <c r="O115" s="28"/>
      <c r="P115" s="28"/>
      <c r="Q115" s="28"/>
      <c r="R115" s="28"/>
      <c r="S115" s="28"/>
      <c r="T115" s="28"/>
      <c r="U115" s="28"/>
      <c r="V115" s="28"/>
      <c r="W115" s="28"/>
      <c r="X115" s="28"/>
      <c r="Y115" s="28"/>
      <c r="Z115" s="28"/>
    </row>
    <row r="116" spans="1:26" ht="15.75" customHeight="1" x14ac:dyDescent="0.25">
      <c r="B116" s="9" t="s">
        <v>98</v>
      </c>
      <c r="C116" s="300"/>
      <c r="D116" s="47">
        <v>100.92</v>
      </c>
      <c r="E116" s="11">
        <v>112</v>
      </c>
      <c r="F116" s="11">
        <v>105</v>
      </c>
      <c r="G116" s="28"/>
      <c r="H116" s="28"/>
      <c r="I116" s="3"/>
      <c r="J116" s="28"/>
      <c r="K116" s="28"/>
      <c r="L116" s="28"/>
      <c r="M116" s="28"/>
      <c r="N116" s="28"/>
      <c r="O116" s="28"/>
      <c r="P116" s="28"/>
      <c r="Q116" s="28"/>
      <c r="R116" s="28"/>
      <c r="S116" s="28"/>
      <c r="T116" s="28"/>
      <c r="U116" s="28"/>
      <c r="V116" s="28"/>
      <c r="W116" s="28"/>
      <c r="X116" s="28"/>
      <c r="Y116" s="28"/>
      <c r="Z116" s="28"/>
    </row>
    <row r="117" spans="1:26" ht="15.75" customHeight="1" x14ac:dyDescent="0.25">
      <c r="B117" s="9" t="s">
        <v>99</v>
      </c>
      <c r="C117" s="301"/>
      <c r="D117" s="47">
        <v>115.37</v>
      </c>
      <c r="E117" s="11">
        <v>109</v>
      </c>
      <c r="F117" s="11">
        <v>109</v>
      </c>
      <c r="G117" s="28"/>
      <c r="H117" s="28"/>
      <c r="I117" s="3"/>
      <c r="J117" s="28"/>
      <c r="K117" s="28"/>
      <c r="L117" s="28"/>
      <c r="M117" s="28"/>
      <c r="N117" s="28"/>
      <c r="O117" s="28"/>
      <c r="P117" s="28"/>
      <c r="Q117" s="28"/>
      <c r="R117" s="28"/>
      <c r="S117" s="28"/>
      <c r="T117" s="28"/>
      <c r="U117" s="28"/>
      <c r="V117" s="28"/>
      <c r="W117" s="28"/>
      <c r="X117" s="28"/>
      <c r="Y117" s="28"/>
      <c r="Z117" s="28"/>
    </row>
    <row r="118" spans="1:26" ht="15.75" customHeight="1" x14ac:dyDescent="0.2"/>
    <row r="119" spans="1:26" ht="15.75" customHeight="1" x14ac:dyDescent="0.2"/>
    <row r="120" spans="1:26" ht="15.75" customHeight="1" x14ac:dyDescent="0.2"/>
    <row r="121" spans="1:26" ht="15.75" customHeight="1" x14ac:dyDescent="0.2"/>
    <row r="122" spans="1:26" ht="15.75" customHeight="1" x14ac:dyDescent="0.25">
      <c r="A122" s="29" t="s">
        <v>668</v>
      </c>
      <c r="B122" s="30"/>
      <c r="C122" s="30"/>
      <c r="D122" s="32"/>
      <c r="E122" s="32"/>
      <c r="F122" s="159"/>
      <c r="G122" s="29"/>
      <c r="H122" s="29"/>
      <c r="I122" s="34"/>
      <c r="J122" s="29"/>
      <c r="K122" s="29"/>
      <c r="L122" s="29"/>
      <c r="M122" s="29"/>
      <c r="N122" s="29"/>
      <c r="O122" s="29"/>
      <c r="P122" s="29"/>
      <c r="Q122" s="29"/>
      <c r="R122" s="29"/>
      <c r="S122" s="29"/>
      <c r="T122" s="29"/>
      <c r="U122" s="29"/>
      <c r="V122" s="29"/>
      <c r="W122" s="29"/>
      <c r="X122" s="29"/>
      <c r="Y122" s="29"/>
      <c r="Z122" s="29"/>
    </row>
    <row r="123" spans="1:26" ht="15.75" customHeight="1" x14ac:dyDescent="0.25">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5.75" customHeight="1" x14ac:dyDescent="0.25">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5.75" customHeight="1" x14ac:dyDescent="0.25">
      <c r="A125" s="28"/>
      <c r="B125" s="28" t="s">
        <v>782</v>
      </c>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5.75" customHeight="1" x14ac:dyDescent="0.25">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5.75" customHeight="1" x14ac:dyDescent="0.25">
      <c r="A127" s="28"/>
      <c r="B127" s="304"/>
      <c r="C127" s="297"/>
      <c r="D127" s="297"/>
      <c r="E127" s="297"/>
      <c r="F127" s="154"/>
      <c r="G127" s="28"/>
      <c r="H127" s="28"/>
      <c r="I127" s="3"/>
      <c r="J127" s="28"/>
      <c r="K127" s="28"/>
      <c r="L127" s="28"/>
      <c r="M127" s="28"/>
      <c r="N127" s="28"/>
      <c r="O127" s="28"/>
      <c r="P127" s="28"/>
      <c r="Q127" s="28"/>
      <c r="R127" s="28"/>
      <c r="S127" s="28"/>
      <c r="T127" s="28"/>
      <c r="U127" s="28"/>
      <c r="V127" s="28"/>
      <c r="W127" s="28"/>
      <c r="X127" s="28"/>
      <c r="Y127" s="28"/>
      <c r="Z127" s="28"/>
    </row>
    <row r="128" spans="1:26" ht="24.75" customHeight="1" x14ac:dyDescent="0.25">
      <c r="A128" s="28"/>
      <c r="B128" s="4" t="s">
        <v>0</v>
      </c>
      <c r="C128" s="5" t="s">
        <v>1</v>
      </c>
      <c r="D128" s="5" t="s">
        <v>2</v>
      </c>
      <c r="E128" s="5" t="s">
        <v>43</v>
      </c>
      <c r="F128" s="45" t="s">
        <v>125</v>
      </c>
      <c r="G128" s="28"/>
      <c r="H128" s="296" t="s">
        <v>6</v>
      </c>
      <c r="I128" s="297"/>
      <c r="J128" s="297"/>
      <c r="K128" s="297"/>
      <c r="L128" s="297"/>
      <c r="M128" s="298"/>
      <c r="N128" s="28"/>
      <c r="O128" s="28"/>
      <c r="P128" s="28"/>
      <c r="Q128" s="28"/>
      <c r="R128" s="28"/>
      <c r="S128" s="28"/>
      <c r="T128" s="28"/>
      <c r="U128" s="28"/>
      <c r="V128" s="28"/>
      <c r="W128" s="28"/>
      <c r="X128" s="28"/>
      <c r="Y128" s="28"/>
      <c r="Z128" s="28"/>
    </row>
    <row r="129" spans="1:26" ht="15.75" customHeight="1" x14ac:dyDescent="0.25">
      <c r="A129" s="28"/>
      <c r="B129" s="9" t="s">
        <v>7</v>
      </c>
      <c r="C129" s="302" t="s">
        <v>9</v>
      </c>
      <c r="D129" s="47">
        <v>28.1</v>
      </c>
      <c r="E129" s="11">
        <v>61</v>
      </c>
      <c r="F129" s="11">
        <v>29</v>
      </c>
      <c r="G129" s="28"/>
      <c r="H129" s="296" t="s">
        <v>106</v>
      </c>
      <c r="I129" s="297"/>
      <c r="J129" s="298"/>
      <c r="K129" s="296" t="s">
        <v>107</v>
      </c>
      <c r="L129" s="297"/>
      <c r="M129" s="298"/>
      <c r="N129" s="28"/>
      <c r="O129" s="28"/>
      <c r="P129" s="28"/>
      <c r="Q129" s="28"/>
      <c r="R129" s="28"/>
      <c r="S129" s="28"/>
      <c r="T129" s="28"/>
      <c r="U129" s="28"/>
      <c r="V129" s="28"/>
      <c r="W129" s="28"/>
      <c r="X129" s="28"/>
      <c r="Y129" s="28"/>
      <c r="Z129" s="28"/>
    </row>
    <row r="130" spans="1:26" ht="15.75" customHeight="1" x14ac:dyDescent="0.25">
      <c r="A130" s="28"/>
      <c r="B130" s="9" t="s">
        <v>17</v>
      </c>
      <c r="C130" s="300"/>
      <c r="D130" s="47">
        <v>63.911000000000001</v>
      </c>
      <c r="E130" s="11">
        <v>62</v>
      </c>
      <c r="F130" s="11">
        <v>65</v>
      </c>
      <c r="G130" s="28"/>
      <c r="H130" s="13" t="s">
        <v>13</v>
      </c>
      <c r="I130" s="39">
        <f>I132+I132*0.05</f>
        <v>657.3</v>
      </c>
      <c r="J130" s="17" t="s">
        <v>791</v>
      </c>
      <c r="K130" s="13" t="s">
        <v>13</v>
      </c>
      <c r="L130" s="39">
        <f>L132+L132*0.05</f>
        <v>645.75</v>
      </c>
      <c r="M130" s="17" t="s">
        <v>794</v>
      </c>
      <c r="N130" s="28"/>
      <c r="O130" s="28"/>
      <c r="P130" s="28"/>
      <c r="Q130" s="28"/>
      <c r="R130" s="28"/>
      <c r="S130" s="28"/>
      <c r="T130" s="28"/>
      <c r="U130" s="28"/>
      <c r="V130" s="28"/>
      <c r="W130" s="28"/>
      <c r="X130" s="28"/>
      <c r="Y130" s="28"/>
      <c r="Z130" s="28"/>
    </row>
    <row r="131" spans="1:26" ht="15.75" customHeight="1" x14ac:dyDescent="0.25">
      <c r="A131" s="28"/>
      <c r="B131" s="9" t="s">
        <v>26</v>
      </c>
      <c r="C131" s="300"/>
      <c r="D131" s="47">
        <v>69.921999999999997</v>
      </c>
      <c r="E131" s="11">
        <v>68</v>
      </c>
      <c r="F131" s="11">
        <v>66</v>
      </c>
      <c r="G131" s="28"/>
      <c r="H131" s="13" t="s">
        <v>19</v>
      </c>
      <c r="I131" s="40">
        <f>I132-I132*0.05</f>
        <v>594.70000000000005</v>
      </c>
      <c r="J131" s="17" t="s">
        <v>795</v>
      </c>
      <c r="K131" s="13" t="s">
        <v>19</v>
      </c>
      <c r="L131" s="40">
        <f>L132-L132*0.05</f>
        <v>584.25</v>
      </c>
      <c r="M131" s="17" t="s">
        <v>797</v>
      </c>
      <c r="N131" s="28"/>
      <c r="O131" s="28"/>
      <c r="P131" s="28"/>
      <c r="Q131" s="28"/>
      <c r="R131" s="28"/>
      <c r="S131" s="28"/>
      <c r="T131" s="28"/>
      <c r="U131" s="28"/>
      <c r="V131" s="28"/>
      <c r="W131" s="28"/>
      <c r="X131" s="28"/>
      <c r="Y131" s="28"/>
      <c r="Z131" s="28"/>
    </row>
    <row r="132" spans="1:26" ht="15.75" customHeight="1" x14ac:dyDescent="0.25">
      <c r="A132" s="28"/>
      <c r="B132" s="9" t="s">
        <v>32</v>
      </c>
      <c r="C132" s="300"/>
      <c r="D132" s="47">
        <v>96.744</v>
      </c>
      <c r="E132" s="11">
        <v>93</v>
      </c>
      <c r="F132" s="11">
        <v>75</v>
      </c>
      <c r="G132" s="28"/>
      <c r="H132" s="13" t="s">
        <v>27</v>
      </c>
      <c r="I132" s="20">
        <v>626</v>
      </c>
      <c r="J132" s="17" t="s">
        <v>799</v>
      </c>
      <c r="K132" s="13" t="s">
        <v>27</v>
      </c>
      <c r="L132" s="20">
        <v>615</v>
      </c>
      <c r="M132" s="17" t="s">
        <v>801</v>
      </c>
      <c r="N132" s="28"/>
      <c r="O132" s="28"/>
      <c r="P132" s="28"/>
      <c r="Q132" s="28"/>
      <c r="R132" s="28"/>
      <c r="S132" s="28"/>
      <c r="T132" s="28"/>
      <c r="U132" s="28"/>
      <c r="V132" s="28"/>
      <c r="W132" s="28"/>
      <c r="X132" s="28"/>
      <c r="Y132" s="28"/>
      <c r="Z132" s="28"/>
    </row>
    <row r="133" spans="1:26" ht="15.75" customHeight="1" x14ac:dyDescent="0.25">
      <c r="A133" s="28"/>
      <c r="B133" s="9" t="s">
        <v>33</v>
      </c>
      <c r="C133" s="301"/>
      <c r="D133" s="47">
        <v>128.11000000000001</v>
      </c>
      <c r="E133" s="11">
        <v>137</v>
      </c>
      <c r="F133" s="11">
        <v>95</v>
      </c>
      <c r="G133" s="28"/>
      <c r="H133" s="13" t="s">
        <v>121</v>
      </c>
      <c r="I133" s="20">
        <v>600</v>
      </c>
      <c r="J133" s="17" t="s">
        <v>806</v>
      </c>
      <c r="K133" s="13" t="s">
        <v>121</v>
      </c>
      <c r="L133" s="20">
        <v>614</v>
      </c>
      <c r="M133" s="17" t="s">
        <v>807</v>
      </c>
      <c r="N133" s="28"/>
      <c r="O133" s="28"/>
      <c r="P133" s="28"/>
      <c r="Q133" s="28"/>
      <c r="R133" s="28"/>
      <c r="S133" s="28"/>
      <c r="T133" s="28"/>
      <c r="U133" s="28"/>
      <c r="V133" s="28"/>
      <c r="W133" s="28"/>
      <c r="X133" s="28"/>
      <c r="Y133" s="28"/>
      <c r="Z133" s="28"/>
    </row>
    <row r="134" spans="1:26" ht="15.75" customHeight="1" x14ac:dyDescent="0.25">
      <c r="A134" s="28"/>
      <c r="B134" s="41"/>
      <c r="C134" s="42"/>
      <c r="D134" s="69"/>
      <c r="E134" s="11"/>
      <c r="F134" s="11"/>
      <c r="G134" s="28"/>
      <c r="H134" s="28"/>
      <c r="I134" s="3"/>
      <c r="J134" s="28"/>
      <c r="K134" s="28"/>
      <c r="L134" s="28"/>
      <c r="M134" s="28"/>
      <c r="N134" s="28"/>
      <c r="O134" s="28"/>
      <c r="P134" s="28"/>
      <c r="Q134" s="28"/>
      <c r="R134" s="28"/>
      <c r="S134" s="28"/>
      <c r="T134" s="28"/>
      <c r="U134" s="28"/>
      <c r="V134" s="28"/>
      <c r="W134" s="28"/>
      <c r="X134" s="28"/>
      <c r="Y134" s="28"/>
      <c r="Z134" s="28"/>
    </row>
    <row r="135" spans="1:26" ht="15.75" customHeight="1" x14ac:dyDescent="0.25">
      <c r="A135" s="28"/>
      <c r="B135" s="9" t="s">
        <v>35</v>
      </c>
      <c r="C135" s="302" t="s">
        <v>36</v>
      </c>
      <c r="D135" s="47">
        <v>207.78</v>
      </c>
      <c r="E135" s="11">
        <v>317</v>
      </c>
      <c r="F135" s="11">
        <v>183</v>
      </c>
      <c r="G135" s="28"/>
      <c r="H135" s="28"/>
      <c r="I135" s="3"/>
      <c r="J135" s="28"/>
      <c r="K135" s="28"/>
      <c r="L135" s="28"/>
      <c r="M135" s="28"/>
      <c r="N135" s="28"/>
      <c r="O135" s="28"/>
      <c r="P135" s="28"/>
      <c r="Q135" s="28"/>
      <c r="R135" s="28"/>
      <c r="S135" s="28"/>
      <c r="T135" s="28"/>
      <c r="U135" s="28"/>
      <c r="V135" s="28"/>
      <c r="W135" s="28"/>
      <c r="X135" s="28"/>
      <c r="Y135" s="28"/>
      <c r="Z135" s="28"/>
    </row>
    <row r="136" spans="1:26" ht="15.75" customHeight="1" x14ac:dyDescent="0.25">
      <c r="A136" s="28"/>
      <c r="B136" s="9" t="s">
        <v>37</v>
      </c>
      <c r="C136" s="300"/>
      <c r="D136" s="47">
        <v>444.11</v>
      </c>
      <c r="E136" s="11">
        <v>389</v>
      </c>
      <c r="F136" s="11">
        <v>213</v>
      </c>
      <c r="G136" s="28"/>
      <c r="H136" s="28"/>
      <c r="I136" s="3"/>
      <c r="J136" s="28"/>
      <c r="K136" s="28"/>
      <c r="L136" s="28"/>
      <c r="M136" s="28"/>
      <c r="N136" s="28"/>
      <c r="O136" s="28"/>
      <c r="P136" s="28"/>
      <c r="Q136" s="28"/>
      <c r="R136" s="28"/>
      <c r="S136" s="28"/>
      <c r="T136" s="28"/>
      <c r="U136" s="28"/>
      <c r="V136" s="28"/>
      <c r="W136" s="28"/>
      <c r="X136" s="28"/>
      <c r="Y136" s="28"/>
      <c r="Z136" s="28"/>
    </row>
    <row r="137" spans="1:26" ht="15.75" customHeight="1" x14ac:dyDescent="0.25">
      <c r="A137" s="28"/>
      <c r="B137" s="9" t="s">
        <v>38</v>
      </c>
      <c r="C137" s="300"/>
      <c r="D137" s="47">
        <v>579.55999999999995</v>
      </c>
      <c r="E137" s="11">
        <v>504</v>
      </c>
      <c r="F137" s="11">
        <v>538</v>
      </c>
      <c r="G137" s="28"/>
      <c r="H137" s="28"/>
      <c r="I137" s="3"/>
      <c r="J137" s="28"/>
      <c r="K137" s="28"/>
      <c r="L137" s="28"/>
      <c r="M137" s="28"/>
      <c r="N137" s="28"/>
      <c r="O137" s="28"/>
      <c r="P137" s="28"/>
      <c r="Q137" s="28"/>
      <c r="R137" s="28"/>
      <c r="S137" s="28"/>
      <c r="T137" s="28"/>
      <c r="U137" s="28"/>
      <c r="V137" s="28"/>
      <c r="W137" s="28"/>
      <c r="X137" s="28"/>
      <c r="Y137" s="28"/>
      <c r="Z137" s="28"/>
    </row>
    <row r="138" spans="1:26" ht="15.75" customHeight="1" x14ac:dyDescent="0.25">
      <c r="A138" s="28"/>
      <c r="B138" s="9" t="s">
        <v>39</v>
      </c>
      <c r="C138" s="300"/>
      <c r="D138" s="47">
        <v>746.22</v>
      </c>
      <c r="E138" s="11">
        <v>794</v>
      </c>
      <c r="F138" s="11">
        <v>651</v>
      </c>
      <c r="G138" s="28"/>
      <c r="H138" s="28"/>
      <c r="I138" s="3"/>
      <c r="J138" s="28"/>
      <c r="K138" s="28"/>
      <c r="L138" s="28"/>
      <c r="M138" s="28"/>
      <c r="N138" s="28"/>
      <c r="O138" s="28"/>
      <c r="P138" s="28"/>
      <c r="Q138" s="28"/>
      <c r="R138" s="28"/>
      <c r="S138" s="28"/>
      <c r="T138" s="28"/>
      <c r="U138" s="28"/>
      <c r="V138" s="28"/>
      <c r="W138" s="28"/>
      <c r="X138" s="28"/>
      <c r="Y138" s="28"/>
      <c r="Z138" s="28"/>
    </row>
    <row r="139" spans="1:26" ht="15.75" customHeight="1" x14ac:dyDescent="0.25">
      <c r="A139" s="28"/>
      <c r="B139" s="49" t="s">
        <v>41</v>
      </c>
      <c r="C139" s="301"/>
      <c r="D139" s="50">
        <v>869.5</v>
      </c>
      <c r="E139" s="51">
        <v>840</v>
      </c>
      <c r="F139" s="51">
        <v>700</v>
      </c>
      <c r="G139" s="28"/>
      <c r="H139" s="28"/>
      <c r="I139" s="3"/>
      <c r="J139" s="28"/>
      <c r="K139" s="28"/>
      <c r="L139" s="28"/>
      <c r="M139" s="28"/>
      <c r="N139" s="28"/>
      <c r="O139" s="28"/>
      <c r="P139" s="28"/>
      <c r="Q139" s="28"/>
      <c r="R139" s="28"/>
      <c r="S139" s="28"/>
      <c r="T139" s="28"/>
      <c r="U139" s="28"/>
      <c r="V139" s="28"/>
      <c r="W139" s="28"/>
      <c r="X139" s="28"/>
      <c r="Y139" s="28"/>
      <c r="Z139" s="28"/>
    </row>
    <row r="140" spans="1:26" ht="15.75" customHeight="1" x14ac:dyDescent="0.25">
      <c r="A140" s="28"/>
      <c r="B140" s="79"/>
      <c r="C140" s="81"/>
      <c r="D140" s="83"/>
      <c r="E140" s="81"/>
      <c r="F140" s="81"/>
      <c r="G140" s="28"/>
      <c r="H140" s="28"/>
      <c r="I140" s="3"/>
      <c r="J140" s="28"/>
      <c r="K140" s="28"/>
      <c r="L140" s="28"/>
      <c r="M140" s="28"/>
      <c r="N140" s="28"/>
      <c r="O140" s="28"/>
      <c r="P140" s="28"/>
      <c r="Q140" s="28"/>
      <c r="R140" s="28"/>
      <c r="S140" s="28"/>
      <c r="T140" s="28"/>
      <c r="U140" s="28"/>
      <c r="V140" s="28"/>
      <c r="W140" s="28"/>
      <c r="X140" s="28"/>
      <c r="Y140" s="28"/>
      <c r="Z140" s="28"/>
    </row>
    <row r="141" spans="1:26" ht="15.75" customHeight="1" x14ac:dyDescent="0.25">
      <c r="A141" s="28"/>
      <c r="B141" s="9" t="s">
        <v>46</v>
      </c>
      <c r="C141" s="302" t="s">
        <v>47</v>
      </c>
      <c r="D141" s="47">
        <v>88.4</v>
      </c>
      <c r="E141" s="11">
        <v>98</v>
      </c>
      <c r="F141" s="11">
        <v>82</v>
      </c>
      <c r="G141" s="28"/>
      <c r="H141" s="28"/>
      <c r="I141" s="3"/>
      <c r="J141" s="28"/>
      <c r="K141" s="28"/>
      <c r="L141" s="28"/>
      <c r="M141" s="28"/>
      <c r="N141" s="28"/>
      <c r="O141" s="28"/>
      <c r="P141" s="28"/>
      <c r="Q141" s="28"/>
      <c r="R141" s="28"/>
      <c r="S141" s="28"/>
      <c r="T141" s="28"/>
      <c r="U141" s="28"/>
      <c r="V141" s="28"/>
      <c r="W141" s="28"/>
      <c r="X141" s="28"/>
      <c r="Y141" s="28"/>
      <c r="Z141" s="28"/>
    </row>
    <row r="142" spans="1:26" ht="15.75" customHeight="1" x14ac:dyDescent="0.25">
      <c r="A142" s="28"/>
      <c r="B142" s="9" t="s">
        <v>48</v>
      </c>
      <c r="C142" s="301"/>
      <c r="D142" s="47">
        <v>94.6</v>
      </c>
      <c r="E142" s="11">
        <v>119</v>
      </c>
      <c r="F142" s="11">
        <v>85</v>
      </c>
      <c r="G142" s="28"/>
      <c r="H142" s="28"/>
      <c r="I142" s="3"/>
      <c r="J142" s="28"/>
      <c r="K142" s="28"/>
      <c r="L142" s="28"/>
      <c r="M142" s="28"/>
      <c r="N142" s="28"/>
      <c r="O142" s="28"/>
      <c r="P142" s="28"/>
      <c r="Q142" s="28"/>
      <c r="R142" s="28"/>
      <c r="S142" s="28"/>
      <c r="T142" s="28"/>
      <c r="U142" s="28"/>
      <c r="V142" s="28"/>
      <c r="W142" s="28"/>
      <c r="X142" s="28"/>
      <c r="Y142" s="28"/>
      <c r="Z142" s="28"/>
    </row>
    <row r="143" spans="1:26" ht="15.75" customHeight="1" x14ac:dyDescent="0.25">
      <c r="A143" s="28"/>
      <c r="B143" s="41"/>
      <c r="C143" s="42"/>
      <c r="D143" s="69"/>
      <c r="E143" s="11"/>
      <c r="F143" s="11"/>
      <c r="G143" s="28"/>
      <c r="H143" s="28"/>
      <c r="I143" s="3"/>
      <c r="J143" s="28"/>
      <c r="K143" s="28"/>
      <c r="L143" s="28"/>
      <c r="M143" s="28"/>
      <c r="N143" s="28"/>
      <c r="O143" s="28"/>
      <c r="P143" s="28"/>
      <c r="Q143" s="28"/>
      <c r="R143" s="28"/>
      <c r="S143" s="28"/>
      <c r="T143" s="28"/>
      <c r="U143" s="28"/>
      <c r="V143" s="28"/>
      <c r="W143" s="28"/>
      <c r="X143" s="28"/>
      <c r="Y143" s="28"/>
      <c r="Z143" s="28"/>
    </row>
    <row r="144" spans="1:26" ht="15.75" customHeight="1" x14ac:dyDescent="0.25">
      <c r="A144" s="28"/>
      <c r="B144" s="9" t="s">
        <v>50</v>
      </c>
      <c r="C144" s="302" t="s">
        <v>51</v>
      </c>
      <c r="D144" s="47">
        <v>271.44400000000002</v>
      </c>
      <c r="E144" s="11">
        <v>417</v>
      </c>
      <c r="F144" s="11">
        <v>247</v>
      </c>
      <c r="G144" s="28"/>
      <c r="H144" s="28"/>
      <c r="I144" s="3"/>
      <c r="J144" s="28"/>
      <c r="K144" s="28"/>
      <c r="L144" s="28"/>
      <c r="M144" s="28"/>
      <c r="N144" s="28"/>
      <c r="O144" s="28"/>
      <c r="P144" s="28"/>
      <c r="Q144" s="28"/>
      <c r="R144" s="28"/>
      <c r="S144" s="28"/>
      <c r="T144" s="28"/>
      <c r="U144" s="28"/>
      <c r="V144" s="28"/>
      <c r="W144" s="28"/>
      <c r="X144" s="28"/>
      <c r="Y144" s="28"/>
      <c r="Z144" s="28"/>
    </row>
    <row r="145" spans="1:26" ht="15.75" customHeight="1" x14ac:dyDescent="0.25">
      <c r="A145" s="28"/>
      <c r="B145" s="9" t="s">
        <v>54</v>
      </c>
      <c r="C145" s="300"/>
      <c r="D145" s="47">
        <v>550.22199999999998</v>
      </c>
      <c r="E145" s="11">
        <v>579</v>
      </c>
      <c r="F145" s="11">
        <v>520</v>
      </c>
      <c r="G145" s="28"/>
      <c r="H145" s="28"/>
      <c r="I145" s="3"/>
      <c r="J145" s="28"/>
      <c r="K145" s="28"/>
      <c r="L145" s="28"/>
      <c r="M145" s="28"/>
      <c r="N145" s="28"/>
      <c r="O145" s="28"/>
      <c r="P145" s="28"/>
      <c r="Q145" s="28"/>
      <c r="R145" s="28"/>
      <c r="S145" s="28"/>
      <c r="T145" s="28"/>
      <c r="U145" s="28"/>
      <c r="V145" s="28"/>
      <c r="W145" s="28"/>
      <c r="X145" s="28"/>
      <c r="Y145" s="28"/>
      <c r="Z145" s="28"/>
    </row>
    <row r="146" spans="1:26" ht="15.75" customHeight="1" x14ac:dyDescent="0.25">
      <c r="A146" s="28"/>
      <c r="B146" s="9" t="s">
        <v>55</v>
      </c>
      <c r="C146" s="300"/>
      <c r="D146" s="47">
        <v>609</v>
      </c>
      <c r="E146" s="11">
        <v>601</v>
      </c>
      <c r="F146" s="11">
        <v>637</v>
      </c>
      <c r="G146" s="28"/>
      <c r="H146" s="28"/>
      <c r="I146" s="3"/>
      <c r="J146" s="28"/>
      <c r="K146" s="28"/>
      <c r="L146" s="28"/>
      <c r="M146" s="28"/>
      <c r="N146" s="28"/>
      <c r="O146" s="28"/>
      <c r="P146" s="28"/>
      <c r="Q146" s="28"/>
      <c r="R146" s="28"/>
      <c r="S146" s="28"/>
      <c r="T146" s="28"/>
      <c r="U146" s="28"/>
      <c r="V146" s="28"/>
      <c r="W146" s="28"/>
      <c r="X146" s="28"/>
      <c r="Y146" s="28"/>
      <c r="Z146" s="28"/>
    </row>
    <row r="147" spans="1:26" ht="15.75" customHeight="1" x14ac:dyDescent="0.25">
      <c r="A147" s="28"/>
      <c r="B147" s="9" t="s">
        <v>56</v>
      </c>
      <c r="C147" s="300"/>
      <c r="D147" s="47">
        <v>739.11099999999999</v>
      </c>
      <c r="E147" s="11">
        <v>774</v>
      </c>
      <c r="F147" s="11">
        <v>681</v>
      </c>
      <c r="G147" s="28"/>
      <c r="H147" s="28"/>
      <c r="I147" s="3"/>
      <c r="J147" s="28"/>
      <c r="K147" s="28"/>
      <c r="L147" s="28"/>
      <c r="M147" s="28"/>
      <c r="N147" s="28"/>
      <c r="O147" s="28"/>
      <c r="P147" s="28"/>
      <c r="Q147" s="28"/>
      <c r="R147" s="28"/>
      <c r="S147" s="28"/>
      <c r="T147" s="28"/>
      <c r="U147" s="28"/>
      <c r="V147" s="28"/>
      <c r="W147" s="28"/>
      <c r="X147" s="28"/>
      <c r="Y147" s="28"/>
      <c r="Z147" s="28"/>
    </row>
    <row r="148" spans="1:26" ht="15.75" customHeight="1" x14ac:dyDescent="0.25">
      <c r="A148" s="28"/>
      <c r="B148" s="49" t="s">
        <v>57</v>
      </c>
      <c r="C148" s="301"/>
      <c r="D148" s="50">
        <v>746.88900000000001</v>
      </c>
      <c r="E148" s="51">
        <v>622</v>
      </c>
      <c r="F148" s="51">
        <v>602</v>
      </c>
      <c r="G148" s="28"/>
      <c r="H148" s="28"/>
      <c r="I148" s="3"/>
      <c r="J148" s="28"/>
      <c r="K148" s="28"/>
      <c r="L148" s="28"/>
      <c r="M148" s="28"/>
      <c r="N148" s="28"/>
      <c r="O148" s="28"/>
      <c r="P148" s="28"/>
      <c r="Q148" s="28"/>
      <c r="R148" s="28"/>
      <c r="S148" s="28"/>
      <c r="T148" s="28"/>
      <c r="U148" s="28"/>
      <c r="V148" s="28"/>
      <c r="W148" s="28"/>
      <c r="X148" s="28"/>
      <c r="Y148" s="28"/>
      <c r="Z148" s="28"/>
    </row>
    <row r="149" spans="1:26" ht="15.75" customHeight="1" x14ac:dyDescent="0.25">
      <c r="A149" s="28"/>
      <c r="B149" s="79"/>
      <c r="C149" s="81"/>
      <c r="D149" s="83"/>
      <c r="E149" s="81"/>
      <c r="F149" s="81"/>
      <c r="G149" s="28"/>
      <c r="H149" s="28"/>
      <c r="I149" s="3"/>
      <c r="J149" s="28"/>
      <c r="K149" s="28"/>
      <c r="L149" s="28"/>
      <c r="M149" s="28"/>
      <c r="N149" s="28"/>
      <c r="O149" s="28"/>
      <c r="P149" s="28"/>
      <c r="Q149" s="28"/>
      <c r="R149" s="28"/>
      <c r="S149" s="28"/>
      <c r="T149" s="28"/>
      <c r="U149" s="28"/>
      <c r="V149" s="28"/>
      <c r="W149" s="28"/>
      <c r="X149" s="28"/>
      <c r="Y149" s="28"/>
      <c r="Z149" s="28"/>
    </row>
    <row r="150" spans="1:26" ht="15.75" customHeight="1" x14ac:dyDescent="0.25">
      <c r="A150" s="28"/>
      <c r="B150" s="9" t="s">
        <v>60</v>
      </c>
      <c r="C150" s="302" t="s">
        <v>62</v>
      </c>
      <c r="D150" s="47">
        <v>19.36</v>
      </c>
      <c r="E150" s="11">
        <v>21</v>
      </c>
      <c r="F150" s="11">
        <v>17</v>
      </c>
      <c r="G150" s="28"/>
      <c r="H150" s="28"/>
      <c r="I150" s="3"/>
      <c r="J150" s="28"/>
      <c r="K150" s="28"/>
      <c r="L150" s="28"/>
      <c r="M150" s="28"/>
      <c r="N150" s="28"/>
      <c r="O150" s="28"/>
      <c r="P150" s="28"/>
      <c r="Q150" s="28"/>
      <c r="R150" s="28"/>
      <c r="S150" s="28"/>
      <c r="T150" s="28"/>
      <c r="U150" s="28"/>
      <c r="V150" s="28"/>
      <c r="W150" s="28"/>
      <c r="X150" s="28"/>
      <c r="Y150" s="28"/>
      <c r="Z150" s="28"/>
    </row>
    <row r="151" spans="1:26" ht="15.75" customHeight="1" x14ac:dyDescent="0.25">
      <c r="A151" s="28"/>
      <c r="B151" s="9" t="s">
        <v>64</v>
      </c>
      <c r="C151" s="300"/>
      <c r="D151" s="47">
        <v>33.31</v>
      </c>
      <c r="E151" s="11">
        <v>29</v>
      </c>
      <c r="F151" s="11">
        <v>32</v>
      </c>
      <c r="G151" s="28"/>
      <c r="H151" s="28"/>
      <c r="I151" s="3"/>
      <c r="J151" s="28"/>
      <c r="K151" s="28"/>
      <c r="L151" s="28"/>
      <c r="M151" s="28"/>
      <c r="N151" s="28"/>
      <c r="O151" s="28"/>
      <c r="P151" s="28"/>
      <c r="Q151" s="28"/>
      <c r="R151" s="28"/>
      <c r="S151" s="28"/>
      <c r="T151" s="28"/>
      <c r="U151" s="28"/>
      <c r="V151" s="28"/>
      <c r="W151" s="28"/>
      <c r="X151" s="28"/>
      <c r="Y151" s="28"/>
      <c r="Z151" s="28"/>
    </row>
    <row r="152" spans="1:26" ht="15.75" customHeight="1" x14ac:dyDescent="0.25">
      <c r="A152" s="28"/>
      <c r="B152" s="9" t="s">
        <v>65</v>
      </c>
      <c r="C152" s="301"/>
      <c r="D152" s="47">
        <v>41.74</v>
      </c>
      <c r="E152" s="11">
        <v>41</v>
      </c>
      <c r="F152" s="11">
        <v>31</v>
      </c>
      <c r="G152" s="28"/>
      <c r="H152" s="28"/>
      <c r="I152" s="3"/>
      <c r="J152" s="28"/>
      <c r="K152" s="28"/>
      <c r="L152" s="28"/>
      <c r="M152" s="28"/>
      <c r="N152" s="28"/>
      <c r="O152" s="28"/>
      <c r="P152" s="28"/>
      <c r="Q152" s="28"/>
      <c r="R152" s="28"/>
      <c r="S152" s="28"/>
      <c r="T152" s="28"/>
      <c r="U152" s="28"/>
      <c r="V152" s="28"/>
      <c r="W152" s="28"/>
      <c r="X152" s="28"/>
      <c r="Y152" s="28"/>
      <c r="Z152" s="28"/>
    </row>
    <row r="153" spans="1:26" ht="15.75" customHeight="1" x14ac:dyDescent="0.25">
      <c r="A153" s="28"/>
      <c r="B153" s="41"/>
      <c r="C153" s="42"/>
      <c r="D153" s="69"/>
      <c r="E153" s="11"/>
      <c r="F153" s="11"/>
      <c r="G153" s="28"/>
      <c r="H153" s="28"/>
      <c r="I153" s="3"/>
      <c r="J153" s="28"/>
      <c r="K153" s="28"/>
      <c r="L153" s="28"/>
      <c r="M153" s="28"/>
      <c r="N153" s="28"/>
      <c r="O153" s="28"/>
      <c r="P153" s="28"/>
      <c r="Q153" s="28"/>
      <c r="R153" s="28"/>
      <c r="S153" s="28"/>
      <c r="T153" s="28"/>
      <c r="U153" s="28"/>
      <c r="V153" s="28"/>
      <c r="W153" s="28"/>
      <c r="X153" s="28"/>
      <c r="Y153" s="28"/>
      <c r="Z153" s="28"/>
    </row>
    <row r="154" spans="1:26" ht="15.75" customHeight="1" x14ac:dyDescent="0.25">
      <c r="A154" s="28"/>
      <c r="B154" s="9" t="s">
        <v>66</v>
      </c>
      <c r="C154" s="302" t="s">
        <v>68</v>
      </c>
      <c r="D154" s="47">
        <v>204.5</v>
      </c>
      <c r="E154" s="11">
        <v>208</v>
      </c>
      <c r="F154" s="11">
        <v>154</v>
      </c>
      <c r="G154" s="28"/>
      <c r="H154" s="28"/>
      <c r="I154" s="3"/>
      <c r="J154" s="28"/>
      <c r="K154" s="28"/>
      <c r="L154" s="28"/>
      <c r="M154" s="28"/>
      <c r="N154" s="28"/>
      <c r="O154" s="28"/>
      <c r="P154" s="28"/>
      <c r="Q154" s="28"/>
      <c r="R154" s="28"/>
      <c r="S154" s="28"/>
      <c r="T154" s="28"/>
      <c r="U154" s="28"/>
      <c r="V154" s="28"/>
      <c r="W154" s="28"/>
      <c r="X154" s="28"/>
      <c r="Y154" s="28"/>
      <c r="Z154" s="28"/>
    </row>
    <row r="155" spans="1:26" ht="15.75" customHeight="1" x14ac:dyDescent="0.25">
      <c r="A155" s="28"/>
      <c r="B155" s="49" t="s">
        <v>69</v>
      </c>
      <c r="C155" s="301"/>
      <c r="D155" s="50">
        <v>277.7</v>
      </c>
      <c r="E155" s="51">
        <v>281</v>
      </c>
      <c r="F155" s="51">
        <v>197</v>
      </c>
      <c r="G155" s="28"/>
      <c r="H155" s="28"/>
      <c r="I155" s="3"/>
      <c r="J155" s="28"/>
      <c r="K155" s="28"/>
      <c r="L155" s="28"/>
      <c r="M155" s="28"/>
      <c r="N155" s="28"/>
      <c r="O155" s="28"/>
      <c r="P155" s="28"/>
      <c r="Q155" s="28"/>
      <c r="R155" s="28"/>
      <c r="S155" s="28"/>
      <c r="T155" s="28"/>
      <c r="U155" s="28"/>
      <c r="V155" s="28"/>
      <c r="W155" s="28"/>
      <c r="X155" s="28"/>
      <c r="Y155" s="28"/>
      <c r="Z155" s="28"/>
    </row>
    <row r="156" spans="1:26" ht="15.75" customHeight="1" x14ac:dyDescent="0.25">
      <c r="A156" s="28"/>
      <c r="B156" s="44"/>
      <c r="C156" s="46"/>
      <c r="D156" s="83"/>
      <c r="E156" s="46"/>
      <c r="F156" s="46"/>
      <c r="G156" s="28"/>
      <c r="H156" s="28"/>
      <c r="I156" s="3"/>
      <c r="J156" s="28"/>
      <c r="K156" s="28"/>
      <c r="L156" s="28"/>
      <c r="M156" s="28"/>
      <c r="N156" s="28"/>
      <c r="O156" s="28"/>
      <c r="P156" s="28"/>
      <c r="Q156" s="28"/>
      <c r="R156" s="28"/>
      <c r="S156" s="28"/>
      <c r="T156" s="28"/>
      <c r="U156" s="28"/>
      <c r="V156" s="28"/>
      <c r="W156" s="28"/>
      <c r="X156" s="28"/>
      <c r="Y156" s="28"/>
      <c r="Z156" s="28"/>
    </row>
    <row r="157" spans="1:26" ht="15.75" customHeight="1" x14ac:dyDescent="0.25">
      <c r="A157" s="28"/>
      <c r="B157" s="9" t="s">
        <v>69</v>
      </c>
      <c r="C157" s="302" t="s">
        <v>71</v>
      </c>
      <c r="D157" s="47">
        <v>10.283300000000001</v>
      </c>
      <c r="E157" s="11">
        <v>16</v>
      </c>
      <c r="F157" s="11">
        <v>17</v>
      </c>
      <c r="G157" s="28"/>
      <c r="H157" s="28"/>
      <c r="I157" s="3"/>
      <c r="J157" s="28"/>
      <c r="K157" s="28"/>
      <c r="L157" s="28"/>
      <c r="M157" s="28"/>
      <c r="N157" s="28"/>
      <c r="O157" s="28"/>
      <c r="P157" s="28"/>
      <c r="Q157" s="28"/>
      <c r="R157" s="28"/>
      <c r="S157" s="28"/>
      <c r="T157" s="28"/>
      <c r="U157" s="28"/>
      <c r="V157" s="28"/>
      <c r="W157" s="28"/>
      <c r="X157" s="28"/>
      <c r="Y157" s="28"/>
      <c r="Z157" s="28"/>
    </row>
    <row r="158" spans="1:26" ht="15.75" customHeight="1" x14ac:dyDescent="0.25">
      <c r="A158" s="28"/>
      <c r="B158" s="9" t="s">
        <v>72</v>
      </c>
      <c r="C158" s="300"/>
      <c r="D158" s="47">
        <v>11.8833</v>
      </c>
      <c r="E158" s="11">
        <v>15</v>
      </c>
      <c r="F158" s="11">
        <v>16</v>
      </c>
      <c r="G158" s="28"/>
      <c r="H158" s="28"/>
      <c r="I158" s="3"/>
      <c r="J158" s="28"/>
      <c r="K158" s="28"/>
      <c r="L158" s="28"/>
      <c r="M158" s="28"/>
      <c r="N158" s="28"/>
      <c r="O158" s="28"/>
      <c r="P158" s="28"/>
      <c r="Q158" s="28"/>
      <c r="R158" s="28"/>
      <c r="S158" s="28"/>
      <c r="T158" s="28"/>
      <c r="U158" s="28"/>
      <c r="V158" s="28"/>
      <c r="W158" s="28"/>
      <c r="X158" s="28"/>
      <c r="Y158" s="28"/>
      <c r="Z158" s="28"/>
    </row>
    <row r="159" spans="1:26" ht="15.75" customHeight="1" x14ac:dyDescent="0.25">
      <c r="A159" s="28"/>
      <c r="B159" s="9" t="s">
        <v>73</v>
      </c>
      <c r="C159" s="301"/>
      <c r="D159" s="47">
        <v>17.433299999999999</v>
      </c>
      <c r="E159" s="11">
        <v>19</v>
      </c>
      <c r="F159" s="11">
        <v>20</v>
      </c>
      <c r="G159" s="28"/>
      <c r="H159" s="28"/>
      <c r="I159" s="3"/>
      <c r="J159" s="28"/>
      <c r="K159" s="28"/>
      <c r="L159" s="28"/>
      <c r="M159" s="28"/>
      <c r="N159" s="28"/>
      <c r="O159" s="28"/>
      <c r="P159" s="28"/>
      <c r="Q159" s="28"/>
      <c r="R159" s="28"/>
      <c r="S159" s="28"/>
      <c r="T159" s="28"/>
      <c r="U159" s="28"/>
      <c r="V159" s="28"/>
      <c r="W159" s="28"/>
      <c r="X159" s="28"/>
      <c r="Y159" s="28"/>
      <c r="Z159" s="28"/>
    </row>
    <row r="160" spans="1:26" ht="15.75" customHeight="1" x14ac:dyDescent="0.25">
      <c r="A160" s="28"/>
      <c r="B160" s="41"/>
      <c r="C160" s="42"/>
      <c r="D160" s="69"/>
      <c r="E160" s="11"/>
      <c r="F160" s="11"/>
      <c r="G160" s="28"/>
      <c r="H160" s="28"/>
      <c r="I160" s="3"/>
      <c r="J160" s="28"/>
      <c r="K160" s="28"/>
      <c r="L160" s="28"/>
      <c r="M160" s="28"/>
      <c r="N160" s="28"/>
      <c r="O160" s="28"/>
      <c r="P160" s="28"/>
      <c r="Q160" s="28"/>
      <c r="R160" s="28"/>
      <c r="S160" s="28"/>
      <c r="T160" s="28"/>
      <c r="U160" s="28"/>
      <c r="V160" s="28"/>
      <c r="W160" s="28"/>
      <c r="X160" s="28"/>
      <c r="Y160" s="28"/>
      <c r="Z160" s="28"/>
    </row>
    <row r="161" spans="1:26" ht="15.75" customHeight="1" x14ac:dyDescent="0.25">
      <c r="A161" s="28"/>
      <c r="B161" s="9" t="s">
        <v>76</v>
      </c>
      <c r="C161" s="302" t="s">
        <v>77</v>
      </c>
      <c r="D161" s="47">
        <v>117.467</v>
      </c>
      <c r="E161" s="11">
        <v>215</v>
      </c>
      <c r="F161" s="11">
        <v>146</v>
      </c>
      <c r="G161" s="28"/>
      <c r="H161" s="28"/>
      <c r="I161" s="3"/>
      <c r="J161" s="28"/>
      <c r="K161" s="28"/>
      <c r="L161" s="28"/>
      <c r="M161" s="28"/>
      <c r="N161" s="28"/>
      <c r="O161" s="28"/>
      <c r="P161" s="28"/>
      <c r="Q161" s="28"/>
      <c r="R161" s="28"/>
      <c r="S161" s="28"/>
      <c r="T161" s="28"/>
      <c r="U161" s="28"/>
      <c r="V161" s="28"/>
      <c r="W161" s="28"/>
      <c r="X161" s="28"/>
      <c r="Y161" s="28"/>
      <c r="Z161" s="28"/>
    </row>
    <row r="162" spans="1:26" ht="15.75" customHeight="1" x14ac:dyDescent="0.25">
      <c r="A162" s="28"/>
      <c r="B162" s="9" t="s">
        <v>78</v>
      </c>
      <c r="C162" s="300"/>
      <c r="D162" s="47">
        <v>187.833</v>
      </c>
      <c r="E162" s="11">
        <v>202</v>
      </c>
      <c r="F162" s="11">
        <v>230</v>
      </c>
      <c r="G162" s="28"/>
      <c r="H162" s="28"/>
      <c r="I162" s="3"/>
      <c r="J162" s="28"/>
      <c r="K162" s="28"/>
      <c r="L162" s="28"/>
      <c r="M162" s="28"/>
      <c r="N162" s="28"/>
      <c r="O162" s="28"/>
      <c r="P162" s="28"/>
      <c r="Q162" s="28"/>
      <c r="R162" s="28"/>
      <c r="S162" s="28"/>
      <c r="T162" s="28"/>
      <c r="U162" s="28"/>
      <c r="V162" s="28"/>
      <c r="W162" s="28"/>
      <c r="X162" s="28"/>
      <c r="Y162" s="28"/>
      <c r="Z162" s="28"/>
    </row>
    <row r="163" spans="1:26" ht="15.75" customHeight="1" x14ac:dyDescent="0.25">
      <c r="A163" s="28"/>
      <c r="B163" s="9" t="s">
        <v>79</v>
      </c>
      <c r="C163" s="300"/>
      <c r="D163" s="47">
        <v>218.333</v>
      </c>
      <c r="E163" s="11">
        <v>244</v>
      </c>
      <c r="F163" s="11">
        <v>187</v>
      </c>
      <c r="G163" s="28"/>
      <c r="H163" s="28"/>
      <c r="I163" s="3"/>
      <c r="J163" s="28"/>
      <c r="K163" s="28"/>
      <c r="L163" s="28"/>
      <c r="M163" s="28"/>
      <c r="N163" s="28"/>
      <c r="O163" s="28"/>
      <c r="P163" s="28"/>
      <c r="Q163" s="28"/>
      <c r="R163" s="28"/>
      <c r="S163" s="28"/>
      <c r="T163" s="28"/>
      <c r="U163" s="28"/>
      <c r="V163" s="28"/>
      <c r="W163" s="28"/>
      <c r="X163" s="28"/>
      <c r="Y163" s="28"/>
      <c r="Z163" s="28"/>
    </row>
    <row r="164" spans="1:26" ht="15.75" customHeight="1" x14ac:dyDescent="0.25">
      <c r="A164" s="28"/>
      <c r="B164" s="49" t="s">
        <v>80</v>
      </c>
      <c r="C164" s="301"/>
      <c r="D164" s="50">
        <v>238.5</v>
      </c>
      <c r="E164" s="51">
        <v>118</v>
      </c>
      <c r="F164" s="51">
        <v>87</v>
      </c>
      <c r="G164" s="28"/>
      <c r="H164" s="28"/>
      <c r="I164" s="3"/>
      <c r="J164" s="28"/>
      <c r="K164" s="28"/>
      <c r="L164" s="28"/>
      <c r="M164" s="28"/>
      <c r="N164" s="28"/>
      <c r="O164" s="28"/>
      <c r="P164" s="28"/>
      <c r="Q164" s="28"/>
      <c r="R164" s="28"/>
      <c r="S164" s="28"/>
      <c r="T164" s="28"/>
      <c r="U164" s="28"/>
      <c r="V164" s="28"/>
      <c r="W164" s="28"/>
      <c r="X164" s="28"/>
      <c r="Y164" s="28"/>
      <c r="Z164" s="28"/>
    </row>
    <row r="165" spans="1:26" ht="15.75" customHeight="1" x14ac:dyDescent="0.25">
      <c r="A165" s="28"/>
      <c r="B165" s="44"/>
      <c r="C165" s="46"/>
      <c r="D165" s="83"/>
      <c r="E165" s="46"/>
      <c r="F165" s="46"/>
      <c r="G165" s="28"/>
      <c r="H165" s="28"/>
      <c r="I165" s="3"/>
      <c r="J165" s="28"/>
      <c r="K165" s="28"/>
      <c r="L165" s="28"/>
      <c r="M165" s="28"/>
      <c r="N165" s="28"/>
      <c r="O165" s="28"/>
      <c r="P165" s="28"/>
      <c r="Q165" s="28"/>
      <c r="R165" s="28"/>
      <c r="S165" s="28"/>
      <c r="T165" s="28"/>
      <c r="U165" s="28"/>
      <c r="V165" s="28"/>
      <c r="W165" s="28"/>
      <c r="X165" s="28"/>
      <c r="Y165" s="28"/>
      <c r="Z165" s="28"/>
    </row>
    <row r="166" spans="1:26" ht="15.75" customHeight="1" x14ac:dyDescent="0.25">
      <c r="A166" s="28"/>
      <c r="B166" s="9" t="s">
        <v>81</v>
      </c>
      <c r="C166" s="302" t="s">
        <v>82</v>
      </c>
      <c r="D166" s="47">
        <v>2</v>
      </c>
      <c r="E166" s="11">
        <v>2</v>
      </c>
      <c r="F166" s="11">
        <v>2</v>
      </c>
      <c r="G166" s="28"/>
      <c r="H166" s="28"/>
      <c r="I166" s="3"/>
      <c r="J166" s="28"/>
      <c r="K166" s="28"/>
      <c r="L166" s="28"/>
      <c r="M166" s="28"/>
      <c r="N166" s="28"/>
      <c r="O166" s="28"/>
      <c r="P166" s="28"/>
      <c r="Q166" s="28"/>
      <c r="R166" s="28"/>
      <c r="S166" s="28"/>
      <c r="T166" s="28"/>
      <c r="U166" s="28"/>
      <c r="V166" s="28"/>
      <c r="W166" s="28"/>
      <c r="X166" s="28"/>
      <c r="Y166" s="28"/>
      <c r="Z166" s="28"/>
    </row>
    <row r="167" spans="1:26" ht="15.75" customHeight="1" x14ac:dyDescent="0.25">
      <c r="A167" s="28"/>
      <c r="B167" s="9" t="s">
        <v>83</v>
      </c>
      <c r="C167" s="300"/>
      <c r="D167" s="47">
        <v>7.133</v>
      </c>
      <c r="E167" s="11">
        <v>7</v>
      </c>
      <c r="F167" s="11">
        <v>8</v>
      </c>
      <c r="G167" s="28"/>
      <c r="H167" s="28"/>
      <c r="I167" s="3"/>
      <c r="J167" s="28"/>
      <c r="K167" s="28"/>
      <c r="L167" s="28"/>
      <c r="M167" s="28"/>
      <c r="N167" s="28"/>
      <c r="O167" s="28"/>
      <c r="P167" s="28"/>
      <c r="Q167" s="28"/>
      <c r="R167" s="28"/>
      <c r="S167" s="28"/>
      <c r="T167" s="28"/>
      <c r="U167" s="28"/>
      <c r="V167" s="28"/>
      <c r="W167" s="28"/>
      <c r="X167" s="28"/>
      <c r="Y167" s="28"/>
      <c r="Z167" s="28"/>
    </row>
    <row r="168" spans="1:26" ht="15.75" customHeight="1" x14ac:dyDescent="0.25">
      <c r="A168" s="28"/>
      <c r="B168" s="9" t="s">
        <v>84</v>
      </c>
      <c r="C168" s="301"/>
      <c r="D168" s="47">
        <v>10.72</v>
      </c>
      <c r="E168" s="11">
        <v>8</v>
      </c>
      <c r="F168" s="11">
        <v>10</v>
      </c>
      <c r="G168" s="28"/>
      <c r="H168" s="28"/>
      <c r="I168" s="3"/>
      <c r="J168" s="28"/>
      <c r="K168" s="28"/>
      <c r="L168" s="28"/>
      <c r="M168" s="28"/>
      <c r="N168" s="28"/>
      <c r="O168" s="28"/>
      <c r="P168" s="28"/>
      <c r="Q168" s="28"/>
      <c r="R168" s="28"/>
      <c r="S168" s="28"/>
      <c r="T168" s="28"/>
      <c r="U168" s="28"/>
      <c r="V168" s="28"/>
      <c r="W168" s="28"/>
      <c r="X168" s="28"/>
      <c r="Y168" s="28"/>
      <c r="Z168" s="28"/>
    </row>
    <row r="169" spans="1:26" ht="15.75" customHeight="1" x14ac:dyDescent="0.25">
      <c r="A169" s="28"/>
      <c r="B169" s="41"/>
      <c r="C169" s="42"/>
      <c r="D169" s="69"/>
      <c r="E169" s="11"/>
      <c r="F169" s="11"/>
      <c r="G169" s="28"/>
      <c r="H169" s="28"/>
      <c r="I169" s="3"/>
      <c r="J169" s="28"/>
      <c r="K169" s="28"/>
      <c r="L169" s="28"/>
      <c r="M169" s="28"/>
      <c r="N169" s="28"/>
      <c r="O169" s="28"/>
      <c r="P169" s="28"/>
      <c r="Q169" s="28"/>
      <c r="R169" s="28"/>
      <c r="S169" s="28"/>
      <c r="T169" s="28"/>
      <c r="U169" s="28"/>
      <c r="V169" s="28"/>
      <c r="W169" s="28"/>
      <c r="X169" s="28"/>
      <c r="Y169" s="28"/>
      <c r="Z169" s="28"/>
    </row>
    <row r="170" spans="1:26" ht="15.75" customHeight="1" x14ac:dyDescent="0.25">
      <c r="A170" s="28"/>
      <c r="B170" s="9" t="s">
        <v>86</v>
      </c>
      <c r="C170" s="302" t="s">
        <v>87</v>
      </c>
      <c r="D170" s="47">
        <v>20.466999999999999</v>
      </c>
      <c r="E170" s="11">
        <v>24</v>
      </c>
      <c r="F170" s="11">
        <v>21</v>
      </c>
      <c r="G170" s="28"/>
      <c r="H170" s="28"/>
      <c r="I170" s="3"/>
      <c r="J170" s="28"/>
      <c r="K170" s="28"/>
      <c r="L170" s="28"/>
      <c r="M170" s="28"/>
      <c r="N170" s="28"/>
      <c r="O170" s="28"/>
      <c r="P170" s="28"/>
      <c r="Q170" s="28"/>
      <c r="R170" s="28"/>
      <c r="S170" s="28"/>
      <c r="T170" s="28"/>
      <c r="U170" s="28"/>
      <c r="V170" s="28"/>
      <c r="W170" s="28"/>
      <c r="X170" s="28"/>
      <c r="Y170" s="28"/>
      <c r="Z170" s="28"/>
    </row>
    <row r="171" spans="1:26" ht="15.75" customHeight="1" x14ac:dyDescent="0.25">
      <c r="A171" s="28"/>
      <c r="B171" s="49" t="s">
        <v>88</v>
      </c>
      <c r="C171" s="301"/>
      <c r="D171" s="50">
        <v>20.367000000000001</v>
      </c>
      <c r="E171" s="51">
        <v>25</v>
      </c>
      <c r="F171" s="51">
        <v>21</v>
      </c>
      <c r="G171" s="28"/>
      <c r="H171" s="28"/>
      <c r="I171" s="3"/>
      <c r="J171" s="28"/>
      <c r="K171" s="28"/>
      <c r="L171" s="28"/>
      <c r="M171" s="28"/>
      <c r="N171" s="28"/>
      <c r="O171" s="28"/>
      <c r="P171" s="28"/>
      <c r="Q171" s="28"/>
      <c r="R171" s="28"/>
      <c r="S171" s="28"/>
      <c r="T171" s="28"/>
      <c r="U171" s="28"/>
      <c r="V171" s="28"/>
      <c r="W171" s="28"/>
      <c r="X171" s="28"/>
      <c r="Y171" s="28"/>
      <c r="Z171" s="28"/>
    </row>
    <row r="172" spans="1:26" ht="15.75" customHeight="1" x14ac:dyDescent="0.25">
      <c r="A172" s="28"/>
      <c r="B172" s="44"/>
      <c r="C172" s="46"/>
      <c r="D172" s="83"/>
      <c r="E172" s="46"/>
      <c r="F172" s="46"/>
      <c r="G172" s="28"/>
      <c r="H172" s="28"/>
      <c r="I172" s="3"/>
      <c r="J172" s="28"/>
      <c r="K172" s="28"/>
      <c r="L172" s="28"/>
      <c r="M172" s="28"/>
      <c r="N172" s="28"/>
      <c r="O172" s="28"/>
      <c r="P172" s="28"/>
      <c r="Q172" s="28"/>
      <c r="R172" s="28"/>
      <c r="S172" s="28"/>
      <c r="T172" s="28"/>
      <c r="U172" s="28"/>
      <c r="V172" s="28"/>
      <c r="W172" s="28"/>
      <c r="X172" s="28"/>
      <c r="Y172" s="28"/>
      <c r="Z172" s="28"/>
    </row>
    <row r="173" spans="1:26" ht="15.75" customHeight="1" x14ac:dyDescent="0.25">
      <c r="A173" s="28"/>
      <c r="B173" s="9" t="s">
        <v>89</v>
      </c>
      <c r="C173" s="302" t="s">
        <v>90</v>
      </c>
      <c r="D173" s="47">
        <v>5.15</v>
      </c>
      <c r="E173" s="11">
        <v>9</v>
      </c>
      <c r="F173" s="11">
        <v>15</v>
      </c>
      <c r="G173" s="28"/>
      <c r="H173" s="28"/>
      <c r="I173" s="3"/>
      <c r="J173" s="28"/>
      <c r="K173" s="28"/>
      <c r="L173" s="28"/>
      <c r="M173" s="28"/>
      <c r="N173" s="28"/>
      <c r="O173" s="28"/>
      <c r="P173" s="28"/>
      <c r="Q173" s="28"/>
      <c r="R173" s="28"/>
      <c r="S173" s="28"/>
      <c r="T173" s="28"/>
      <c r="U173" s="28"/>
      <c r="V173" s="28"/>
      <c r="W173" s="28"/>
      <c r="X173" s="28"/>
      <c r="Y173" s="28"/>
      <c r="Z173" s="28"/>
    </row>
    <row r="174" spans="1:26" ht="15.75" customHeight="1" x14ac:dyDescent="0.25">
      <c r="A174" s="28"/>
      <c r="B174" s="49" t="s">
        <v>91</v>
      </c>
      <c r="C174" s="301"/>
      <c r="D174" s="50">
        <v>16.2</v>
      </c>
      <c r="E174" s="51">
        <v>15</v>
      </c>
      <c r="F174" s="51">
        <v>16</v>
      </c>
      <c r="G174" s="28"/>
      <c r="H174" s="28"/>
      <c r="I174" s="3"/>
      <c r="J174" s="28"/>
      <c r="K174" s="28"/>
      <c r="L174" s="28"/>
      <c r="M174" s="28"/>
      <c r="N174" s="28"/>
      <c r="O174" s="28"/>
      <c r="P174" s="28"/>
      <c r="Q174" s="28"/>
      <c r="R174" s="28"/>
      <c r="S174" s="28"/>
      <c r="T174" s="28"/>
      <c r="U174" s="28"/>
      <c r="V174" s="28"/>
      <c r="W174" s="28"/>
      <c r="X174" s="28"/>
      <c r="Y174" s="28"/>
      <c r="Z174" s="28"/>
    </row>
    <row r="175" spans="1:26" ht="15.75" customHeight="1" x14ac:dyDescent="0.25">
      <c r="A175" s="28"/>
      <c r="B175" s="41"/>
      <c r="C175" s="42"/>
      <c r="D175" s="69"/>
      <c r="E175" s="201"/>
      <c r="F175" s="201"/>
      <c r="G175" s="28"/>
      <c r="H175" s="28"/>
      <c r="I175" s="3"/>
      <c r="J175" s="28"/>
      <c r="K175" s="28"/>
      <c r="L175" s="28"/>
      <c r="M175" s="28"/>
      <c r="N175" s="28"/>
      <c r="O175" s="28"/>
      <c r="P175" s="28"/>
      <c r="Q175" s="28"/>
      <c r="R175" s="28"/>
      <c r="S175" s="28"/>
      <c r="T175" s="28"/>
      <c r="U175" s="28"/>
      <c r="V175" s="28"/>
      <c r="W175" s="28"/>
      <c r="X175" s="28"/>
      <c r="Y175" s="28"/>
      <c r="Z175" s="28"/>
    </row>
    <row r="176" spans="1:26" ht="15.75" customHeight="1" x14ac:dyDescent="0.25">
      <c r="A176" s="28"/>
      <c r="B176" s="9" t="s">
        <v>94</v>
      </c>
      <c r="C176" s="302" t="s">
        <v>95</v>
      </c>
      <c r="D176" s="47">
        <v>50.082999999999998</v>
      </c>
      <c r="E176" s="11">
        <v>98</v>
      </c>
      <c r="F176" s="11">
        <v>55</v>
      </c>
      <c r="G176" s="28"/>
      <c r="H176" s="28"/>
      <c r="I176" s="3"/>
      <c r="J176" s="28"/>
      <c r="K176" s="28"/>
      <c r="L176" s="28"/>
      <c r="M176" s="28"/>
      <c r="N176" s="28"/>
      <c r="O176" s="28"/>
      <c r="P176" s="28"/>
      <c r="Q176" s="28"/>
      <c r="R176" s="28"/>
      <c r="S176" s="28"/>
      <c r="T176" s="28"/>
      <c r="U176" s="28"/>
      <c r="V176" s="28"/>
      <c r="W176" s="28"/>
      <c r="X176" s="28"/>
      <c r="Y176" s="28"/>
      <c r="Z176" s="28"/>
    </row>
    <row r="177" spans="1:26" ht="15.75" customHeight="1" x14ac:dyDescent="0.25">
      <c r="A177" s="28"/>
      <c r="B177" s="9" t="s">
        <v>96</v>
      </c>
      <c r="C177" s="300"/>
      <c r="D177" s="47">
        <v>93.992999999999995</v>
      </c>
      <c r="E177" s="11">
        <v>103</v>
      </c>
      <c r="F177" s="11">
        <v>109</v>
      </c>
      <c r="G177" s="28"/>
      <c r="H177" s="28"/>
      <c r="I177" s="3"/>
      <c r="J177" s="28"/>
      <c r="K177" s="28"/>
      <c r="L177" s="28"/>
      <c r="M177" s="28"/>
      <c r="N177" s="28"/>
      <c r="O177" s="28"/>
      <c r="P177" s="28"/>
      <c r="Q177" s="28"/>
      <c r="R177" s="28"/>
      <c r="S177" s="28"/>
      <c r="T177" s="28"/>
      <c r="U177" s="28"/>
      <c r="V177" s="28"/>
      <c r="W177" s="28"/>
      <c r="X177" s="28"/>
      <c r="Y177" s="28"/>
      <c r="Z177" s="28"/>
    </row>
    <row r="178" spans="1:26" ht="15.75" customHeight="1" x14ac:dyDescent="0.25">
      <c r="A178" s="28"/>
      <c r="B178" s="9" t="s">
        <v>97</v>
      </c>
      <c r="C178" s="300"/>
      <c r="D178" s="47">
        <v>95.516999999999996</v>
      </c>
      <c r="E178" s="11">
        <v>103</v>
      </c>
      <c r="F178" s="11">
        <v>59</v>
      </c>
      <c r="G178" s="28"/>
      <c r="H178" s="28"/>
      <c r="I178" s="3"/>
      <c r="J178" s="28"/>
      <c r="K178" s="28"/>
      <c r="L178" s="28"/>
      <c r="M178" s="28"/>
      <c r="N178" s="28"/>
      <c r="O178" s="28"/>
      <c r="P178" s="28"/>
      <c r="Q178" s="28"/>
      <c r="R178" s="28"/>
      <c r="S178" s="28"/>
      <c r="T178" s="28"/>
      <c r="U178" s="28"/>
      <c r="V178" s="28"/>
      <c r="W178" s="28"/>
      <c r="X178" s="28"/>
      <c r="Y178" s="28"/>
      <c r="Z178" s="28"/>
    </row>
    <row r="179" spans="1:26" ht="15.75" customHeight="1" x14ac:dyDescent="0.25">
      <c r="A179" s="28"/>
      <c r="B179" s="9" t="s">
        <v>98</v>
      </c>
      <c r="C179" s="300"/>
      <c r="D179" s="47">
        <v>100.92</v>
      </c>
      <c r="E179" s="11">
        <v>105</v>
      </c>
      <c r="F179" s="11">
        <v>111</v>
      </c>
      <c r="G179" s="28"/>
      <c r="H179" s="28"/>
      <c r="I179" s="3"/>
      <c r="J179" s="28"/>
      <c r="K179" s="28"/>
      <c r="L179" s="28"/>
      <c r="M179" s="28"/>
      <c r="N179" s="28"/>
      <c r="O179" s="28"/>
      <c r="P179" s="28"/>
      <c r="Q179" s="28"/>
      <c r="R179" s="28"/>
      <c r="S179" s="28"/>
      <c r="T179" s="28"/>
      <c r="U179" s="28"/>
      <c r="V179" s="28"/>
      <c r="W179" s="28"/>
      <c r="X179" s="28"/>
      <c r="Y179" s="28"/>
      <c r="Z179" s="28"/>
    </row>
    <row r="180" spans="1:26" ht="15.75" customHeight="1" x14ac:dyDescent="0.25">
      <c r="A180" s="28"/>
      <c r="B180" s="9" t="s">
        <v>99</v>
      </c>
      <c r="C180" s="301"/>
      <c r="D180" s="47">
        <v>115.37</v>
      </c>
      <c r="E180" s="11">
        <v>109</v>
      </c>
      <c r="F180" s="11">
        <v>111</v>
      </c>
      <c r="G180" s="28"/>
      <c r="H180" s="28"/>
      <c r="I180" s="3"/>
      <c r="J180" s="28"/>
      <c r="K180" s="28"/>
      <c r="L180" s="28"/>
      <c r="M180" s="28"/>
      <c r="N180" s="28"/>
      <c r="O180" s="28"/>
      <c r="P180" s="28"/>
      <c r="Q180" s="28"/>
      <c r="R180" s="28"/>
      <c r="S180" s="28"/>
      <c r="T180" s="28"/>
      <c r="U180" s="28"/>
      <c r="V180" s="28"/>
      <c r="W180" s="28"/>
      <c r="X180" s="28"/>
      <c r="Y180" s="28"/>
      <c r="Z180" s="28"/>
    </row>
    <row r="181" spans="1:26" ht="15.75" customHeight="1" x14ac:dyDescent="0.25">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5.75" customHeight="1" x14ac:dyDescent="0.2"/>
    <row r="183" spans="1:26" ht="15.75" customHeight="1" x14ac:dyDescent="0.25">
      <c r="A183" s="29" t="s">
        <v>668</v>
      </c>
      <c r="B183" s="30"/>
      <c r="C183" s="30"/>
      <c r="D183" s="32"/>
      <c r="E183" s="32"/>
      <c r="F183" s="159"/>
      <c r="G183" s="29"/>
      <c r="H183" s="29"/>
      <c r="I183" s="34"/>
      <c r="J183" s="29"/>
      <c r="K183" s="29"/>
      <c r="L183" s="29"/>
      <c r="M183" s="29"/>
      <c r="N183" s="29"/>
      <c r="O183" s="29"/>
      <c r="P183" s="29"/>
      <c r="Q183" s="29"/>
      <c r="R183" s="29"/>
      <c r="S183" s="29"/>
      <c r="T183" s="29"/>
      <c r="U183" s="29"/>
      <c r="V183" s="29"/>
      <c r="W183" s="29"/>
      <c r="X183" s="29"/>
      <c r="Y183" s="29"/>
      <c r="Z183" s="29"/>
    </row>
    <row r="184" spans="1:26" ht="15.75" customHeight="1" x14ac:dyDescent="0.25">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5.75" customHeight="1" x14ac:dyDescent="0.2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5.75" customHeight="1" x14ac:dyDescent="0.25">
      <c r="A186" s="28"/>
      <c r="B186" s="28" t="s">
        <v>725</v>
      </c>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5.75" customHeight="1" x14ac:dyDescent="0.25">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5.75" customHeight="1" x14ac:dyDescent="0.25">
      <c r="A188" s="28"/>
      <c r="B188" s="304" t="s">
        <v>754</v>
      </c>
      <c r="C188" s="297"/>
      <c r="D188" s="297"/>
      <c r="E188" s="297"/>
      <c r="F188" s="154"/>
      <c r="G188" s="28"/>
      <c r="H188" s="28"/>
      <c r="I188" s="3"/>
      <c r="J188" s="28"/>
      <c r="K188" s="28"/>
      <c r="L188" s="28"/>
      <c r="M188" s="28"/>
      <c r="N188" s="28"/>
      <c r="O188" s="28"/>
      <c r="P188" s="28"/>
      <c r="Q188" s="28"/>
      <c r="R188" s="28"/>
      <c r="S188" s="28"/>
      <c r="T188" s="28"/>
      <c r="U188" s="28"/>
      <c r="V188" s="28"/>
      <c r="W188" s="28"/>
      <c r="X188" s="28"/>
      <c r="Y188" s="28"/>
      <c r="Z188" s="28"/>
    </row>
    <row r="189" spans="1:26" ht="24.75" customHeight="1" x14ac:dyDescent="0.25">
      <c r="A189" s="28"/>
      <c r="B189" s="4" t="s">
        <v>0</v>
      </c>
      <c r="C189" s="5" t="s">
        <v>1</v>
      </c>
      <c r="D189" s="5" t="s">
        <v>2</v>
      </c>
      <c r="E189" s="5" t="s">
        <v>43</v>
      </c>
      <c r="F189" s="45" t="s">
        <v>125</v>
      </c>
      <c r="G189" s="28"/>
      <c r="H189" s="296" t="s">
        <v>6</v>
      </c>
      <c r="I189" s="297"/>
      <c r="J189" s="297"/>
      <c r="K189" s="297"/>
      <c r="L189" s="297"/>
      <c r="M189" s="298"/>
      <c r="N189" s="28"/>
      <c r="O189" s="28"/>
      <c r="P189" s="28"/>
      <c r="Q189" s="28"/>
      <c r="R189" s="28"/>
      <c r="S189" s="28"/>
      <c r="T189" s="28"/>
      <c r="U189" s="28"/>
      <c r="V189" s="28"/>
      <c r="W189" s="28"/>
      <c r="X189" s="28"/>
      <c r="Y189" s="28"/>
      <c r="Z189" s="28"/>
    </row>
    <row r="190" spans="1:26" ht="15.75" customHeight="1" x14ac:dyDescent="0.25">
      <c r="A190" s="28"/>
      <c r="B190" s="9" t="s">
        <v>7</v>
      </c>
      <c r="C190" s="302" t="s">
        <v>9</v>
      </c>
      <c r="D190" s="47">
        <v>28.1</v>
      </c>
      <c r="E190" s="11">
        <v>61</v>
      </c>
      <c r="F190" s="11">
        <v>60</v>
      </c>
      <c r="G190" s="28"/>
      <c r="H190" s="296" t="s">
        <v>106</v>
      </c>
      <c r="I190" s="297"/>
      <c r="J190" s="298"/>
      <c r="K190" s="296" t="s">
        <v>107</v>
      </c>
      <c r="L190" s="297"/>
      <c r="M190" s="298"/>
      <c r="N190" s="28"/>
      <c r="O190" s="28"/>
      <c r="P190" s="28"/>
      <c r="Q190" s="28"/>
      <c r="R190" s="28"/>
      <c r="S190" s="28"/>
      <c r="T190" s="28"/>
      <c r="U190" s="28"/>
      <c r="V190" s="28"/>
      <c r="W190" s="28"/>
      <c r="X190" s="28"/>
      <c r="Y190" s="28"/>
      <c r="Z190" s="28"/>
    </row>
    <row r="191" spans="1:26" ht="15.75" customHeight="1" x14ac:dyDescent="0.25">
      <c r="A191" s="28"/>
      <c r="B191" s="9" t="s">
        <v>17</v>
      </c>
      <c r="C191" s="300"/>
      <c r="D191" s="47">
        <v>63.911000000000001</v>
      </c>
      <c r="E191" s="11">
        <v>62</v>
      </c>
      <c r="F191" s="11">
        <v>65</v>
      </c>
      <c r="G191" s="28"/>
      <c r="H191" s="13" t="s">
        <v>13</v>
      </c>
      <c r="I191" s="39">
        <f>I193+I193*0.05</f>
        <v>938.7</v>
      </c>
      <c r="J191" s="17" t="s">
        <v>833</v>
      </c>
      <c r="K191" s="13" t="s">
        <v>13</v>
      </c>
      <c r="L191" s="14">
        <f>L193+L193*0.05</f>
        <v>929.25</v>
      </c>
      <c r="M191" s="17" t="s">
        <v>835</v>
      </c>
      <c r="N191" s="28"/>
      <c r="O191" s="28"/>
      <c r="P191" s="28"/>
      <c r="Q191" s="28"/>
      <c r="R191" s="28"/>
      <c r="S191" s="28"/>
      <c r="T191" s="28"/>
      <c r="U191" s="28"/>
      <c r="V191" s="28"/>
      <c r="W191" s="28"/>
      <c r="X191" s="28"/>
      <c r="Y191" s="28"/>
      <c r="Z191" s="28"/>
    </row>
    <row r="192" spans="1:26" ht="15.75" customHeight="1" x14ac:dyDescent="0.25">
      <c r="A192" s="28"/>
      <c r="B192" s="9" t="s">
        <v>26</v>
      </c>
      <c r="C192" s="300"/>
      <c r="D192" s="47">
        <v>69.921999999999997</v>
      </c>
      <c r="E192" s="11">
        <v>68</v>
      </c>
      <c r="F192" s="11">
        <v>67</v>
      </c>
      <c r="G192" s="28"/>
      <c r="H192" s="13" t="s">
        <v>19</v>
      </c>
      <c r="I192" s="40">
        <f>I193-I193*0.05</f>
        <v>849.3</v>
      </c>
      <c r="J192" s="17" t="s">
        <v>836</v>
      </c>
      <c r="K192" s="13" t="s">
        <v>19</v>
      </c>
      <c r="L192" s="18">
        <f>L193-L193*0.05</f>
        <v>840.75</v>
      </c>
      <c r="M192" s="17" t="s">
        <v>837</v>
      </c>
      <c r="N192" s="28"/>
      <c r="O192" s="28"/>
      <c r="P192" s="28"/>
      <c r="Q192" s="28"/>
      <c r="R192" s="28"/>
      <c r="S192" s="28"/>
      <c r="T192" s="28"/>
      <c r="U192" s="28"/>
      <c r="V192" s="28"/>
      <c r="W192" s="28"/>
      <c r="X192" s="28"/>
      <c r="Y192" s="28"/>
      <c r="Z192" s="28"/>
    </row>
    <row r="193" spans="1:26" ht="15.75" customHeight="1" x14ac:dyDescent="0.25">
      <c r="A193" s="28"/>
      <c r="B193" s="9" t="s">
        <v>32</v>
      </c>
      <c r="C193" s="300"/>
      <c r="D193" s="47">
        <v>96.744</v>
      </c>
      <c r="E193" s="11">
        <v>93</v>
      </c>
      <c r="F193" s="11">
        <v>92</v>
      </c>
      <c r="G193" s="28"/>
      <c r="H193" s="13" t="s">
        <v>27</v>
      </c>
      <c r="I193" s="20">
        <v>894</v>
      </c>
      <c r="J193" s="17" t="s">
        <v>838</v>
      </c>
      <c r="K193" s="13" t="s">
        <v>27</v>
      </c>
      <c r="L193" s="20">
        <v>885</v>
      </c>
      <c r="M193" s="17" t="s">
        <v>839</v>
      </c>
      <c r="N193" s="28"/>
      <c r="O193" s="28"/>
      <c r="P193" s="28"/>
      <c r="Q193" s="28"/>
      <c r="R193" s="28"/>
      <c r="S193" s="28"/>
      <c r="T193" s="28"/>
      <c r="U193" s="28"/>
      <c r="V193" s="28"/>
      <c r="W193" s="28"/>
      <c r="X193" s="28"/>
      <c r="Y193" s="28"/>
      <c r="Z193" s="28"/>
    </row>
    <row r="194" spans="1:26" ht="15.75" customHeight="1" x14ac:dyDescent="0.25">
      <c r="A194" s="28"/>
      <c r="B194" s="9" t="s">
        <v>33</v>
      </c>
      <c r="C194" s="301"/>
      <c r="D194" s="47">
        <v>128.11000000000001</v>
      </c>
      <c r="E194" s="11">
        <v>137</v>
      </c>
      <c r="F194" s="11">
        <v>132</v>
      </c>
      <c r="G194" s="28"/>
      <c r="H194" s="13" t="s">
        <v>121</v>
      </c>
      <c r="I194" s="20">
        <v>880</v>
      </c>
      <c r="J194" s="17" t="s">
        <v>841</v>
      </c>
      <c r="K194" s="13" t="s">
        <v>121</v>
      </c>
      <c r="L194" s="20">
        <v>885</v>
      </c>
      <c r="M194" s="17" t="s">
        <v>842</v>
      </c>
      <c r="N194" s="28"/>
      <c r="O194" s="28"/>
      <c r="P194" s="28"/>
      <c r="Q194" s="28"/>
      <c r="R194" s="28"/>
      <c r="S194" s="28"/>
      <c r="T194" s="28"/>
      <c r="U194" s="28"/>
      <c r="V194" s="28"/>
      <c r="W194" s="28"/>
      <c r="X194" s="28"/>
      <c r="Y194" s="28"/>
      <c r="Z194" s="28"/>
    </row>
    <row r="195" spans="1:26" ht="15.75" customHeight="1" x14ac:dyDescent="0.25">
      <c r="A195" s="28"/>
      <c r="B195" s="41"/>
      <c r="C195" s="42"/>
      <c r="D195" s="69"/>
      <c r="E195" s="11"/>
      <c r="F195" s="11"/>
      <c r="G195" s="28"/>
      <c r="H195" s="28"/>
      <c r="I195" s="3"/>
      <c r="J195" s="28"/>
      <c r="K195" s="28"/>
      <c r="L195" s="28"/>
      <c r="M195" s="28"/>
      <c r="N195" s="28"/>
      <c r="O195" s="28"/>
      <c r="P195" s="28"/>
      <c r="Q195" s="28"/>
      <c r="R195" s="28"/>
      <c r="S195" s="28"/>
      <c r="T195" s="28"/>
      <c r="U195" s="28"/>
      <c r="V195" s="28"/>
      <c r="W195" s="28"/>
      <c r="X195" s="28"/>
      <c r="Y195" s="28"/>
      <c r="Z195" s="28"/>
    </row>
    <row r="196" spans="1:26" ht="15.75" customHeight="1" x14ac:dyDescent="0.25">
      <c r="A196" s="28"/>
      <c r="B196" s="9" t="s">
        <v>35</v>
      </c>
      <c r="C196" s="302" t="s">
        <v>36</v>
      </c>
      <c r="D196" s="47">
        <v>207.78</v>
      </c>
      <c r="E196" s="11">
        <v>317</v>
      </c>
      <c r="F196" s="11">
        <v>264</v>
      </c>
      <c r="G196" s="28"/>
      <c r="H196" s="28"/>
      <c r="I196" s="3"/>
      <c r="J196" s="28"/>
      <c r="K196" s="28"/>
      <c r="L196" s="28"/>
      <c r="M196" s="28"/>
      <c r="N196" s="28"/>
      <c r="O196" s="28"/>
      <c r="P196" s="28"/>
      <c r="Q196" s="28"/>
      <c r="R196" s="28"/>
      <c r="S196" s="28"/>
      <c r="T196" s="28"/>
      <c r="U196" s="28"/>
      <c r="V196" s="28"/>
      <c r="W196" s="28"/>
      <c r="X196" s="28"/>
      <c r="Y196" s="28"/>
      <c r="Z196" s="28"/>
    </row>
    <row r="197" spans="1:26" ht="15.75" customHeight="1" x14ac:dyDescent="0.25">
      <c r="A197" s="28"/>
      <c r="B197" s="9" t="s">
        <v>37</v>
      </c>
      <c r="C197" s="300"/>
      <c r="D197" s="47">
        <v>444.11</v>
      </c>
      <c r="E197" s="11">
        <v>389</v>
      </c>
      <c r="F197" s="11">
        <v>376</v>
      </c>
      <c r="G197" s="28"/>
      <c r="H197" s="28"/>
      <c r="I197" s="3"/>
      <c r="J197" s="28"/>
      <c r="K197" s="28"/>
      <c r="L197" s="28"/>
      <c r="M197" s="28"/>
      <c r="N197" s="28"/>
      <c r="O197" s="28"/>
      <c r="P197" s="28"/>
      <c r="Q197" s="28"/>
      <c r="R197" s="28"/>
      <c r="S197" s="28"/>
      <c r="T197" s="28"/>
      <c r="U197" s="28"/>
      <c r="V197" s="28"/>
      <c r="W197" s="28"/>
      <c r="X197" s="28"/>
      <c r="Y197" s="28"/>
      <c r="Z197" s="28"/>
    </row>
    <row r="198" spans="1:26" ht="15.75" customHeight="1" x14ac:dyDescent="0.25">
      <c r="A198" s="28"/>
      <c r="B198" s="9" t="s">
        <v>38</v>
      </c>
      <c r="C198" s="300"/>
      <c r="D198" s="47">
        <v>579.55999999999995</v>
      </c>
      <c r="E198" s="11">
        <v>504</v>
      </c>
      <c r="F198" s="11">
        <v>478</v>
      </c>
      <c r="G198" s="28"/>
      <c r="H198" s="28"/>
      <c r="I198" s="3"/>
      <c r="J198" s="28"/>
      <c r="K198" s="28"/>
      <c r="L198" s="28"/>
      <c r="M198" s="28"/>
      <c r="N198" s="28"/>
      <c r="O198" s="28"/>
      <c r="P198" s="28"/>
      <c r="Q198" s="28"/>
      <c r="R198" s="28"/>
      <c r="S198" s="28"/>
      <c r="T198" s="28"/>
      <c r="U198" s="28"/>
      <c r="V198" s="28"/>
      <c r="W198" s="28"/>
      <c r="X198" s="28"/>
      <c r="Y198" s="28"/>
      <c r="Z198" s="28"/>
    </row>
    <row r="199" spans="1:26" ht="15.75" customHeight="1" x14ac:dyDescent="0.25">
      <c r="A199" s="28"/>
      <c r="B199" s="9" t="s">
        <v>39</v>
      </c>
      <c r="C199" s="300"/>
      <c r="D199" s="47">
        <v>746.22</v>
      </c>
      <c r="E199" s="11">
        <v>794</v>
      </c>
      <c r="F199" s="11">
        <v>765</v>
      </c>
      <c r="G199" s="28"/>
      <c r="H199" s="28"/>
      <c r="I199" s="3"/>
      <c r="J199" s="28"/>
      <c r="K199" s="28"/>
      <c r="L199" s="28"/>
      <c r="M199" s="28"/>
      <c r="N199" s="28"/>
      <c r="O199" s="28"/>
      <c r="P199" s="28"/>
      <c r="Q199" s="28"/>
      <c r="R199" s="28"/>
      <c r="S199" s="28"/>
      <c r="T199" s="28"/>
      <c r="U199" s="28"/>
      <c r="V199" s="28"/>
      <c r="W199" s="28"/>
      <c r="X199" s="28"/>
      <c r="Y199" s="28"/>
      <c r="Z199" s="28"/>
    </row>
    <row r="200" spans="1:26" ht="15.75" customHeight="1" x14ac:dyDescent="0.25">
      <c r="A200" s="28"/>
      <c r="B200" s="49" t="s">
        <v>41</v>
      </c>
      <c r="C200" s="301"/>
      <c r="D200" s="50">
        <v>869.5</v>
      </c>
      <c r="E200" s="51">
        <v>840</v>
      </c>
      <c r="F200" s="51">
        <v>853</v>
      </c>
      <c r="G200" s="28"/>
      <c r="H200" s="28"/>
      <c r="I200" s="3"/>
      <c r="J200" s="28"/>
      <c r="K200" s="28"/>
      <c r="L200" s="28"/>
      <c r="M200" s="28"/>
      <c r="N200" s="28"/>
      <c r="O200" s="28"/>
      <c r="P200" s="28"/>
      <c r="Q200" s="28"/>
      <c r="R200" s="28"/>
      <c r="S200" s="28"/>
      <c r="T200" s="28"/>
      <c r="U200" s="28"/>
      <c r="V200" s="28"/>
      <c r="W200" s="28"/>
      <c r="X200" s="28"/>
      <c r="Y200" s="28"/>
      <c r="Z200" s="28"/>
    </row>
    <row r="201" spans="1:26" ht="15.75" customHeight="1" x14ac:dyDescent="0.25">
      <c r="A201" s="28"/>
      <c r="B201" s="79"/>
      <c r="C201" s="81"/>
      <c r="D201" s="83"/>
      <c r="E201" s="81"/>
      <c r="F201" s="81"/>
      <c r="G201" s="28"/>
      <c r="H201" s="28"/>
      <c r="I201" s="3"/>
      <c r="J201" s="28"/>
      <c r="K201" s="28"/>
      <c r="L201" s="28"/>
      <c r="M201" s="28"/>
      <c r="N201" s="28"/>
      <c r="O201" s="28"/>
      <c r="P201" s="28"/>
      <c r="Q201" s="28"/>
      <c r="R201" s="28"/>
      <c r="S201" s="28"/>
      <c r="T201" s="28"/>
      <c r="U201" s="28"/>
      <c r="V201" s="28"/>
      <c r="W201" s="28"/>
      <c r="X201" s="28"/>
      <c r="Y201" s="28"/>
      <c r="Z201" s="28"/>
    </row>
    <row r="202" spans="1:26" ht="15.75" customHeight="1" x14ac:dyDescent="0.25">
      <c r="A202" s="28"/>
      <c r="B202" s="9" t="s">
        <v>46</v>
      </c>
      <c r="C202" s="302" t="s">
        <v>47</v>
      </c>
      <c r="D202" s="47">
        <v>88.4</v>
      </c>
      <c r="E202" s="11">
        <v>98</v>
      </c>
      <c r="F202" s="11">
        <v>98</v>
      </c>
      <c r="G202" s="28"/>
      <c r="H202" s="28"/>
      <c r="I202" s="3"/>
      <c r="J202" s="28"/>
      <c r="K202" s="28"/>
      <c r="L202" s="28"/>
      <c r="M202" s="28"/>
      <c r="N202" s="28"/>
      <c r="O202" s="28"/>
      <c r="P202" s="28"/>
      <c r="Q202" s="28"/>
      <c r="R202" s="28"/>
      <c r="S202" s="28"/>
      <c r="T202" s="28"/>
      <c r="U202" s="28"/>
      <c r="V202" s="28"/>
      <c r="W202" s="28"/>
      <c r="X202" s="28"/>
      <c r="Y202" s="28"/>
      <c r="Z202" s="28"/>
    </row>
    <row r="203" spans="1:26" ht="15.75" customHeight="1" x14ac:dyDescent="0.25">
      <c r="A203" s="28"/>
      <c r="B203" s="9" t="s">
        <v>48</v>
      </c>
      <c r="C203" s="301"/>
      <c r="D203" s="47">
        <v>94.6</v>
      </c>
      <c r="E203" s="11">
        <v>119</v>
      </c>
      <c r="F203" s="11">
        <v>133</v>
      </c>
      <c r="G203" s="28"/>
      <c r="H203" s="28"/>
      <c r="I203" s="3"/>
      <c r="J203" s="28"/>
      <c r="K203" s="28"/>
      <c r="L203" s="28"/>
      <c r="M203" s="28"/>
      <c r="N203" s="28"/>
      <c r="O203" s="28"/>
      <c r="P203" s="28"/>
      <c r="Q203" s="28"/>
      <c r="R203" s="28"/>
      <c r="S203" s="28"/>
      <c r="T203" s="28"/>
      <c r="U203" s="28"/>
      <c r="V203" s="28"/>
      <c r="W203" s="28"/>
      <c r="X203" s="28"/>
      <c r="Y203" s="28"/>
      <c r="Z203" s="28"/>
    </row>
    <row r="204" spans="1:26" ht="15.75" customHeight="1" x14ac:dyDescent="0.25">
      <c r="A204" s="28"/>
      <c r="B204" s="41"/>
      <c r="C204" s="42"/>
      <c r="D204" s="69"/>
      <c r="E204" s="11"/>
      <c r="F204" s="11"/>
      <c r="G204" s="28"/>
      <c r="H204" s="28"/>
      <c r="I204" s="3"/>
      <c r="J204" s="28"/>
      <c r="K204" s="28"/>
      <c r="L204" s="28"/>
      <c r="M204" s="28"/>
      <c r="N204" s="28"/>
      <c r="O204" s="28"/>
      <c r="P204" s="28"/>
      <c r="Q204" s="28"/>
      <c r="R204" s="28"/>
      <c r="S204" s="28"/>
      <c r="T204" s="28"/>
      <c r="U204" s="28"/>
      <c r="V204" s="28"/>
      <c r="W204" s="28"/>
      <c r="X204" s="28"/>
      <c r="Y204" s="28"/>
      <c r="Z204" s="28"/>
    </row>
    <row r="205" spans="1:26" ht="15.75" customHeight="1" x14ac:dyDescent="0.25">
      <c r="A205" s="28"/>
      <c r="B205" s="9" t="s">
        <v>50</v>
      </c>
      <c r="C205" s="302" t="s">
        <v>51</v>
      </c>
      <c r="D205" s="47">
        <v>271.44400000000002</v>
      </c>
      <c r="E205" s="11">
        <v>417</v>
      </c>
      <c r="F205" s="11">
        <v>258</v>
      </c>
      <c r="G205" s="28"/>
      <c r="H205" s="28"/>
      <c r="I205" s="3"/>
      <c r="J205" s="28"/>
      <c r="K205" s="28"/>
      <c r="L205" s="28"/>
      <c r="M205" s="28"/>
      <c r="N205" s="28"/>
      <c r="O205" s="28"/>
      <c r="P205" s="28"/>
      <c r="Q205" s="28"/>
      <c r="R205" s="28"/>
      <c r="S205" s="28"/>
      <c r="T205" s="28"/>
      <c r="U205" s="28"/>
      <c r="V205" s="28"/>
      <c r="W205" s="28"/>
      <c r="X205" s="28"/>
      <c r="Y205" s="28"/>
      <c r="Z205" s="28"/>
    </row>
    <row r="206" spans="1:26" ht="15.75" customHeight="1" x14ac:dyDescent="0.25">
      <c r="A206" s="28"/>
      <c r="B206" s="9" t="s">
        <v>54</v>
      </c>
      <c r="C206" s="300"/>
      <c r="D206" s="47">
        <v>550.22199999999998</v>
      </c>
      <c r="E206" s="11">
        <v>579</v>
      </c>
      <c r="F206" s="11">
        <v>575</v>
      </c>
      <c r="G206" s="28"/>
      <c r="H206" s="28"/>
      <c r="I206" s="3"/>
      <c r="J206" s="28"/>
      <c r="K206" s="28"/>
      <c r="L206" s="28"/>
      <c r="M206" s="28"/>
      <c r="N206" s="28"/>
      <c r="O206" s="28"/>
      <c r="P206" s="28"/>
      <c r="Q206" s="28"/>
      <c r="R206" s="28"/>
      <c r="S206" s="28"/>
      <c r="T206" s="28"/>
      <c r="U206" s="28"/>
      <c r="V206" s="28"/>
      <c r="W206" s="28"/>
      <c r="X206" s="28"/>
      <c r="Y206" s="28"/>
      <c r="Z206" s="28"/>
    </row>
    <row r="207" spans="1:26" ht="15.75" customHeight="1" x14ac:dyDescent="0.25">
      <c r="A207" s="28"/>
      <c r="B207" s="9" t="s">
        <v>55</v>
      </c>
      <c r="C207" s="300"/>
      <c r="D207" s="47">
        <v>609</v>
      </c>
      <c r="E207" s="11">
        <v>601</v>
      </c>
      <c r="F207" s="11">
        <v>618</v>
      </c>
      <c r="G207" s="28"/>
      <c r="H207" s="28"/>
      <c r="I207" s="3"/>
      <c r="J207" s="28"/>
      <c r="K207" s="28"/>
      <c r="L207" s="28"/>
      <c r="M207" s="28"/>
      <c r="N207" s="28"/>
      <c r="O207" s="28"/>
      <c r="P207" s="28"/>
      <c r="Q207" s="28"/>
      <c r="R207" s="28"/>
      <c r="S207" s="28"/>
      <c r="T207" s="28"/>
      <c r="U207" s="28"/>
      <c r="V207" s="28"/>
      <c r="W207" s="28"/>
      <c r="X207" s="28"/>
      <c r="Y207" s="28"/>
      <c r="Z207" s="28"/>
    </row>
    <row r="208" spans="1:26" ht="15.75" customHeight="1" x14ac:dyDescent="0.25">
      <c r="A208" s="28"/>
      <c r="B208" s="9" t="s">
        <v>56</v>
      </c>
      <c r="C208" s="300"/>
      <c r="D208" s="47">
        <v>739.11099999999999</v>
      </c>
      <c r="E208" s="11">
        <v>774</v>
      </c>
      <c r="F208" s="11">
        <v>768</v>
      </c>
      <c r="G208" s="28"/>
      <c r="H208" s="28"/>
      <c r="I208" s="3"/>
      <c r="J208" s="28"/>
      <c r="K208" s="28"/>
      <c r="L208" s="28"/>
      <c r="M208" s="28"/>
      <c r="N208" s="28"/>
      <c r="O208" s="28"/>
      <c r="P208" s="28"/>
      <c r="Q208" s="28"/>
      <c r="R208" s="28"/>
      <c r="S208" s="28"/>
      <c r="T208" s="28"/>
      <c r="U208" s="28"/>
      <c r="V208" s="28"/>
      <c r="W208" s="28"/>
      <c r="X208" s="28"/>
      <c r="Y208" s="28"/>
      <c r="Z208" s="28"/>
    </row>
    <row r="209" spans="1:26" ht="15.75" customHeight="1" x14ac:dyDescent="0.25">
      <c r="A209" s="28"/>
      <c r="B209" s="49" t="s">
        <v>57</v>
      </c>
      <c r="C209" s="301"/>
      <c r="D209" s="50">
        <v>746.88900000000001</v>
      </c>
      <c r="E209" s="51">
        <v>622</v>
      </c>
      <c r="F209" s="51">
        <v>620</v>
      </c>
      <c r="G209" s="28"/>
      <c r="H209" s="28"/>
      <c r="I209" s="3"/>
      <c r="J209" s="28"/>
      <c r="K209" s="28"/>
      <c r="L209" s="28"/>
      <c r="M209" s="28"/>
      <c r="N209" s="28"/>
      <c r="O209" s="28"/>
      <c r="P209" s="28"/>
      <c r="Q209" s="28"/>
      <c r="R209" s="28"/>
      <c r="S209" s="28"/>
      <c r="T209" s="28"/>
      <c r="U209" s="28"/>
      <c r="V209" s="28"/>
      <c r="W209" s="28"/>
      <c r="X209" s="28"/>
      <c r="Y209" s="28"/>
      <c r="Z209" s="28"/>
    </row>
    <row r="210" spans="1:26" ht="15.75" customHeight="1" x14ac:dyDescent="0.25">
      <c r="A210" s="28"/>
      <c r="B210" s="79"/>
      <c r="C210" s="81"/>
      <c r="D210" s="83"/>
      <c r="E210" s="81"/>
      <c r="F210" s="81"/>
      <c r="G210" s="28"/>
      <c r="H210" s="28"/>
      <c r="I210" s="3"/>
      <c r="J210" s="28"/>
      <c r="K210" s="28"/>
      <c r="L210" s="28"/>
      <c r="M210" s="28"/>
      <c r="N210" s="28"/>
      <c r="O210" s="28"/>
      <c r="P210" s="28"/>
      <c r="Q210" s="28"/>
      <c r="R210" s="28"/>
      <c r="S210" s="28"/>
      <c r="T210" s="28"/>
      <c r="U210" s="28"/>
      <c r="V210" s="28"/>
      <c r="W210" s="28"/>
      <c r="X210" s="28"/>
      <c r="Y210" s="28"/>
      <c r="Z210" s="28"/>
    </row>
    <row r="211" spans="1:26" ht="15.75" customHeight="1" x14ac:dyDescent="0.25">
      <c r="A211" s="28"/>
      <c r="B211" s="9" t="s">
        <v>60</v>
      </c>
      <c r="C211" s="302" t="s">
        <v>62</v>
      </c>
      <c r="D211" s="47">
        <v>19.36</v>
      </c>
      <c r="E211" s="11">
        <v>21</v>
      </c>
      <c r="F211" s="11">
        <v>21</v>
      </c>
      <c r="G211" s="28"/>
      <c r="H211" s="28"/>
      <c r="I211" s="3"/>
      <c r="J211" s="28"/>
      <c r="K211" s="28"/>
      <c r="L211" s="28"/>
      <c r="M211" s="28"/>
      <c r="N211" s="28"/>
      <c r="O211" s="28"/>
      <c r="P211" s="28"/>
      <c r="Q211" s="28"/>
      <c r="R211" s="28"/>
      <c r="S211" s="28"/>
      <c r="T211" s="28"/>
      <c r="U211" s="28"/>
      <c r="V211" s="28"/>
      <c r="W211" s="28"/>
      <c r="X211" s="28"/>
      <c r="Y211" s="28"/>
      <c r="Z211" s="28"/>
    </row>
    <row r="212" spans="1:26" ht="15.75" customHeight="1" x14ac:dyDescent="0.25">
      <c r="A212" s="28"/>
      <c r="B212" s="9" t="s">
        <v>64</v>
      </c>
      <c r="C212" s="300"/>
      <c r="D212" s="47">
        <v>33.31</v>
      </c>
      <c r="E212" s="11">
        <v>29</v>
      </c>
      <c r="F212" s="11">
        <v>29</v>
      </c>
      <c r="G212" s="28"/>
      <c r="H212" s="28"/>
      <c r="I212" s="3"/>
      <c r="J212" s="28"/>
      <c r="K212" s="28"/>
      <c r="L212" s="28"/>
      <c r="M212" s="28"/>
      <c r="N212" s="28"/>
      <c r="O212" s="28"/>
      <c r="P212" s="28"/>
      <c r="Q212" s="28"/>
      <c r="R212" s="28"/>
      <c r="S212" s="28"/>
      <c r="T212" s="28"/>
      <c r="U212" s="28"/>
      <c r="V212" s="28"/>
      <c r="W212" s="28"/>
      <c r="X212" s="28"/>
      <c r="Y212" s="28"/>
      <c r="Z212" s="28"/>
    </row>
    <row r="213" spans="1:26" ht="15.75" customHeight="1" x14ac:dyDescent="0.25">
      <c r="A213" s="28"/>
      <c r="B213" s="9" t="s">
        <v>65</v>
      </c>
      <c r="C213" s="301"/>
      <c r="D213" s="47">
        <v>41.74</v>
      </c>
      <c r="E213" s="11">
        <v>41</v>
      </c>
      <c r="F213" s="11">
        <v>41</v>
      </c>
      <c r="G213" s="28"/>
      <c r="H213" s="28"/>
      <c r="I213" s="3"/>
      <c r="J213" s="28"/>
      <c r="K213" s="28"/>
      <c r="L213" s="28"/>
      <c r="M213" s="28"/>
      <c r="N213" s="28"/>
      <c r="O213" s="28"/>
      <c r="P213" s="28"/>
      <c r="Q213" s="28"/>
      <c r="R213" s="28"/>
      <c r="S213" s="28"/>
      <c r="T213" s="28"/>
      <c r="U213" s="28"/>
      <c r="V213" s="28"/>
      <c r="W213" s="28"/>
      <c r="X213" s="28"/>
      <c r="Y213" s="28"/>
      <c r="Z213" s="28"/>
    </row>
    <row r="214" spans="1:26" ht="15.75" customHeight="1" x14ac:dyDescent="0.25">
      <c r="A214" s="28"/>
      <c r="B214" s="41"/>
      <c r="C214" s="42"/>
      <c r="D214" s="69"/>
      <c r="E214" s="11"/>
      <c r="F214" s="11"/>
      <c r="G214" s="28"/>
      <c r="H214" s="28"/>
      <c r="I214" s="3"/>
      <c r="J214" s="28"/>
      <c r="K214" s="28"/>
      <c r="L214" s="28"/>
      <c r="M214" s="28"/>
      <c r="N214" s="28"/>
      <c r="O214" s="28"/>
      <c r="P214" s="28"/>
      <c r="Q214" s="28"/>
      <c r="R214" s="28"/>
      <c r="S214" s="28"/>
      <c r="T214" s="28"/>
      <c r="U214" s="28"/>
      <c r="V214" s="28"/>
      <c r="W214" s="28"/>
      <c r="X214" s="28"/>
      <c r="Y214" s="28"/>
      <c r="Z214" s="28"/>
    </row>
    <row r="215" spans="1:26" ht="15.75" customHeight="1" x14ac:dyDescent="0.25">
      <c r="A215" s="28"/>
      <c r="B215" s="9" t="s">
        <v>66</v>
      </c>
      <c r="C215" s="302" t="s">
        <v>68</v>
      </c>
      <c r="D215" s="47">
        <v>204.5</v>
      </c>
      <c r="E215" s="11">
        <v>208</v>
      </c>
      <c r="F215" s="11">
        <v>208</v>
      </c>
      <c r="G215" s="28"/>
      <c r="H215" s="28"/>
      <c r="I215" s="3"/>
      <c r="J215" s="28"/>
      <c r="K215" s="28"/>
      <c r="L215" s="28"/>
      <c r="M215" s="28"/>
      <c r="N215" s="28"/>
      <c r="O215" s="28"/>
      <c r="P215" s="28"/>
      <c r="Q215" s="28"/>
      <c r="R215" s="28"/>
      <c r="S215" s="28"/>
      <c r="T215" s="28"/>
      <c r="U215" s="28"/>
      <c r="V215" s="28"/>
      <c r="W215" s="28"/>
      <c r="X215" s="28"/>
      <c r="Y215" s="28"/>
      <c r="Z215" s="28"/>
    </row>
    <row r="216" spans="1:26" ht="15.75" customHeight="1" x14ac:dyDescent="0.25">
      <c r="A216" s="28"/>
      <c r="B216" s="49" t="s">
        <v>69</v>
      </c>
      <c r="C216" s="301"/>
      <c r="D216" s="50">
        <v>277.7</v>
      </c>
      <c r="E216" s="51">
        <v>281</v>
      </c>
      <c r="F216" s="51">
        <v>281</v>
      </c>
      <c r="G216" s="28"/>
      <c r="H216" s="28"/>
      <c r="I216" s="3"/>
      <c r="J216" s="28"/>
      <c r="K216" s="28"/>
      <c r="L216" s="28"/>
      <c r="M216" s="28"/>
      <c r="N216" s="28"/>
      <c r="O216" s="28"/>
      <c r="P216" s="28"/>
      <c r="Q216" s="28"/>
      <c r="R216" s="28"/>
      <c r="S216" s="28"/>
      <c r="T216" s="28"/>
      <c r="U216" s="28"/>
      <c r="V216" s="28"/>
      <c r="W216" s="28"/>
      <c r="X216" s="28"/>
      <c r="Y216" s="28"/>
      <c r="Z216" s="28"/>
    </row>
    <row r="217" spans="1:26" ht="15.75" customHeight="1" x14ac:dyDescent="0.25">
      <c r="A217" s="28"/>
      <c r="B217" s="44"/>
      <c r="C217" s="46"/>
      <c r="D217" s="83"/>
      <c r="E217" s="46"/>
      <c r="F217" s="46"/>
      <c r="G217" s="28"/>
      <c r="H217" s="28"/>
      <c r="I217" s="3"/>
      <c r="J217" s="28"/>
      <c r="K217" s="28"/>
      <c r="L217" s="28"/>
      <c r="M217" s="28"/>
      <c r="N217" s="28"/>
      <c r="O217" s="28"/>
      <c r="P217" s="28"/>
      <c r="Q217" s="28"/>
      <c r="R217" s="28"/>
      <c r="S217" s="28"/>
      <c r="T217" s="28"/>
      <c r="U217" s="28"/>
      <c r="V217" s="28"/>
      <c r="W217" s="28"/>
      <c r="X217" s="28"/>
      <c r="Y217" s="28"/>
      <c r="Z217" s="28"/>
    </row>
    <row r="218" spans="1:26" ht="15.75" customHeight="1" x14ac:dyDescent="0.25">
      <c r="A218" s="28"/>
      <c r="B218" s="9" t="s">
        <v>69</v>
      </c>
      <c r="C218" s="302" t="s">
        <v>71</v>
      </c>
      <c r="D218" s="47">
        <v>10.283300000000001</v>
      </c>
      <c r="E218" s="11">
        <v>16</v>
      </c>
      <c r="F218" s="11">
        <v>16</v>
      </c>
      <c r="G218" s="28"/>
      <c r="H218" s="28"/>
      <c r="I218" s="3"/>
      <c r="J218" s="28"/>
      <c r="K218" s="28"/>
      <c r="L218" s="28"/>
      <c r="M218" s="28"/>
      <c r="N218" s="28"/>
      <c r="O218" s="28"/>
      <c r="P218" s="28"/>
      <c r="Q218" s="28"/>
      <c r="R218" s="28"/>
      <c r="S218" s="28"/>
      <c r="T218" s="28"/>
      <c r="U218" s="28"/>
      <c r="V218" s="28"/>
      <c r="W218" s="28"/>
      <c r="X218" s="28"/>
      <c r="Y218" s="28"/>
      <c r="Z218" s="28"/>
    </row>
    <row r="219" spans="1:26" ht="15.75" customHeight="1" x14ac:dyDescent="0.25">
      <c r="A219" s="28"/>
      <c r="B219" s="9" t="s">
        <v>72</v>
      </c>
      <c r="C219" s="300"/>
      <c r="D219" s="47">
        <v>11.8833</v>
      </c>
      <c r="E219" s="11">
        <v>15</v>
      </c>
      <c r="F219" s="11">
        <v>15</v>
      </c>
      <c r="G219" s="28"/>
      <c r="H219" s="28"/>
      <c r="I219" s="3"/>
      <c r="J219" s="28"/>
      <c r="K219" s="28"/>
      <c r="L219" s="28"/>
      <c r="M219" s="28"/>
      <c r="N219" s="28"/>
      <c r="O219" s="28"/>
      <c r="P219" s="28"/>
      <c r="Q219" s="28"/>
      <c r="R219" s="28"/>
      <c r="S219" s="28"/>
      <c r="T219" s="28"/>
      <c r="U219" s="28"/>
      <c r="V219" s="28"/>
      <c r="W219" s="28"/>
      <c r="X219" s="28"/>
      <c r="Y219" s="28"/>
      <c r="Z219" s="28"/>
    </row>
    <row r="220" spans="1:26" ht="15.75" customHeight="1" x14ac:dyDescent="0.25">
      <c r="A220" s="28"/>
      <c r="B220" s="9" t="s">
        <v>73</v>
      </c>
      <c r="C220" s="301"/>
      <c r="D220" s="47">
        <v>17.433299999999999</v>
      </c>
      <c r="E220" s="11">
        <v>19</v>
      </c>
      <c r="F220" s="11">
        <v>19</v>
      </c>
      <c r="G220" s="28"/>
      <c r="H220" s="28"/>
      <c r="I220" s="3"/>
      <c r="J220" s="28"/>
      <c r="K220" s="28"/>
      <c r="L220" s="28"/>
      <c r="M220" s="28"/>
      <c r="N220" s="28"/>
      <c r="O220" s="28"/>
      <c r="P220" s="28"/>
      <c r="Q220" s="28"/>
      <c r="R220" s="28"/>
      <c r="S220" s="28"/>
      <c r="T220" s="28"/>
      <c r="U220" s="28"/>
      <c r="V220" s="28"/>
      <c r="W220" s="28"/>
      <c r="X220" s="28"/>
      <c r="Y220" s="28"/>
      <c r="Z220" s="28"/>
    </row>
    <row r="221" spans="1:26" ht="15.75" customHeight="1" x14ac:dyDescent="0.25">
      <c r="A221" s="28"/>
      <c r="B221" s="41"/>
      <c r="C221" s="42"/>
      <c r="D221" s="69"/>
      <c r="E221" s="11"/>
      <c r="F221" s="11"/>
      <c r="G221" s="28"/>
      <c r="H221" s="28"/>
      <c r="I221" s="3"/>
      <c r="J221" s="28"/>
      <c r="K221" s="28"/>
      <c r="L221" s="28"/>
      <c r="M221" s="28"/>
      <c r="N221" s="28"/>
      <c r="O221" s="28"/>
      <c r="P221" s="28"/>
      <c r="Q221" s="28"/>
      <c r="R221" s="28"/>
      <c r="S221" s="28"/>
      <c r="T221" s="28"/>
      <c r="U221" s="28"/>
      <c r="V221" s="28"/>
      <c r="W221" s="28"/>
      <c r="X221" s="28"/>
      <c r="Y221" s="28"/>
      <c r="Z221" s="28"/>
    </row>
    <row r="222" spans="1:26" ht="15.75" customHeight="1" x14ac:dyDescent="0.25">
      <c r="A222" s="28"/>
      <c r="B222" s="9" t="s">
        <v>76</v>
      </c>
      <c r="C222" s="302" t="s">
        <v>77</v>
      </c>
      <c r="D222" s="47">
        <v>117.467</v>
      </c>
      <c r="E222" s="11">
        <v>215</v>
      </c>
      <c r="F222" s="11">
        <v>215</v>
      </c>
      <c r="G222" s="28"/>
      <c r="H222" s="28"/>
      <c r="I222" s="3"/>
      <c r="J222" s="28"/>
      <c r="K222" s="28"/>
      <c r="L222" s="28"/>
      <c r="M222" s="28"/>
      <c r="N222" s="28"/>
      <c r="O222" s="28"/>
      <c r="P222" s="28"/>
      <c r="Q222" s="28"/>
      <c r="R222" s="28"/>
      <c r="S222" s="28"/>
      <c r="T222" s="28"/>
      <c r="U222" s="28"/>
      <c r="V222" s="28"/>
      <c r="W222" s="28"/>
      <c r="X222" s="28"/>
      <c r="Y222" s="28"/>
      <c r="Z222" s="28"/>
    </row>
    <row r="223" spans="1:26" ht="15.75" customHeight="1" x14ac:dyDescent="0.25">
      <c r="A223" s="28"/>
      <c r="B223" s="9" t="s">
        <v>78</v>
      </c>
      <c r="C223" s="300"/>
      <c r="D223" s="47">
        <v>187.833</v>
      </c>
      <c r="E223" s="11">
        <v>202</v>
      </c>
      <c r="F223" s="11">
        <v>202</v>
      </c>
      <c r="G223" s="28"/>
      <c r="H223" s="28"/>
      <c r="I223" s="3"/>
      <c r="J223" s="28"/>
      <c r="K223" s="28"/>
      <c r="L223" s="28"/>
      <c r="M223" s="28"/>
      <c r="N223" s="28"/>
      <c r="O223" s="28"/>
      <c r="P223" s="28"/>
      <c r="Q223" s="28"/>
      <c r="R223" s="28"/>
      <c r="S223" s="28"/>
      <c r="T223" s="28"/>
      <c r="U223" s="28"/>
      <c r="V223" s="28"/>
      <c r="W223" s="28"/>
      <c r="X223" s="28"/>
      <c r="Y223" s="28"/>
      <c r="Z223" s="28"/>
    </row>
    <row r="224" spans="1:26" ht="15.75" customHeight="1" x14ac:dyDescent="0.25">
      <c r="A224" s="28"/>
      <c r="B224" s="9" t="s">
        <v>79</v>
      </c>
      <c r="C224" s="300"/>
      <c r="D224" s="47">
        <v>218.333</v>
      </c>
      <c r="E224" s="11">
        <v>244</v>
      </c>
      <c r="F224" s="11">
        <v>244</v>
      </c>
      <c r="G224" s="28"/>
      <c r="H224" s="28"/>
      <c r="I224" s="3"/>
      <c r="J224" s="28"/>
      <c r="K224" s="28"/>
      <c r="L224" s="28"/>
      <c r="M224" s="28"/>
      <c r="N224" s="28"/>
      <c r="O224" s="28"/>
      <c r="P224" s="28"/>
      <c r="Q224" s="28"/>
      <c r="R224" s="28"/>
      <c r="S224" s="28"/>
      <c r="T224" s="28"/>
      <c r="U224" s="28"/>
      <c r="V224" s="28"/>
      <c r="W224" s="28"/>
      <c r="X224" s="28"/>
      <c r="Y224" s="28"/>
      <c r="Z224" s="28"/>
    </row>
    <row r="225" spans="1:26" ht="15.75" customHeight="1" x14ac:dyDescent="0.25">
      <c r="A225" s="28"/>
      <c r="B225" s="49" t="s">
        <v>80</v>
      </c>
      <c r="C225" s="301"/>
      <c r="D225" s="50">
        <v>238.5</v>
      </c>
      <c r="E225" s="51">
        <v>118</v>
      </c>
      <c r="F225" s="51">
        <v>118</v>
      </c>
      <c r="G225" s="28"/>
      <c r="H225" s="28"/>
      <c r="I225" s="3"/>
      <c r="J225" s="28"/>
      <c r="K225" s="28"/>
      <c r="L225" s="28"/>
      <c r="M225" s="28"/>
      <c r="N225" s="28"/>
      <c r="O225" s="28"/>
      <c r="P225" s="28"/>
      <c r="Q225" s="28"/>
      <c r="R225" s="28"/>
      <c r="S225" s="28"/>
      <c r="T225" s="28"/>
      <c r="U225" s="28"/>
      <c r="V225" s="28"/>
      <c r="W225" s="28"/>
      <c r="X225" s="28"/>
      <c r="Y225" s="28"/>
      <c r="Z225" s="28"/>
    </row>
    <row r="226" spans="1:26" ht="15.75" customHeight="1" x14ac:dyDescent="0.25">
      <c r="A226" s="28"/>
      <c r="B226" s="44"/>
      <c r="C226" s="46"/>
      <c r="D226" s="83"/>
      <c r="E226" s="46"/>
      <c r="F226" s="46"/>
      <c r="G226" s="28"/>
      <c r="H226" s="28"/>
      <c r="I226" s="3"/>
      <c r="J226" s="28"/>
      <c r="K226" s="28"/>
      <c r="L226" s="28"/>
      <c r="M226" s="28"/>
      <c r="N226" s="28"/>
      <c r="O226" s="28"/>
      <c r="P226" s="28"/>
      <c r="Q226" s="28"/>
      <c r="R226" s="28"/>
      <c r="S226" s="28"/>
      <c r="T226" s="28"/>
      <c r="U226" s="28"/>
      <c r="V226" s="28"/>
      <c r="W226" s="28"/>
      <c r="X226" s="28"/>
      <c r="Y226" s="28"/>
      <c r="Z226" s="28"/>
    </row>
    <row r="227" spans="1:26" ht="15.75" customHeight="1" x14ac:dyDescent="0.25">
      <c r="A227" s="28"/>
      <c r="B227" s="9" t="s">
        <v>81</v>
      </c>
      <c r="C227" s="302" t="s">
        <v>82</v>
      </c>
      <c r="D227" s="47">
        <v>2</v>
      </c>
      <c r="E227" s="11">
        <v>2</v>
      </c>
      <c r="F227" s="11">
        <v>2</v>
      </c>
      <c r="G227" s="28"/>
      <c r="H227" s="28"/>
      <c r="I227" s="3"/>
      <c r="J227" s="28"/>
      <c r="K227" s="28"/>
      <c r="L227" s="28"/>
      <c r="M227" s="28"/>
      <c r="N227" s="28"/>
      <c r="O227" s="28"/>
      <c r="P227" s="28"/>
      <c r="Q227" s="28"/>
      <c r="R227" s="28"/>
      <c r="S227" s="28"/>
      <c r="T227" s="28"/>
      <c r="U227" s="28"/>
      <c r="V227" s="28"/>
      <c r="W227" s="28"/>
      <c r="X227" s="28"/>
      <c r="Y227" s="28"/>
      <c r="Z227" s="28"/>
    </row>
    <row r="228" spans="1:26" ht="15.75" customHeight="1" x14ac:dyDescent="0.25">
      <c r="A228" s="28"/>
      <c r="B228" s="9" t="s">
        <v>83</v>
      </c>
      <c r="C228" s="300"/>
      <c r="D228" s="47">
        <v>7.133</v>
      </c>
      <c r="E228" s="11">
        <v>7</v>
      </c>
      <c r="F228" s="11">
        <v>7</v>
      </c>
      <c r="G228" s="28"/>
      <c r="H228" s="28"/>
      <c r="I228" s="3"/>
      <c r="J228" s="28"/>
      <c r="K228" s="28"/>
      <c r="L228" s="28"/>
      <c r="M228" s="28"/>
      <c r="N228" s="28"/>
      <c r="O228" s="28"/>
      <c r="P228" s="28"/>
      <c r="Q228" s="28"/>
      <c r="R228" s="28"/>
      <c r="S228" s="28"/>
      <c r="T228" s="28"/>
      <c r="U228" s="28"/>
      <c r="V228" s="28"/>
      <c r="W228" s="28"/>
      <c r="X228" s="28"/>
      <c r="Y228" s="28"/>
      <c r="Z228" s="28"/>
    </row>
    <row r="229" spans="1:26" ht="15.75" customHeight="1" x14ac:dyDescent="0.25">
      <c r="A229" s="28"/>
      <c r="B229" s="9" t="s">
        <v>84</v>
      </c>
      <c r="C229" s="301"/>
      <c r="D229" s="47">
        <v>10.72</v>
      </c>
      <c r="E229" s="11">
        <v>8</v>
      </c>
      <c r="F229" s="11">
        <v>8</v>
      </c>
      <c r="G229" s="28"/>
      <c r="H229" s="28"/>
      <c r="I229" s="3"/>
      <c r="J229" s="28"/>
      <c r="K229" s="28"/>
      <c r="L229" s="28"/>
      <c r="M229" s="28"/>
      <c r="N229" s="28"/>
      <c r="O229" s="28"/>
      <c r="P229" s="28"/>
      <c r="Q229" s="28"/>
      <c r="R229" s="28"/>
      <c r="S229" s="28"/>
      <c r="T229" s="28"/>
      <c r="U229" s="28"/>
      <c r="V229" s="28"/>
      <c r="W229" s="28"/>
      <c r="X229" s="28"/>
      <c r="Y229" s="28"/>
      <c r="Z229" s="28"/>
    </row>
    <row r="230" spans="1:26" ht="15.75" customHeight="1" x14ac:dyDescent="0.25">
      <c r="A230" s="28"/>
      <c r="B230" s="41"/>
      <c r="C230" s="42"/>
      <c r="D230" s="69"/>
      <c r="E230" s="11"/>
      <c r="F230" s="11"/>
      <c r="G230" s="28"/>
      <c r="H230" s="28"/>
      <c r="I230" s="3"/>
      <c r="J230" s="28"/>
      <c r="K230" s="28"/>
      <c r="L230" s="28"/>
      <c r="M230" s="28"/>
      <c r="N230" s="28"/>
      <c r="O230" s="28"/>
      <c r="P230" s="28"/>
      <c r="Q230" s="28"/>
      <c r="R230" s="28"/>
      <c r="S230" s="28"/>
      <c r="T230" s="28"/>
      <c r="U230" s="28"/>
      <c r="V230" s="28"/>
      <c r="W230" s="28"/>
      <c r="X230" s="28"/>
      <c r="Y230" s="28"/>
      <c r="Z230" s="28"/>
    </row>
    <row r="231" spans="1:26" ht="15.75" customHeight="1" x14ac:dyDescent="0.25">
      <c r="A231" s="28"/>
      <c r="B231" s="9" t="s">
        <v>86</v>
      </c>
      <c r="C231" s="302" t="s">
        <v>87</v>
      </c>
      <c r="D231" s="47">
        <v>20.466999999999999</v>
      </c>
      <c r="E231" s="11">
        <v>24</v>
      </c>
      <c r="F231" s="11">
        <v>24</v>
      </c>
      <c r="G231" s="28"/>
      <c r="H231" s="28"/>
      <c r="I231" s="3"/>
      <c r="J231" s="28"/>
      <c r="K231" s="28"/>
      <c r="L231" s="28"/>
      <c r="M231" s="28"/>
      <c r="N231" s="28"/>
      <c r="O231" s="28"/>
      <c r="P231" s="28"/>
      <c r="Q231" s="28"/>
      <c r="R231" s="28"/>
      <c r="S231" s="28"/>
      <c r="T231" s="28"/>
      <c r="U231" s="28"/>
      <c r="V231" s="28"/>
      <c r="W231" s="28"/>
      <c r="X231" s="28"/>
      <c r="Y231" s="28"/>
      <c r="Z231" s="28"/>
    </row>
    <row r="232" spans="1:26" ht="15.75" customHeight="1" x14ac:dyDescent="0.25">
      <c r="A232" s="28"/>
      <c r="B232" s="49" t="s">
        <v>88</v>
      </c>
      <c r="C232" s="301"/>
      <c r="D232" s="50">
        <v>20.367000000000001</v>
      </c>
      <c r="E232" s="51">
        <v>25</v>
      </c>
      <c r="F232" s="51">
        <v>25</v>
      </c>
      <c r="G232" s="28"/>
      <c r="H232" s="28"/>
      <c r="I232" s="3"/>
      <c r="J232" s="28"/>
      <c r="K232" s="28"/>
      <c r="L232" s="28"/>
      <c r="M232" s="28"/>
      <c r="N232" s="28"/>
      <c r="O232" s="28"/>
      <c r="P232" s="28"/>
      <c r="Q232" s="28"/>
      <c r="R232" s="28"/>
      <c r="S232" s="28"/>
      <c r="T232" s="28"/>
      <c r="U232" s="28"/>
      <c r="V232" s="28"/>
      <c r="W232" s="28"/>
      <c r="X232" s="28"/>
      <c r="Y232" s="28"/>
      <c r="Z232" s="28"/>
    </row>
    <row r="233" spans="1:26" ht="15.75" customHeight="1" x14ac:dyDescent="0.25">
      <c r="A233" s="28"/>
      <c r="B233" s="44"/>
      <c r="C233" s="46"/>
      <c r="D233" s="83"/>
      <c r="E233" s="46"/>
      <c r="F233" s="46"/>
      <c r="G233" s="28"/>
      <c r="H233" s="28"/>
      <c r="I233" s="3"/>
      <c r="J233" s="28"/>
      <c r="K233" s="28"/>
      <c r="L233" s="28"/>
      <c r="M233" s="28"/>
      <c r="N233" s="28"/>
      <c r="O233" s="28"/>
      <c r="P233" s="28"/>
      <c r="Q233" s="28"/>
      <c r="R233" s="28"/>
      <c r="S233" s="28"/>
      <c r="T233" s="28"/>
      <c r="U233" s="28"/>
      <c r="V233" s="28"/>
      <c r="W233" s="28"/>
      <c r="X233" s="28"/>
      <c r="Y233" s="28"/>
      <c r="Z233" s="28"/>
    </row>
    <row r="234" spans="1:26" ht="15.75" customHeight="1" x14ac:dyDescent="0.25">
      <c r="A234" s="28"/>
      <c r="B234" s="9" t="s">
        <v>89</v>
      </c>
      <c r="C234" s="302" t="s">
        <v>90</v>
      </c>
      <c r="D234" s="47">
        <v>5.15</v>
      </c>
      <c r="E234" s="11">
        <v>9</v>
      </c>
      <c r="F234" s="11">
        <v>9</v>
      </c>
      <c r="G234" s="28"/>
      <c r="H234" s="28"/>
      <c r="I234" s="3"/>
      <c r="J234" s="28"/>
      <c r="K234" s="28"/>
      <c r="L234" s="28"/>
      <c r="M234" s="28"/>
      <c r="N234" s="28"/>
      <c r="O234" s="28"/>
      <c r="P234" s="28"/>
      <c r="Q234" s="28"/>
      <c r="R234" s="28"/>
      <c r="S234" s="28"/>
      <c r="T234" s="28"/>
      <c r="U234" s="28"/>
      <c r="V234" s="28"/>
      <c r="W234" s="28"/>
      <c r="X234" s="28"/>
      <c r="Y234" s="28"/>
      <c r="Z234" s="28"/>
    </row>
    <row r="235" spans="1:26" ht="15.75" customHeight="1" x14ac:dyDescent="0.25">
      <c r="A235" s="28"/>
      <c r="B235" s="49" t="s">
        <v>91</v>
      </c>
      <c r="C235" s="301"/>
      <c r="D235" s="50">
        <v>16.2</v>
      </c>
      <c r="E235" s="51">
        <v>15</v>
      </c>
      <c r="F235" s="51">
        <v>15</v>
      </c>
      <c r="G235" s="28"/>
      <c r="H235" s="28"/>
      <c r="I235" s="3"/>
      <c r="J235" s="28"/>
      <c r="K235" s="28"/>
      <c r="L235" s="28"/>
      <c r="M235" s="28"/>
      <c r="N235" s="28"/>
      <c r="O235" s="28"/>
      <c r="P235" s="28"/>
      <c r="Q235" s="28"/>
      <c r="R235" s="28"/>
      <c r="S235" s="28"/>
      <c r="T235" s="28"/>
      <c r="U235" s="28"/>
      <c r="V235" s="28"/>
      <c r="W235" s="28"/>
      <c r="X235" s="28"/>
      <c r="Y235" s="28"/>
      <c r="Z235" s="28"/>
    </row>
    <row r="236" spans="1:26" ht="15.75" customHeight="1" x14ac:dyDescent="0.25">
      <c r="A236" s="28"/>
      <c r="B236" s="41"/>
      <c r="C236" s="42"/>
      <c r="D236" s="69"/>
      <c r="E236" s="201"/>
      <c r="F236" s="201"/>
      <c r="G236" s="28"/>
      <c r="H236" s="28"/>
      <c r="I236" s="3"/>
      <c r="J236" s="28"/>
      <c r="K236" s="28"/>
      <c r="L236" s="28"/>
      <c r="M236" s="28"/>
      <c r="N236" s="28"/>
      <c r="O236" s="28"/>
      <c r="P236" s="28"/>
      <c r="Q236" s="28"/>
      <c r="R236" s="28"/>
      <c r="S236" s="28"/>
      <c r="T236" s="28"/>
      <c r="U236" s="28"/>
      <c r="V236" s="28"/>
      <c r="W236" s="28"/>
      <c r="X236" s="28"/>
      <c r="Y236" s="28"/>
      <c r="Z236" s="28"/>
    </row>
    <row r="237" spans="1:26" ht="15.75" customHeight="1" x14ac:dyDescent="0.25">
      <c r="A237" s="28"/>
      <c r="B237" s="9" t="s">
        <v>94</v>
      </c>
      <c r="C237" s="302" t="s">
        <v>95</v>
      </c>
      <c r="D237" s="47">
        <v>50.082999999999998</v>
      </c>
      <c r="E237" s="11">
        <v>98</v>
      </c>
      <c r="F237" s="11">
        <v>98</v>
      </c>
      <c r="G237" s="28"/>
      <c r="H237" s="28"/>
      <c r="I237" s="3"/>
      <c r="J237" s="28"/>
      <c r="K237" s="28"/>
      <c r="L237" s="28"/>
      <c r="M237" s="28"/>
      <c r="N237" s="28"/>
      <c r="O237" s="28"/>
      <c r="P237" s="28"/>
      <c r="Q237" s="28"/>
      <c r="R237" s="28"/>
      <c r="S237" s="28"/>
      <c r="T237" s="28"/>
      <c r="U237" s="28"/>
      <c r="V237" s="28"/>
      <c r="W237" s="28"/>
      <c r="X237" s="28"/>
      <c r="Y237" s="28"/>
      <c r="Z237" s="28"/>
    </row>
    <row r="238" spans="1:26" ht="15.75" customHeight="1" x14ac:dyDescent="0.25">
      <c r="A238" s="28"/>
      <c r="B238" s="9" t="s">
        <v>96</v>
      </c>
      <c r="C238" s="300"/>
      <c r="D238" s="47">
        <v>93.992999999999995</v>
      </c>
      <c r="E238" s="11">
        <v>103</v>
      </c>
      <c r="F238" s="11">
        <v>103</v>
      </c>
      <c r="G238" s="28"/>
      <c r="H238" s="28"/>
      <c r="I238" s="3"/>
      <c r="J238" s="28"/>
      <c r="K238" s="28"/>
      <c r="L238" s="28"/>
      <c r="M238" s="28"/>
      <c r="N238" s="28"/>
      <c r="O238" s="28"/>
      <c r="P238" s="28"/>
      <c r="Q238" s="28"/>
      <c r="R238" s="28"/>
      <c r="S238" s="28"/>
      <c r="T238" s="28"/>
      <c r="U238" s="28"/>
      <c r="V238" s="28"/>
      <c r="W238" s="28"/>
      <c r="X238" s="28"/>
      <c r="Y238" s="28"/>
      <c r="Z238" s="28"/>
    </row>
    <row r="239" spans="1:26" ht="15.75" customHeight="1" x14ac:dyDescent="0.25">
      <c r="A239" s="28"/>
      <c r="B239" s="9" t="s">
        <v>97</v>
      </c>
      <c r="C239" s="300"/>
      <c r="D239" s="47">
        <v>95.516999999999996</v>
      </c>
      <c r="E239" s="11">
        <v>103</v>
      </c>
      <c r="F239" s="11">
        <v>103</v>
      </c>
      <c r="G239" s="28"/>
      <c r="H239" s="28"/>
      <c r="I239" s="3"/>
      <c r="J239" s="28"/>
      <c r="K239" s="28"/>
      <c r="L239" s="28"/>
      <c r="M239" s="28"/>
      <c r="N239" s="28"/>
      <c r="O239" s="28"/>
      <c r="P239" s="28"/>
      <c r="Q239" s="28"/>
      <c r="R239" s="28"/>
      <c r="S239" s="28"/>
      <c r="T239" s="28"/>
      <c r="U239" s="28"/>
      <c r="V239" s="28"/>
      <c r="W239" s="28"/>
      <c r="X239" s="28"/>
      <c r="Y239" s="28"/>
      <c r="Z239" s="28"/>
    </row>
    <row r="240" spans="1:26" ht="15.75" customHeight="1" x14ac:dyDescent="0.25">
      <c r="A240" s="28"/>
      <c r="B240" s="9" t="s">
        <v>98</v>
      </c>
      <c r="C240" s="300"/>
      <c r="D240" s="47">
        <v>100.92</v>
      </c>
      <c r="E240" s="11">
        <v>105</v>
      </c>
      <c r="F240" s="11">
        <v>105</v>
      </c>
      <c r="G240" s="28"/>
      <c r="H240" s="28"/>
      <c r="I240" s="3"/>
      <c r="J240" s="28"/>
      <c r="K240" s="28"/>
      <c r="L240" s="28"/>
      <c r="M240" s="28"/>
      <c r="N240" s="28"/>
      <c r="O240" s="28"/>
      <c r="P240" s="28"/>
      <c r="Q240" s="28"/>
      <c r="R240" s="28"/>
      <c r="S240" s="28"/>
      <c r="T240" s="28"/>
      <c r="U240" s="28"/>
      <c r="V240" s="28"/>
      <c r="W240" s="28"/>
      <c r="X240" s="28"/>
      <c r="Y240" s="28"/>
      <c r="Z240" s="28"/>
    </row>
    <row r="241" spans="1:26" ht="15.75" customHeight="1" x14ac:dyDescent="0.25">
      <c r="A241" s="28"/>
      <c r="B241" s="9" t="s">
        <v>99</v>
      </c>
      <c r="C241" s="301"/>
      <c r="D241" s="47">
        <v>115.37</v>
      </c>
      <c r="E241" s="11">
        <v>109</v>
      </c>
      <c r="F241" s="11">
        <v>109</v>
      </c>
      <c r="G241" s="28"/>
      <c r="H241" s="28"/>
      <c r="I241" s="3"/>
      <c r="J241" s="28"/>
      <c r="K241" s="28"/>
      <c r="L241" s="28"/>
      <c r="M241" s="28"/>
      <c r="N241" s="28"/>
      <c r="O241" s="28"/>
      <c r="P241" s="28"/>
      <c r="Q241" s="28"/>
      <c r="R241" s="28"/>
      <c r="S241" s="28"/>
      <c r="T241" s="28"/>
      <c r="U241" s="28"/>
      <c r="V241" s="28"/>
      <c r="W241" s="28"/>
      <c r="X241" s="28"/>
      <c r="Y241" s="28"/>
      <c r="Z241" s="28"/>
    </row>
    <row r="242" spans="1:26" ht="15.75" customHeight="1" x14ac:dyDescent="0.25">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5.75" customHeight="1" x14ac:dyDescent="0.2"/>
    <row r="244" spans="1:26" ht="15.75" customHeight="1" x14ac:dyDescent="0.2"/>
    <row r="245" spans="1:26" ht="15.75" customHeight="1" x14ac:dyDescent="0.2"/>
    <row r="246" spans="1:26" ht="15.75" customHeight="1" x14ac:dyDescent="0.2"/>
    <row r="247" spans="1:26" ht="15.75" customHeight="1" x14ac:dyDescent="0.2"/>
    <row r="248" spans="1:26" ht="15.75" customHeight="1" x14ac:dyDescent="0.2"/>
    <row r="249" spans="1:26" ht="15.75" customHeight="1" x14ac:dyDescent="0.2"/>
    <row r="250" spans="1:26" ht="15.75" customHeight="1" x14ac:dyDescent="0.2"/>
    <row r="251" spans="1:26" ht="15.75" customHeight="1" x14ac:dyDescent="0.2"/>
    <row r="252" spans="1:26" ht="15.75" customHeight="1" x14ac:dyDescent="0.2"/>
    <row r="253" spans="1:26" ht="15.75" customHeight="1" x14ac:dyDescent="0.2"/>
    <row r="254" spans="1:26" ht="15.75" customHeight="1" x14ac:dyDescent="0.2"/>
    <row r="255" spans="1:26" ht="15.75" customHeight="1" x14ac:dyDescent="0.2"/>
    <row r="256" spans="1:2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5">
    <mergeCell ref="C103:C105"/>
    <mergeCell ref="C107:C108"/>
    <mergeCell ref="C81:C85"/>
    <mergeCell ref="C87:C89"/>
    <mergeCell ref="C91:C92"/>
    <mergeCell ref="C94:C96"/>
    <mergeCell ref="C98:C101"/>
    <mergeCell ref="C110:C111"/>
    <mergeCell ref="C113:C117"/>
    <mergeCell ref="B127:E127"/>
    <mergeCell ref="H128:M128"/>
    <mergeCell ref="H129:J129"/>
    <mergeCell ref="K129:M129"/>
    <mergeCell ref="C129:C133"/>
    <mergeCell ref="C50:C51"/>
    <mergeCell ref="C53:C57"/>
    <mergeCell ref="C66:C70"/>
    <mergeCell ref="C72:C76"/>
    <mergeCell ref="C78:C79"/>
    <mergeCell ref="B52:F52"/>
    <mergeCell ref="B64:E64"/>
    <mergeCell ref="B26:F26"/>
    <mergeCell ref="C27:C29"/>
    <mergeCell ref="B30:E30"/>
    <mergeCell ref="B49:F49"/>
    <mergeCell ref="C31:C32"/>
    <mergeCell ref="B33:F33"/>
    <mergeCell ref="C34:C36"/>
    <mergeCell ref="B37:E37"/>
    <mergeCell ref="C38:C41"/>
    <mergeCell ref="B42:F42"/>
    <mergeCell ref="B46:E46"/>
    <mergeCell ref="C43:C45"/>
    <mergeCell ref="C218:C220"/>
    <mergeCell ref="B4:E4"/>
    <mergeCell ref="H5:M5"/>
    <mergeCell ref="C6:C10"/>
    <mergeCell ref="H6:J6"/>
    <mergeCell ref="K6:M6"/>
    <mergeCell ref="C47:C48"/>
    <mergeCell ref="B11:E11"/>
    <mergeCell ref="B17:F17"/>
    <mergeCell ref="C12:C16"/>
    <mergeCell ref="C18:C19"/>
    <mergeCell ref="B20:E20"/>
    <mergeCell ref="H65:M65"/>
    <mergeCell ref="H66:J66"/>
    <mergeCell ref="K66:M66"/>
    <mergeCell ref="C21:C25"/>
    <mergeCell ref="C196:C200"/>
    <mergeCell ref="C202:C203"/>
    <mergeCell ref="C205:C209"/>
    <mergeCell ref="C211:C213"/>
    <mergeCell ref="C215:C216"/>
    <mergeCell ref="C222:C225"/>
    <mergeCell ref="C227:C229"/>
    <mergeCell ref="C231:C232"/>
    <mergeCell ref="C234:C235"/>
    <mergeCell ref="C237:C241"/>
    <mergeCell ref="C135:C139"/>
    <mergeCell ref="C141:C142"/>
    <mergeCell ref="C144:C148"/>
    <mergeCell ref="C150:C152"/>
    <mergeCell ref="H190:J190"/>
    <mergeCell ref="C154:C155"/>
    <mergeCell ref="C157:C159"/>
    <mergeCell ref="C190:C194"/>
    <mergeCell ref="K190:M190"/>
    <mergeCell ref="C161:C164"/>
    <mergeCell ref="C166:C168"/>
    <mergeCell ref="C170:C171"/>
    <mergeCell ref="C173:C174"/>
    <mergeCell ref="C176:C180"/>
    <mergeCell ref="B188:E188"/>
    <mergeCell ref="H189:M189"/>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workbookViewId="0"/>
  </sheetViews>
  <sheetFormatPr baseColWidth="10" defaultColWidth="12.625" defaultRowHeight="15" customHeight="1" x14ac:dyDescent="0.2"/>
  <cols>
    <col min="1" max="1" width="10" customWidth="1"/>
    <col min="2" max="2" width="12.875" customWidth="1"/>
    <col min="3" max="4" width="10" customWidth="1"/>
    <col min="5" max="5" width="12.625" customWidth="1"/>
    <col min="6" max="18" width="10" customWidth="1"/>
    <col min="19" max="19" width="11" customWidth="1"/>
    <col min="20" max="26" width="10" customWidth="1"/>
  </cols>
  <sheetData>
    <row r="1" spans="2:12" x14ac:dyDescent="0.25">
      <c r="E1" s="3"/>
      <c r="G1" s="123"/>
    </row>
    <row r="2" spans="2:12" x14ac:dyDescent="0.25">
      <c r="E2" s="3"/>
    </row>
    <row r="3" spans="2:12" x14ac:dyDescent="0.25">
      <c r="B3" s="28" t="s">
        <v>747</v>
      </c>
      <c r="C3" s="28"/>
      <c r="D3" s="28"/>
      <c r="E3" s="3"/>
      <c r="F3" s="28"/>
      <c r="G3" s="28"/>
      <c r="H3" s="28"/>
      <c r="I3" s="28"/>
      <c r="J3" s="28"/>
      <c r="K3" s="28"/>
      <c r="L3" s="28"/>
    </row>
    <row r="4" spans="2:12" x14ac:dyDescent="0.25">
      <c r="B4" s="28"/>
      <c r="C4" s="23"/>
      <c r="D4" s="23"/>
      <c r="E4" s="204"/>
      <c r="F4" s="23"/>
      <c r="G4" s="23"/>
      <c r="H4" s="28"/>
      <c r="I4" s="28"/>
      <c r="J4" s="28"/>
      <c r="K4" s="28"/>
      <c r="L4" s="28"/>
    </row>
    <row r="5" spans="2:12" x14ac:dyDescent="0.25">
      <c r="B5" s="332" t="s">
        <v>748</v>
      </c>
      <c r="C5" s="297"/>
      <c r="D5" s="297"/>
      <c r="E5" s="297"/>
      <c r="F5" s="297"/>
      <c r="G5" s="298"/>
    </row>
    <row r="6" spans="2:12" ht="36" x14ac:dyDescent="0.2">
      <c r="B6" s="4" t="s">
        <v>0</v>
      </c>
      <c r="C6" s="5" t="s">
        <v>1</v>
      </c>
      <c r="D6" s="5" t="s">
        <v>42</v>
      </c>
      <c r="E6" s="5" t="s">
        <v>43</v>
      </c>
      <c r="F6" s="5" t="s">
        <v>44</v>
      </c>
      <c r="G6" s="7" t="s">
        <v>206</v>
      </c>
      <c r="I6" s="296" t="s">
        <v>45</v>
      </c>
      <c r="J6" s="297"/>
      <c r="K6" s="297"/>
      <c r="L6" s="298"/>
    </row>
    <row r="7" spans="2:12" ht="14.25" x14ac:dyDescent="0.2">
      <c r="B7" s="310" t="s">
        <v>275</v>
      </c>
      <c r="C7" s="297"/>
      <c r="D7" s="297"/>
      <c r="E7" s="297"/>
      <c r="F7" s="297"/>
      <c r="G7" s="298"/>
      <c r="I7" s="305" t="s">
        <v>275</v>
      </c>
      <c r="J7" s="297"/>
      <c r="K7" s="297"/>
      <c r="L7" s="298"/>
    </row>
    <row r="8" spans="2:12" ht="14.25" x14ac:dyDescent="0.2">
      <c r="B8" s="9" t="s">
        <v>11</v>
      </c>
      <c r="C8" s="12" t="s">
        <v>12</v>
      </c>
      <c r="D8" s="17">
        <v>530</v>
      </c>
      <c r="E8" s="22"/>
      <c r="F8" s="11">
        <v>530</v>
      </c>
      <c r="G8" s="110"/>
      <c r="I8" s="12"/>
      <c r="J8" s="12" t="s">
        <v>52</v>
      </c>
      <c r="K8" s="12" t="s">
        <v>53</v>
      </c>
      <c r="L8" s="12"/>
    </row>
    <row r="9" spans="2:12" ht="14.25" x14ac:dyDescent="0.2">
      <c r="B9" s="9" t="s">
        <v>11</v>
      </c>
      <c r="C9" s="12" t="s">
        <v>18</v>
      </c>
      <c r="D9" s="17">
        <v>0</v>
      </c>
      <c r="E9" s="22"/>
      <c r="F9" s="11">
        <v>0</v>
      </c>
      <c r="G9" s="110"/>
      <c r="I9" s="12" t="s">
        <v>12</v>
      </c>
      <c r="J9" s="17"/>
      <c r="K9" s="11">
        <v>530</v>
      </c>
      <c r="L9" s="17" t="s">
        <v>749</v>
      </c>
    </row>
    <row r="10" spans="2:12" ht="25.5" x14ac:dyDescent="0.2">
      <c r="B10" s="9" t="s">
        <v>21</v>
      </c>
      <c r="C10" s="12" t="s">
        <v>59</v>
      </c>
      <c r="D10" s="17">
        <v>440</v>
      </c>
      <c r="E10" s="22"/>
      <c r="F10" s="11">
        <v>437</v>
      </c>
      <c r="G10" s="110"/>
      <c r="I10" s="12" t="s">
        <v>18</v>
      </c>
      <c r="J10" s="17"/>
      <c r="K10" s="11">
        <v>0</v>
      </c>
      <c r="L10" s="17" t="s">
        <v>750</v>
      </c>
    </row>
    <row r="11" spans="2:12" ht="25.5" x14ac:dyDescent="0.2">
      <c r="B11" s="9" t="s">
        <v>21</v>
      </c>
      <c r="C11" s="12" t="s">
        <v>63</v>
      </c>
      <c r="D11" s="17">
        <v>160</v>
      </c>
      <c r="E11" s="22"/>
      <c r="F11" s="11">
        <v>160</v>
      </c>
      <c r="G11" s="110"/>
      <c r="I11" s="305" t="s">
        <v>313</v>
      </c>
      <c r="J11" s="297"/>
      <c r="K11" s="297"/>
      <c r="L11" s="298"/>
    </row>
    <row r="12" spans="2:12" ht="14.25" x14ac:dyDescent="0.2">
      <c r="B12" s="310" t="s">
        <v>313</v>
      </c>
      <c r="C12" s="297"/>
      <c r="D12" s="297"/>
      <c r="E12" s="297"/>
      <c r="F12" s="297"/>
      <c r="G12" s="298"/>
      <c r="I12" s="12" t="s">
        <v>12</v>
      </c>
      <c r="J12" s="17"/>
      <c r="K12" s="11">
        <v>510</v>
      </c>
      <c r="L12" s="17" t="s">
        <v>752</v>
      </c>
    </row>
    <row r="13" spans="2:12" ht="14.25" x14ac:dyDescent="0.2">
      <c r="B13" s="9" t="s">
        <v>11</v>
      </c>
      <c r="C13" s="12" t="s">
        <v>12</v>
      </c>
      <c r="D13" s="17">
        <v>510</v>
      </c>
      <c r="E13" s="22"/>
      <c r="F13" s="22">
        <v>510</v>
      </c>
      <c r="G13" s="110"/>
      <c r="I13" s="12" t="s">
        <v>18</v>
      </c>
      <c r="J13" s="17"/>
      <c r="K13" s="11">
        <v>0</v>
      </c>
      <c r="L13" s="17" t="s">
        <v>753</v>
      </c>
    </row>
    <row r="14" spans="2:12" ht="14.25" x14ac:dyDescent="0.2">
      <c r="B14" s="9" t="s">
        <v>11</v>
      </c>
      <c r="C14" s="12" t="s">
        <v>18</v>
      </c>
      <c r="D14" s="17">
        <v>0</v>
      </c>
      <c r="E14" s="22"/>
      <c r="F14" s="22">
        <v>0</v>
      </c>
      <c r="G14" s="110"/>
    </row>
    <row r="15" spans="2:12" ht="25.5" x14ac:dyDescent="0.2">
      <c r="B15" s="9" t="s">
        <v>21</v>
      </c>
      <c r="C15" s="12" t="s">
        <v>59</v>
      </c>
      <c r="D15" s="17">
        <v>430</v>
      </c>
      <c r="E15" s="22"/>
      <c r="F15" s="22">
        <v>425</v>
      </c>
      <c r="G15" s="110"/>
    </row>
    <row r="16" spans="2:12" ht="25.5" x14ac:dyDescent="0.2">
      <c r="B16" s="9" t="s">
        <v>21</v>
      </c>
      <c r="C16" s="12" t="s">
        <v>63</v>
      </c>
      <c r="D16" s="17">
        <v>150</v>
      </c>
      <c r="E16" s="22"/>
      <c r="F16" s="22">
        <v>155</v>
      </c>
      <c r="G16" s="110"/>
    </row>
    <row r="17" spans="2:13" x14ac:dyDescent="0.25">
      <c r="C17" s="2"/>
      <c r="D17" s="1"/>
      <c r="E17" s="3"/>
      <c r="L17" s="21" t="s">
        <v>661</v>
      </c>
    </row>
    <row r="18" spans="2:13" x14ac:dyDescent="0.25">
      <c r="C18" s="2"/>
      <c r="D18" s="2"/>
      <c r="E18" s="3"/>
    </row>
    <row r="19" spans="2:13" x14ac:dyDescent="0.25">
      <c r="E19" s="3"/>
    </row>
    <row r="20" spans="2:13" x14ac:dyDescent="0.25">
      <c r="E20" s="3"/>
    </row>
    <row r="21" spans="2:13" ht="15.75" customHeight="1" x14ac:dyDescent="0.25">
      <c r="E21" s="3"/>
    </row>
    <row r="22" spans="2:13" ht="15.75" customHeight="1" x14ac:dyDescent="0.25">
      <c r="E22" s="3"/>
    </row>
    <row r="23" spans="2:13" ht="15.75" customHeight="1" x14ac:dyDescent="0.25">
      <c r="E23" s="3"/>
    </row>
    <row r="24" spans="2:13" ht="15.75" customHeight="1" x14ac:dyDescent="0.25">
      <c r="B24" s="304" t="s">
        <v>519</v>
      </c>
      <c r="C24" s="297"/>
      <c r="D24" s="297"/>
      <c r="E24" s="297"/>
      <c r="F24" s="154"/>
      <c r="I24" s="3"/>
    </row>
    <row r="25" spans="2:13" ht="15.75" customHeight="1" x14ac:dyDescent="0.2">
      <c r="B25" s="4" t="s">
        <v>0</v>
      </c>
      <c r="C25" s="5" t="s">
        <v>1</v>
      </c>
      <c r="D25" s="5" t="s">
        <v>2</v>
      </c>
      <c r="E25" s="5" t="s">
        <v>43</v>
      </c>
      <c r="F25" s="45" t="s">
        <v>125</v>
      </c>
      <c r="H25" s="296" t="s">
        <v>6</v>
      </c>
      <c r="I25" s="297"/>
      <c r="J25" s="297"/>
      <c r="K25" s="297"/>
      <c r="L25" s="297"/>
      <c r="M25" s="298"/>
    </row>
    <row r="26" spans="2:13" ht="15.75" customHeight="1" x14ac:dyDescent="0.2">
      <c r="B26" s="9" t="s">
        <v>7</v>
      </c>
      <c r="C26" s="302" t="s">
        <v>9</v>
      </c>
      <c r="D26" s="11">
        <v>28.1</v>
      </c>
      <c r="E26" s="11"/>
      <c r="F26" s="11">
        <v>35</v>
      </c>
      <c r="H26" s="296" t="s">
        <v>106</v>
      </c>
      <c r="I26" s="297"/>
      <c r="J26" s="298"/>
      <c r="K26" s="296" t="s">
        <v>107</v>
      </c>
      <c r="L26" s="297"/>
      <c r="M26" s="298"/>
    </row>
    <row r="27" spans="2:13" ht="15.75" customHeight="1" x14ac:dyDescent="0.2">
      <c r="B27" s="9" t="s">
        <v>17</v>
      </c>
      <c r="C27" s="300"/>
      <c r="D27" s="11">
        <v>63.911000000000001</v>
      </c>
      <c r="E27" s="11"/>
      <c r="F27" s="11">
        <v>49</v>
      </c>
      <c r="H27" s="13" t="s">
        <v>13</v>
      </c>
      <c r="I27" s="14"/>
      <c r="J27" s="17" t="s">
        <v>756</v>
      </c>
      <c r="K27" s="13" t="s">
        <v>13</v>
      </c>
      <c r="L27" s="14">
        <f>L29+L29*0.05</f>
        <v>682.5</v>
      </c>
      <c r="M27" s="17" t="s">
        <v>758</v>
      </c>
    </row>
    <row r="28" spans="2:13" ht="15.75" customHeight="1" x14ac:dyDescent="0.2">
      <c r="B28" s="9" t="s">
        <v>26</v>
      </c>
      <c r="C28" s="300"/>
      <c r="D28" s="11">
        <v>69.921999999999997</v>
      </c>
      <c r="E28" s="11"/>
      <c r="F28" s="11">
        <v>50</v>
      </c>
      <c r="H28" s="13" t="s">
        <v>19</v>
      </c>
      <c r="I28" s="18"/>
      <c r="J28" s="17" t="s">
        <v>759</v>
      </c>
      <c r="K28" s="13" t="s">
        <v>19</v>
      </c>
      <c r="L28" s="18">
        <f>L29-L29*0.05</f>
        <v>617.5</v>
      </c>
      <c r="M28" s="17" t="s">
        <v>761</v>
      </c>
    </row>
    <row r="29" spans="2:13" ht="15.75" customHeight="1" x14ac:dyDescent="0.2">
      <c r="B29" s="9" t="s">
        <v>32</v>
      </c>
      <c r="C29" s="300"/>
      <c r="D29" s="11">
        <v>96.744</v>
      </c>
      <c r="E29" s="11"/>
      <c r="F29" s="11">
        <v>75</v>
      </c>
      <c r="H29" s="13" t="s">
        <v>27</v>
      </c>
      <c r="I29" s="20"/>
      <c r="J29" s="17" t="s">
        <v>763</v>
      </c>
      <c r="K29" s="13" t="s">
        <v>27</v>
      </c>
      <c r="L29" s="20">
        <v>650</v>
      </c>
      <c r="M29" s="17" t="s">
        <v>766</v>
      </c>
    </row>
    <row r="30" spans="2:13" ht="15.75" customHeight="1" x14ac:dyDescent="0.2">
      <c r="B30" s="9" t="s">
        <v>33</v>
      </c>
      <c r="C30" s="301"/>
      <c r="D30" s="11">
        <v>128.11000000000001</v>
      </c>
      <c r="E30" s="11"/>
      <c r="F30" s="11">
        <v>110</v>
      </c>
      <c r="H30" s="13" t="s">
        <v>121</v>
      </c>
      <c r="I30" s="20"/>
      <c r="J30" s="17" t="s">
        <v>767</v>
      </c>
      <c r="K30" s="13" t="s">
        <v>121</v>
      </c>
      <c r="L30" s="20">
        <v>653</v>
      </c>
      <c r="M30" s="17" t="s">
        <v>768</v>
      </c>
    </row>
    <row r="31" spans="2:13" ht="15.75" customHeight="1" x14ac:dyDescent="0.25">
      <c r="B31" s="296"/>
      <c r="C31" s="297"/>
      <c r="D31" s="297"/>
      <c r="E31" s="297"/>
      <c r="F31" s="11"/>
      <c r="I31" s="3"/>
    </row>
    <row r="32" spans="2:13" ht="15.75" customHeight="1" x14ac:dyDescent="0.25">
      <c r="B32" s="9" t="s">
        <v>35</v>
      </c>
      <c r="C32" s="302" t="s">
        <v>36</v>
      </c>
      <c r="D32" s="11">
        <v>207.78</v>
      </c>
      <c r="E32" s="11"/>
      <c r="F32" s="11">
        <v>388</v>
      </c>
      <c r="I32" s="3"/>
    </row>
    <row r="33" spans="2:9" ht="15.75" customHeight="1" x14ac:dyDescent="0.25">
      <c r="B33" s="9" t="s">
        <v>37</v>
      </c>
      <c r="C33" s="300"/>
      <c r="D33" s="11">
        <v>444.11</v>
      </c>
      <c r="E33" s="11"/>
      <c r="F33" s="11">
        <v>455</v>
      </c>
      <c r="I33" s="3"/>
    </row>
    <row r="34" spans="2:9" ht="15.75" customHeight="1" x14ac:dyDescent="0.25">
      <c r="B34" s="9" t="s">
        <v>38</v>
      </c>
      <c r="C34" s="300"/>
      <c r="D34" s="11">
        <v>579.55999999999995</v>
      </c>
      <c r="E34" s="11"/>
      <c r="F34" s="11">
        <v>535</v>
      </c>
      <c r="I34" s="3"/>
    </row>
    <row r="35" spans="2:9" ht="15.75" customHeight="1" x14ac:dyDescent="0.25">
      <c r="B35" s="9" t="s">
        <v>39</v>
      </c>
      <c r="C35" s="300"/>
      <c r="D35" s="11">
        <v>746.22</v>
      </c>
      <c r="E35" s="11"/>
      <c r="F35" s="11">
        <v>702</v>
      </c>
      <c r="I35" s="3"/>
    </row>
    <row r="36" spans="2:9" ht="15.75" customHeight="1" x14ac:dyDescent="0.25">
      <c r="B36" s="49" t="s">
        <v>41</v>
      </c>
      <c r="C36" s="300"/>
      <c r="D36" s="51">
        <v>869.5</v>
      </c>
      <c r="E36" s="51"/>
      <c r="F36" s="51">
        <v>802</v>
      </c>
      <c r="I36" s="3"/>
    </row>
    <row r="37" spans="2:9" ht="15.75" customHeight="1" x14ac:dyDescent="0.25">
      <c r="B37" s="308"/>
      <c r="C37" s="297"/>
      <c r="D37" s="297"/>
      <c r="E37" s="297"/>
      <c r="F37" s="306"/>
      <c r="I37" s="3"/>
    </row>
    <row r="38" spans="2:9" ht="15.75" customHeight="1" x14ac:dyDescent="0.25">
      <c r="B38" s="9" t="s">
        <v>46</v>
      </c>
      <c r="C38" s="299" t="s">
        <v>47</v>
      </c>
      <c r="D38" s="11">
        <v>88.4</v>
      </c>
      <c r="E38" s="11"/>
      <c r="F38" s="11">
        <v>68</v>
      </c>
      <c r="I38" s="3"/>
    </row>
    <row r="39" spans="2:9" ht="15.75" customHeight="1" x14ac:dyDescent="0.25">
      <c r="B39" s="9" t="s">
        <v>48</v>
      </c>
      <c r="C39" s="300"/>
      <c r="D39" s="11">
        <v>94.6</v>
      </c>
      <c r="E39" s="11"/>
      <c r="F39" s="11">
        <v>70</v>
      </c>
      <c r="I39" s="3"/>
    </row>
    <row r="40" spans="2:9" ht="15.75" customHeight="1" x14ac:dyDescent="0.25">
      <c r="B40" s="296"/>
      <c r="C40" s="297"/>
      <c r="D40" s="297"/>
      <c r="E40" s="297"/>
      <c r="F40" s="11"/>
      <c r="I40" s="3"/>
    </row>
    <row r="41" spans="2:9" ht="15.75" customHeight="1" x14ac:dyDescent="0.25">
      <c r="B41" s="9" t="s">
        <v>50</v>
      </c>
      <c r="C41" s="302" t="s">
        <v>51</v>
      </c>
      <c r="D41" s="11">
        <v>271.44400000000002</v>
      </c>
      <c r="E41" s="11"/>
      <c r="F41" s="11">
        <v>515</v>
      </c>
      <c r="I41" s="3"/>
    </row>
    <row r="42" spans="2:9" ht="15.75" customHeight="1" x14ac:dyDescent="0.25">
      <c r="B42" s="9" t="s">
        <v>54</v>
      </c>
      <c r="C42" s="300"/>
      <c r="D42" s="11">
        <v>550.22199999999998</v>
      </c>
      <c r="E42" s="11"/>
      <c r="F42" s="11">
        <v>535</v>
      </c>
      <c r="I42" s="3"/>
    </row>
    <row r="43" spans="2:9" ht="15.75" customHeight="1" x14ac:dyDescent="0.25">
      <c r="B43" s="9" t="s">
        <v>55</v>
      </c>
      <c r="C43" s="300"/>
      <c r="D43" s="11">
        <v>609</v>
      </c>
      <c r="E43" s="11"/>
      <c r="F43" s="11">
        <v>634</v>
      </c>
      <c r="I43" s="3"/>
    </row>
    <row r="44" spans="2:9" ht="15.75" customHeight="1" x14ac:dyDescent="0.25">
      <c r="B44" s="9" t="s">
        <v>56</v>
      </c>
      <c r="C44" s="300"/>
      <c r="D44" s="11">
        <v>739.11099999999999</v>
      </c>
      <c r="E44" s="11"/>
      <c r="F44" s="11">
        <v>692</v>
      </c>
      <c r="I44" s="3"/>
    </row>
    <row r="45" spans="2:9" ht="15.75" customHeight="1" x14ac:dyDescent="0.25">
      <c r="B45" s="49" t="s">
        <v>57</v>
      </c>
      <c r="C45" s="300"/>
      <c r="D45" s="51">
        <v>746.88900000000001</v>
      </c>
      <c r="E45" s="51"/>
      <c r="F45" s="51">
        <v>605</v>
      </c>
      <c r="I45" s="3"/>
    </row>
    <row r="46" spans="2:9" ht="15.75" customHeight="1" x14ac:dyDescent="0.25">
      <c r="B46" s="308"/>
      <c r="C46" s="297"/>
      <c r="D46" s="297"/>
      <c r="E46" s="297"/>
      <c r="F46" s="306"/>
      <c r="I46" s="3"/>
    </row>
    <row r="47" spans="2:9" ht="15.75" customHeight="1" x14ac:dyDescent="0.25">
      <c r="B47" s="9" t="s">
        <v>60</v>
      </c>
      <c r="C47" s="299" t="s">
        <v>62</v>
      </c>
      <c r="D47" s="11">
        <v>19.36</v>
      </c>
      <c r="E47" s="11"/>
      <c r="F47" s="11">
        <v>18</v>
      </c>
      <c r="I47" s="3"/>
    </row>
    <row r="48" spans="2:9" ht="15.75" customHeight="1" x14ac:dyDescent="0.25">
      <c r="B48" s="9" t="s">
        <v>64</v>
      </c>
      <c r="C48" s="300"/>
      <c r="D48" s="11">
        <v>33.31</v>
      </c>
      <c r="E48" s="11"/>
      <c r="F48" s="11">
        <v>18</v>
      </c>
      <c r="I48" s="3"/>
    </row>
    <row r="49" spans="2:9" ht="15.75" customHeight="1" x14ac:dyDescent="0.25">
      <c r="B49" s="9" t="s">
        <v>65</v>
      </c>
      <c r="C49" s="301"/>
      <c r="D49" s="11">
        <v>41.74</v>
      </c>
      <c r="E49" s="11"/>
      <c r="F49" s="11">
        <v>21</v>
      </c>
      <c r="I49" s="3"/>
    </row>
    <row r="50" spans="2:9" ht="15.75" customHeight="1" x14ac:dyDescent="0.25">
      <c r="B50" s="296"/>
      <c r="C50" s="297"/>
      <c r="D50" s="297"/>
      <c r="E50" s="297"/>
      <c r="F50" s="11"/>
      <c r="I50" s="3"/>
    </row>
    <row r="51" spans="2:9" ht="15.75" customHeight="1" x14ac:dyDescent="0.25">
      <c r="B51" s="9" t="s">
        <v>66</v>
      </c>
      <c r="C51" s="302" t="s">
        <v>68</v>
      </c>
      <c r="D51" s="11">
        <v>204.5</v>
      </c>
      <c r="E51" s="11"/>
      <c r="F51" s="11">
        <v>195</v>
      </c>
      <c r="I51" s="3"/>
    </row>
    <row r="52" spans="2:9" ht="15.75" customHeight="1" x14ac:dyDescent="0.25">
      <c r="B52" s="49" t="s">
        <v>69</v>
      </c>
      <c r="C52" s="300"/>
      <c r="D52" s="51">
        <v>277.7</v>
      </c>
      <c r="E52" s="51"/>
      <c r="F52" s="51">
        <v>223</v>
      </c>
      <c r="I52" s="3"/>
    </row>
    <row r="53" spans="2:9" ht="15.75" customHeight="1" x14ac:dyDescent="0.25">
      <c r="B53" s="305"/>
      <c r="C53" s="297"/>
      <c r="D53" s="297"/>
      <c r="E53" s="297"/>
      <c r="F53" s="306"/>
      <c r="I53" s="3"/>
    </row>
    <row r="54" spans="2:9" ht="15.75" customHeight="1" x14ac:dyDescent="0.25">
      <c r="B54" s="9" t="s">
        <v>69</v>
      </c>
      <c r="C54" s="299" t="s">
        <v>71</v>
      </c>
      <c r="D54" s="11">
        <v>10.283300000000001</v>
      </c>
      <c r="E54" s="11"/>
      <c r="F54" s="11">
        <v>4</v>
      </c>
      <c r="I54" s="3"/>
    </row>
    <row r="55" spans="2:9" ht="15.75" customHeight="1" x14ac:dyDescent="0.25">
      <c r="B55" s="9" t="s">
        <v>72</v>
      </c>
      <c r="C55" s="300"/>
      <c r="D55" s="11">
        <v>11.8833</v>
      </c>
      <c r="E55" s="11"/>
      <c r="F55" s="11">
        <v>5</v>
      </c>
      <c r="I55" s="3"/>
    </row>
    <row r="56" spans="2:9" ht="15.75" customHeight="1" x14ac:dyDescent="0.25">
      <c r="B56" s="9" t="s">
        <v>73</v>
      </c>
      <c r="C56" s="301"/>
      <c r="D56" s="11">
        <v>17.433299999999999</v>
      </c>
      <c r="E56" s="11"/>
      <c r="F56" s="11">
        <v>6</v>
      </c>
      <c r="I56" s="3"/>
    </row>
    <row r="57" spans="2:9" ht="15.75" customHeight="1" x14ac:dyDescent="0.25">
      <c r="B57" s="296"/>
      <c r="C57" s="297"/>
      <c r="D57" s="297"/>
      <c r="E57" s="297"/>
      <c r="F57" s="11"/>
      <c r="I57" s="3"/>
    </row>
    <row r="58" spans="2:9" ht="15.75" customHeight="1" x14ac:dyDescent="0.25">
      <c r="B58" s="9" t="s">
        <v>76</v>
      </c>
      <c r="C58" s="302" t="s">
        <v>77</v>
      </c>
      <c r="D58" s="11">
        <v>117.467</v>
      </c>
      <c r="E58" s="11"/>
      <c r="F58" s="11">
        <v>123</v>
      </c>
      <c r="I58" s="3"/>
    </row>
    <row r="59" spans="2:9" ht="15.75" customHeight="1" x14ac:dyDescent="0.25">
      <c r="B59" s="9" t="s">
        <v>78</v>
      </c>
      <c r="C59" s="300"/>
      <c r="D59" s="11">
        <v>187.833</v>
      </c>
      <c r="E59" s="11"/>
      <c r="F59" s="11">
        <v>111</v>
      </c>
      <c r="I59" s="3"/>
    </row>
    <row r="60" spans="2:9" ht="15.75" customHeight="1" x14ac:dyDescent="0.25">
      <c r="B60" s="9" t="s">
        <v>79</v>
      </c>
      <c r="C60" s="300"/>
      <c r="D60" s="11">
        <v>218.333</v>
      </c>
      <c r="E60" s="11"/>
      <c r="F60" s="11">
        <v>176</v>
      </c>
      <c r="I60" s="3"/>
    </row>
    <row r="61" spans="2:9" ht="15.75" customHeight="1" x14ac:dyDescent="0.25">
      <c r="B61" s="49" t="s">
        <v>80</v>
      </c>
      <c r="C61" s="300"/>
      <c r="D61" s="51">
        <v>238.5</v>
      </c>
      <c r="E61" s="51"/>
      <c r="F61" s="51">
        <v>108</v>
      </c>
      <c r="I61" s="3"/>
    </row>
    <row r="62" spans="2:9" ht="15.75" customHeight="1" x14ac:dyDescent="0.25">
      <c r="B62" s="305"/>
      <c r="C62" s="297"/>
      <c r="D62" s="297"/>
      <c r="E62" s="297"/>
      <c r="F62" s="306"/>
      <c r="I62" s="3"/>
    </row>
    <row r="63" spans="2:9" ht="15.75" customHeight="1" x14ac:dyDescent="0.25">
      <c r="B63" s="9" t="s">
        <v>81</v>
      </c>
      <c r="C63" s="299" t="s">
        <v>82</v>
      </c>
      <c r="D63" s="11">
        <v>2</v>
      </c>
      <c r="E63" s="11"/>
      <c r="F63" s="11">
        <v>5</v>
      </c>
      <c r="I63" s="3"/>
    </row>
    <row r="64" spans="2:9" ht="15.75" customHeight="1" x14ac:dyDescent="0.25">
      <c r="B64" s="9" t="s">
        <v>83</v>
      </c>
      <c r="C64" s="300"/>
      <c r="D64" s="11">
        <v>7.133</v>
      </c>
      <c r="E64" s="11"/>
      <c r="F64" s="11">
        <v>4</v>
      </c>
      <c r="I64" s="3"/>
    </row>
    <row r="65" spans="1:25" ht="15.75" customHeight="1" x14ac:dyDescent="0.25">
      <c r="B65" s="9" t="s">
        <v>84</v>
      </c>
      <c r="C65" s="301"/>
      <c r="D65" s="11">
        <v>10.72</v>
      </c>
      <c r="E65" s="11"/>
      <c r="F65" s="11">
        <v>5</v>
      </c>
      <c r="I65" s="3"/>
    </row>
    <row r="66" spans="1:25" ht="15.75" customHeight="1" x14ac:dyDescent="0.25">
      <c r="B66" s="296"/>
      <c r="C66" s="297"/>
      <c r="D66" s="297"/>
      <c r="E66" s="297"/>
      <c r="F66" s="11"/>
      <c r="I66" s="3"/>
    </row>
    <row r="67" spans="1:25" ht="15.75" customHeight="1" x14ac:dyDescent="0.25">
      <c r="B67" s="9" t="s">
        <v>86</v>
      </c>
      <c r="C67" s="302" t="s">
        <v>87</v>
      </c>
      <c r="D67" s="11">
        <v>20.466999999999999</v>
      </c>
      <c r="E67" s="11"/>
      <c r="F67" s="11">
        <v>19</v>
      </c>
      <c r="I67" s="3"/>
    </row>
    <row r="68" spans="1:25" ht="15.75" customHeight="1" x14ac:dyDescent="0.25">
      <c r="B68" s="49" t="s">
        <v>88</v>
      </c>
      <c r="C68" s="300"/>
      <c r="D68" s="51">
        <v>20.367000000000001</v>
      </c>
      <c r="E68" s="51"/>
      <c r="F68" s="51">
        <v>19</v>
      </c>
      <c r="I68" s="3"/>
    </row>
    <row r="69" spans="1:25" ht="15.75" customHeight="1" x14ac:dyDescent="0.25">
      <c r="B69" s="305"/>
      <c r="C69" s="297"/>
      <c r="D69" s="297"/>
      <c r="E69" s="297"/>
      <c r="F69" s="306"/>
      <c r="I69" s="3"/>
    </row>
    <row r="70" spans="1:25" ht="15.75" customHeight="1" x14ac:dyDescent="0.25">
      <c r="B70" s="9" t="s">
        <v>89</v>
      </c>
      <c r="C70" s="299" t="s">
        <v>90</v>
      </c>
      <c r="D70" s="11">
        <v>5.15</v>
      </c>
      <c r="E70" s="11"/>
      <c r="F70" s="11">
        <v>13</v>
      </c>
      <c r="I70" s="3"/>
    </row>
    <row r="71" spans="1:25" ht="15.75" customHeight="1" x14ac:dyDescent="0.25">
      <c r="B71" s="49" t="s">
        <v>91</v>
      </c>
      <c r="C71" s="300"/>
      <c r="D71" s="51">
        <v>16.2</v>
      </c>
      <c r="E71" s="51"/>
      <c r="F71" s="51">
        <v>13</v>
      </c>
      <c r="I71" s="3"/>
    </row>
    <row r="72" spans="1:25" ht="15.75" customHeight="1" x14ac:dyDescent="0.25">
      <c r="B72" s="296"/>
      <c r="C72" s="297"/>
      <c r="D72" s="297"/>
      <c r="E72" s="297"/>
      <c r="F72" s="298"/>
      <c r="I72" s="3"/>
    </row>
    <row r="73" spans="1:25" ht="15.75" customHeight="1" x14ac:dyDescent="0.25">
      <c r="B73" s="9" t="s">
        <v>94</v>
      </c>
      <c r="C73" s="299" t="s">
        <v>95</v>
      </c>
      <c r="D73" s="11">
        <v>50.082999999999998</v>
      </c>
      <c r="E73" s="11"/>
      <c r="F73" s="11">
        <v>48</v>
      </c>
      <c r="I73" s="3"/>
    </row>
    <row r="74" spans="1:25" ht="15.75" customHeight="1" x14ac:dyDescent="0.25">
      <c r="B74" s="9" t="s">
        <v>96</v>
      </c>
      <c r="C74" s="300"/>
      <c r="D74" s="11">
        <v>93.992999999999995</v>
      </c>
      <c r="E74" s="11"/>
      <c r="F74" s="11">
        <v>57</v>
      </c>
      <c r="I74" s="3"/>
    </row>
    <row r="75" spans="1:25" ht="15.75" customHeight="1" x14ac:dyDescent="0.25">
      <c r="B75" s="9" t="s">
        <v>97</v>
      </c>
      <c r="C75" s="300"/>
      <c r="D75" s="11">
        <v>95.516999999999996</v>
      </c>
      <c r="E75" s="11"/>
      <c r="F75" s="11">
        <v>47</v>
      </c>
      <c r="I75" s="3"/>
    </row>
    <row r="76" spans="1:25" ht="15.75" customHeight="1" x14ac:dyDescent="0.25">
      <c r="B76" s="9" t="s">
        <v>98</v>
      </c>
      <c r="C76" s="300"/>
      <c r="D76" s="11">
        <v>100.92</v>
      </c>
      <c r="E76" s="11"/>
      <c r="F76" s="11">
        <v>70</v>
      </c>
      <c r="I76" s="3"/>
    </row>
    <row r="77" spans="1:25" ht="15.75" customHeight="1" x14ac:dyDescent="0.25">
      <c r="B77" s="9" t="s">
        <v>99</v>
      </c>
      <c r="C77" s="301"/>
      <c r="D77" s="11">
        <v>115.37</v>
      </c>
      <c r="E77" s="11"/>
      <c r="F77" s="11">
        <v>79</v>
      </c>
      <c r="I77" s="3"/>
    </row>
    <row r="78" spans="1:25" ht="15.75" customHeight="1" x14ac:dyDescent="0.25">
      <c r="E78" s="3"/>
    </row>
    <row r="79" spans="1:25" ht="15.75" customHeight="1" x14ac:dyDescent="0.25">
      <c r="A79" s="345"/>
      <c r="B79" s="297"/>
      <c r="C79" s="297"/>
      <c r="D79" s="297"/>
      <c r="E79" s="297"/>
      <c r="F79" s="297"/>
      <c r="G79" s="297"/>
      <c r="H79" s="297"/>
      <c r="I79" s="297"/>
      <c r="J79" s="297"/>
      <c r="K79" s="297"/>
      <c r="L79" s="297"/>
      <c r="M79" s="297"/>
      <c r="N79" s="297"/>
      <c r="O79" s="297"/>
      <c r="P79" s="297"/>
      <c r="Q79" s="297"/>
      <c r="R79" s="297"/>
      <c r="S79" s="297"/>
      <c r="T79" s="297"/>
      <c r="U79" s="297"/>
      <c r="V79" s="297"/>
      <c r="W79" s="297"/>
      <c r="X79" s="297"/>
      <c r="Y79" s="298"/>
    </row>
    <row r="80" spans="1:25" ht="15.75" customHeight="1" x14ac:dyDescent="0.3">
      <c r="A80" s="161" t="s">
        <v>353</v>
      </c>
      <c r="B80" s="163" t="s">
        <v>775</v>
      </c>
      <c r="E80" s="3"/>
      <c r="Y80" s="346"/>
    </row>
    <row r="81" spans="1:25" ht="15.75" customHeight="1" x14ac:dyDescent="0.3">
      <c r="A81" s="164" t="s">
        <v>360</v>
      </c>
      <c r="B81" s="165">
        <v>43174</v>
      </c>
      <c r="E81" s="3"/>
      <c r="Y81" s="300"/>
    </row>
    <row r="82" spans="1:25" ht="15.75" customHeight="1" x14ac:dyDescent="0.3">
      <c r="E82" s="3"/>
      <c r="L82" s="320" t="s">
        <v>153</v>
      </c>
      <c r="M82" s="297"/>
      <c r="N82" s="297"/>
      <c r="O82" s="297"/>
      <c r="P82" s="297"/>
      <c r="Q82" s="298"/>
      <c r="S82" s="321" t="s">
        <v>154</v>
      </c>
      <c r="T82" s="322"/>
      <c r="U82" s="322"/>
      <c r="V82" s="322"/>
      <c r="W82" s="323"/>
      <c r="Y82" s="300"/>
    </row>
    <row r="83" spans="1:25" ht="15.75" customHeight="1" x14ac:dyDescent="0.2">
      <c r="A83" s="156" t="s">
        <v>0</v>
      </c>
      <c r="B83" s="157" t="s">
        <v>1</v>
      </c>
      <c r="C83" s="157" t="s">
        <v>42</v>
      </c>
      <c r="D83" s="157" t="s">
        <v>43</v>
      </c>
      <c r="E83" s="157" t="s">
        <v>44</v>
      </c>
      <c r="G83" s="296" t="s">
        <v>45</v>
      </c>
      <c r="H83" s="297"/>
      <c r="I83" s="297"/>
      <c r="J83" s="298"/>
      <c r="L83" s="311" t="s">
        <v>157</v>
      </c>
      <c r="M83" s="312"/>
      <c r="N83" s="312"/>
      <c r="O83" s="312"/>
      <c r="P83" s="312"/>
      <c r="Q83" s="313"/>
      <c r="S83" s="325" t="s">
        <v>157</v>
      </c>
      <c r="T83" s="297"/>
      <c r="U83" s="297"/>
      <c r="V83" s="297"/>
      <c r="W83" s="298"/>
      <c r="Y83" s="300"/>
    </row>
    <row r="84" spans="1:25" ht="15.75" customHeight="1" x14ac:dyDescent="0.2">
      <c r="A84" s="310" t="s">
        <v>8</v>
      </c>
      <c r="B84" s="297"/>
      <c r="C84" s="297"/>
      <c r="D84" s="297"/>
      <c r="E84" s="298"/>
      <c r="G84" s="305" t="s">
        <v>10</v>
      </c>
      <c r="H84" s="297"/>
      <c r="I84" s="297"/>
      <c r="J84" s="298"/>
      <c r="L84" s="317"/>
      <c r="M84" s="318"/>
      <c r="N84" s="318"/>
      <c r="O84" s="318"/>
      <c r="P84" s="318"/>
      <c r="Q84" s="319"/>
      <c r="S84" s="58" t="s">
        <v>160</v>
      </c>
      <c r="T84" s="59" t="s">
        <v>161</v>
      </c>
      <c r="U84" s="59" t="s">
        <v>162</v>
      </c>
      <c r="V84" s="61" t="s">
        <v>163</v>
      </c>
      <c r="W84" s="62" t="s">
        <v>165</v>
      </c>
      <c r="Y84" s="300"/>
    </row>
    <row r="85" spans="1:25" ht="15.75" customHeight="1" x14ac:dyDescent="0.25">
      <c r="A85" s="9" t="s">
        <v>11</v>
      </c>
      <c r="B85" s="9" t="s">
        <v>12</v>
      </c>
      <c r="C85" s="11">
        <v>487</v>
      </c>
      <c r="D85" s="22">
        <v>531</v>
      </c>
      <c r="E85" s="11">
        <v>487</v>
      </c>
      <c r="G85" s="12"/>
      <c r="H85" s="12" t="s">
        <v>52</v>
      </c>
      <c r="I85" s="12" t="s">
        <v>53</v>
      </c>
      <c r="J85" s="12"/>
      <c r="L85" s="63" t="s">
        <v>168</v>
      </c>
      <c r="M85" s="64" t="s">
        <v>169</v>
      </c>
      <c r="N85" s="64" t="s">
        <v>171</v>
      </c>
      <c r="O85" s="64" t="s">
        <v>172</v>
      </c>
      <c r="P85" s="65" t="s">
        <v>173</v>
      </c>
      <c r="Q85" s="66" t="s">
        <v>175</v>
      </c>
      <c r="S85" s="63" t="s">
        <v>176</v>
      </c>
      <c r="T85" s="67">
        <v>0.14799999999999999</v>
      </c>
      <c r="U85" s="68">
        <v>2.5009999999999999</v>
      </c>
      <c r="V85" s="70">
        <f t="shared" ref="V85:V89" si="0">+U85/T85</f>
        <v>16.898648648648649</v>
      </c>
      <c r="W85" s="72"/>
      <c r="Y85" s="300"/>
    </row>
    <row r="86" spans="1:25" ht="15.75" customHeight="1" x14ac:dyDescent="0.25">
      <c r="A86" s="9" t="s">
        <v>11</v>
      </c>
      <c r="B86" s="12" t="s">
        <v>18</v>
      </c>
      <c r="C86" s="11">
        <v>0</v>
      </c>
      <c r="D86" s="22">
        <v>0</v>
      </c>
      <c r="E86" s="11">
        <v>0</v>
      </c>
      <c r="G86" s="12" t="s">
        <v>12</v>
      </c>
      <c r="H86" s="17">
        <v>530</v>
      </c>
      <c r="I86" s="11">
        <v>487</v>
      </c>
      <c r="J86" s="17" t="s">
        <v>776</v>
      </c>
      <c r="L86" s="73">
        <v>440</v>
      </c>
      <c r="M86" s="74">
        <v>20</v>
      </c>
      <c r="N86" s="74">
        <f>+U85</f>
        <v>2.5009999999999999</v>
      </c>
      <c r="O86" s="76">
        <f>+U88</f>
        <v>0</v>
      </c>
      <c r="P86" s="77">
        <f>+U86</f>
        <v>2.2480000000000002</v>
      </c>
      <c r="Q86" s="78">
        <f>(L86-M86)*(N86-O86)/(P86-O86)+M86</f>
        <v>487.26868327402121</v>
      </c>
      <c r="S86" s="80" t="s">
        <v>188</v>
      </c>
      <c r="T86" s="74">
        <v>0.13900000000000001</v>
      </c>
      <c r="U86" s="82">
        <v>2.2480000000000002</v>
      </c>
      <c r="V86" s="84">
        <f t="shared" si="0"/>
        <v>16.172661870503596</v>
      </c>
      <c r="W86" s="86">
        <f>(U86-U88)/(U85-U88)</f>
        <v>0.89884046381447436</v>
      </c>
      <c r="Y86" s="300"/>
    </row>
    <row r="87" spans="1:25" ht="15.75" customHeight="1" x14ac:dyDescent="0.25">
      <c r="A87" s="9" t="s">
        <v>21</v>
      </c>
      <c r="B87" s="12" t="s">
        <v>59</v>
      </c>
      <c r="C87" s="11">
        <v>440</v>
      </c>
      <c r="D87" s="22">
        <v>414</v>
      </c>
      <c r="E87" s="11">
        <v>447</v>
      </c>
      <c r="G87" s="12" t="s">
        <v>18</v>
      </c>
      <c r="H87" s="17">
        <v>0</v>
      </c>
      <c r="I87" s="11">
        <v>0</v>
      </c>
      <c r="J87" s="17" t="s">
        <v>777</v>
      </c>
      <c r="L87" s="73" t="s">
        <v>168</v>
      </c>
      <c r="M87" s="74" t="s">
        <v>171</v>
      </c>
      <c r="N87" s="74" t="s">
        <v>190</v>
      </c>
      <c r="O87" s="74" t="s">
        <v>191</v>
      </c>
      <c r="P87" s="77" t="s">
        <v>173</v>
      </c>
      <c r="Q87" s="87" t="s">
        <v>192</v>
      </c>
      <c r="S87" s="80" t="s">
        <v>193</v>
      </c>
      <c r="T87" s="74">
        <v>0.109</v>
      </c>
      <c r="U87" s="82">
        <v>0.38100000000000001</v>
      </c>
      <c r="V87" s="84">
        <f t="shared" si="0"/>
        <v>3.4954128440366974</v>
      </c>
      <c r="W87" s="86">
        <f>(U87-U88)/(U85-U88)</f>
        <v>0.15233906437425032</v>
      </c>
      <c r="Y87" s="300"/>
    </row>
    <row r="88" spans="1:25" ht="15.75" customHeight="1" x14ac:dyDescent="0.25">
      <c r="A88" s="49" t="s">
        <v>21</v>
      </c>
      <c r="B88" s="10" t="s">
        <v>63</v>
      </c>
      <c r="C88" s="51">
        <v>160</v>
      </c>
      <c r="D88" s="169">
        <v>164</v>
      </c>
      <c r="E88" s="51">
        <v>161</v>
      </c>
      <c r="G88" s="305" t="s">
        <v>23</v>
      </c>
      <c r="H88" s="297"/>
      <c r="I88" s="297"/>
      <c r="J88" s="298"/>
      <c r="L88" s="73">
        <v>160</v>
      </c>
      <c r="M88" s="74">
        <f>+U85</f>
        <v>2.5009999999999999</v>
      </c>
      <c r="N88" s="76">
        <f>+U88</f>
        <v>0</v>
      </c>
      <c r="O88" s="89">
        <f>+Q86</f>
        <v>487.26868327402121</v>
      </c>
      <c r="P88" s="77">
        <f>+U87</f>
        <v>0.38100000000000001</v>
      </c>
      <c r="Q88" s="90">
        <f>(L88*(M88-N88)-O88*(P88-N88))/(M88-P88)</f>
        <v>101.18426022292353</v>
      </c>
      <c r="S88" s="80" t="s">
        <v>194</v>
      </c>
      <c r="T88" s="74">
        <v>9.6000000000000002E-2</v>
      </c>
      <c r="U88" s="91">
        <v>0</v>
      </c>
      <c r="V88" s="84">
        <f t="shared" si="0"/>
        <v>0</v>
      </c>
      <c r="W88" s="86"/>
      <c r="Y88" s="300"/>
    </row>
    <row r="89" spans="1:25" ht="15.75" customHeight="1" x14ac:dyDescent="0.25">
      <c r="A89" s="310" t="s">
        <v>29</v>
      </c>
      <c r="B89" s="297"/>
      <c r="C89" s="297"/>
      <c r="D89" s="297"/>
      <c r="E89" s="298"/>
      <c r="G89" s="12" t="s">
        <v>12</v>
      </c>
      <c r="H89" s="17">
        <v>510</v>
      </c>
      <c r="I89" s="11">
        <v>457</v>
      </c>
      <c r="J89" s="17" t="s">
        <v>778</v>
      </c>
      <c r="L89" s="80" t="s">
        <v>196</v>
      </c>
      <c r="M89" s="93"/>
      <c r="N89" s="93"/>
      <c r="O89" s="93"/>
      <c r="P89" s="94"/>
      <c r="Q89" s="95"/>
      <c r="S89" s="96" t="s">
        <v>197</v>
      </c>
      <c r="T89" s="97">
        <v>0.1</v>
      </c>
      <c r="U89" s="99">
        <v>0</v>
      </c>
      <c r="V89" s="100">
        <f t="shared" si="0"/>
        <v>0</v>
      </c>
      <c r="W89" s="101">
        <f>+(U89-U88)/(U85-U88)</f>
        <v>0</v>
      </c>
      <c r="Y89" s="300"/>
    </row>
    <row r="90" spans="1:25" ht="15.75" customHeight="1" x14ac:dyDescent="0.2">
      <c r="A90" s="9" t="s">
        <v>11</v>
      </c>
      <c r="B90" s="9" t="s">
        <v>12</v>
      </c>
      <c r="C90" s="11">
        <v>457</v>
      </c>
      <c r="D90" s="22">
        <v>510</v>
      </c>
      <c r="E90" s="22">
        <v>456</v>
      </c>
      <c r="G90" s="12" t="s">
        <v>18</v>
      </c>
      <c r="H90" s="17">
        <v>0</v>
      </c>
      <c r="I90" s="11">
        <v>0</v>
      </c>
      <c r="J90" s="17" t="s">
        <v>779</v>
      </c>
      <c r="L90" s="80" t="s">
        <v>199</v>
      </c>
      <c r="M90" s="93" t="s">
        <v>169</v>
      </c>
      <c r="N90" s="93" t="s">
        <v>200</v>
      </c>
      <c r="O90" s="93" t="s">
        <v>201</v>
      </c>
      <c r="P90" s="94" t="s">
        <v>191</v>
      </c>
      <c r="Q90" s="87" t="s">
        <v>202</v>
      </c>
      <c r="S90" s="311" t="s">
        <v>203</v>
      </c>
      <c r="T90" s="312"/>
      <c r="U90" s="312"/>
      <c r="V90" s="312"/>
      <c r="W90" s="313"/>
      <c r="Y90" s="300"/>
    </row>
    <row r="91" spans="1:25" ht="15.75" customHeight="1" x14ac:dyDescent="0.2">
      <c r="A91" s="9" t="s">
        <v>11</v>
      </c>
      <c r="B91" s="12" t="s">
        <v>18</v>
      </c>
      <c r="C91" s="11">
        <v>0</v>
      </c>
      <c r="D91" s="22">
        <v>0</v>
      </c>
      <c r="E91" s="22">
        <v>0</v>
      </c>
      <c r="L91" s="102">
        <f>+U89</f>
        <v>0</v>
      </c>
      <c r="M91" s="103">
        <f>+Q88</f>
        <v>101.18426022292353</v>
      </c>
      <c r="N91" s="97">
        <f>+U85</f>
        <v>2.5009999999999999</v>
      </c>
      <c r="O91" s="104">
        <f>+U88</f>
        <v>0</v>
      </c>
      <c r="P91" s="105">
        <f>+Q86</f>
        <v>487.26868327402121</v>
      </c>
      <c r="Q91" s="106">
        <f>M91+(P91-M91)*(L91-O91)/(N91-O91)</f>
        <v>101.18426022292353</v>
      </c>
      <c r="S91" s="314"/>
      <c r="T91" s="315"/>
      <c r="U91" s="315"/>
      <c r="V91" s="315"/>
      <c r="W91" s="316"/>
      <c r="Y91" s="300"/>
    </row>
    <row r="92" spans="1:25" ht="15.75" customHeight="1" x14ac:dyDescent="0.2">
      <c r="A92" s="9" t="s">
        <v>21</v>
      </c>
      <c r="B92" s="12" t="s">
        <v>59</v>
      </c>
      <c r="C92" s="11">
        <v>420</v>
      </c>
      <c r="D92" s="22">
        <v>398</v>
      </c>
      <c r="E92" s="22">
        <v>415</v>
      </c>
      <c r="L92" s="311" t="s">
        <v>204</v>
      </c>
      <c r="M92" s="312"/>
      <c r="N92" s="312"/>
      <c r="O92" s="312"/>
      <c r="P92" s="312"/>
      <c r="Q92" s="313"/>
      <c r="S92" s="317"/>
      <c r="T92" s="318"/>
      <c r="U92" s="318"/>
      <c r="V92" s="318"/>
      <c r="W92" s="319"/>
      <c r="Y92" s="300"/>
    </row>
    <row r="93" spans="1:25" ht="15.75" customHeight="1" x14ac:dyDescent="0.2">
      <c r="A93" s="9" t="s">
        <v>21</v>
      </c>
      <c r="B93" s="12" t="s">
        <v>63</v>
      </c>
      <c r="C93" s="11">
        <v>130</v>
      </c>
      <c r="D93" s="22">
        <v>115</v>
      </c>
      <c r="E93" s="22">
        <v>136</v>
      </c>
      <c r="L93" s="317"/>
      <c r="M93" s="318"/>
      <c r="N93" s="318"/>
      <c r="O93" s="318"/>
      <c r="P93" s="318"/>
      <c r="Q93" s="319"/>
      <c r="S93" s="58" t="s">
        <v>160</v>
      </c>
      <c r="T93" s="59" t="s">
        <v>161</v>
      </c>
      <c r="U93" s="59" t="s">
        <v>162</v>
      </c>
      <c r="V93" s="61" t="s">
        <v>163</v>
      </c>
      <c r="W93" s="62" t="s">
        <v>165</v>
      </c>
      <c r="Y93" s="300"/>
    </row>
    <row r="94" spans="1:25" ht="15.75" customHeight="1" x14ac:dyDescent="0.25">
      <c r="E94" s="3"/>
      <c r="L94" s="63" t="s">
        <v>168</v>
      </c>
      <c r="M94" s="64" t="s">
        <v>169</v>
      </c>
      <c r="N94" s="64" t="s">
        <v>171</v>
      </c>
      <c r="O94" s="64" t="s">
        <v>172</v>
      </c>
      <c r="P94" s="65" t="s">
        <v>173</v>
      </c>
      <c r="Q94" s="66" t="s">
        <v>175</v>
      </c>
      <c r="S94" s="63" t="s">
        <v>176</v>
      </c>
      <c r="T94" s="67">
        <v>0.13800000000000001</v>
      </c>
      <c r="U94" s="68">
        <v>1.877</v>
      </c>
      <c r="V94" s="70">
        <f t="shared" ref="V94:V98" si="1">+U94/T94</f>
        <v>13.601449275362318</v>
      </c>
      <c r="W94" s="107"/>
      <c r="Y94" s="300"/>
    </row>
    <row r="95" spans="1:25" ht="15.75" customHeight="1" x14ac:dyDescent="0.25">
      <c r="E95" s="3"/>
      <c r="L95" s="73">
        <v>420</v>
      </c>
      <c r="M95" s="74">
        <v>-22.5</v>
      </c>
      <c r="N95" s="74">
        <f>+U94</f>
        <v>1.877</v>
      </c>
      <c r="O95" s="76">
        <f>+U97</f>
        <v>0</v>
      </c>
      <c r="P95" s="77">
        <f>+U95</f>
        <v>1.474</v>
      </c>
      <c r="Q95" s="108">
        <f>(L95-M95)*(N95-O95)/(P95-O95)+M95</f>
        <v>540.98202170963361</v>
      </c>
      <c r="S95" s="80" t="s">
        <v>188</v>
      </c>
      <c r="T95" s="74">
        <v>0.125</v>
      </c>
      <c r="U95" s="82">
        <v>1.474</v>
      </c>
      <c r="V95" s="84">
        <f t="shared" si="1"/>
        <v>11.792</v>
      </c>
      <c r="W95" s="86">
        <f>(U95-U97)/(U94-U97)</f>
        <v>0.78529568460309007</v>
      </c>
      <c r="Y95" s="300"/>
    </row>
    <row r="96" spans="1:25" ht="15.75" customHeight="1" x14ac:dyDescent="0.25">
      <c r="E96" s="3"/>
      <c r="L96" s="73" t="s">
        <v>168</v>
      </c>
      <c r="M96" s="74" t="s">
        <v>171</v>
      </c>
      <c r="N96" s="74" t="s">
        <v>190</v>
      </c>
      <c r="O96" s="74" t="s">
        <v>191</v>
      </c>
      <c r="P96" s="77" t="s">
        <v>173</v>
      </c>
      <c r="Q96" s="87" t="s">
        <v>192</v>
      </c>
      <c r="S96" s="80" t="s">
        <v>193</v>
      </c>
      <c r="T96" s="74">
        <v>0.112</v>
      </c>
      <c r="U96" s="91">
        <v>0.53800000000000003</v>
      </c>
      <c r="V96" s="84">
        <f t="shared" si="1"/>
        <v>4.8035714285714288</v>
      </c>
      <c r="W96" s="86">
        <f>(U96-U97)/(U94-U97)</f>
        <v>0.28662759722962178</v>
      </c>
      <c r="Y96" s="300"/>
    </row>
    <row r="97" spans="1:25" ht="15.75" customHeight="1" x14ac:dyDescent="0.25">
      <c r="E97" s="3"/>
      <c r="L97" s="73">
        <v>140</v>
      </c>
      <c r="M97" s="74">
        <f>+U94</f>
        <v>1.877</v>
      </c>
      <c r="N97" s="76">
        <f>+U97</f>
        <v>0</v>
      </c>
      <c r="O97" s="74">
        <f>+Q95</f>
        <v>540.98202170963361</v>
      </c>
      <c r="P97" s="109">
        <f>+U96</f>
        <v>0.53800000000000003</v>
      </c>
      <c r="Q97" s="78">
        <f>(L97*(M97-N97)-O97*(P97-N97))/(M97-P97)</f>
        <v>-21.11152179222027</v>
      </c>
      <c r="S97" s="80" t="s">
        <v>194</v>
      </c>
      <c r="T97" s="74">
        <v>0.10299999999999999</v>
      </c>
      <c r="U97" s="91">
        <v>0</v>
      </c>
      <c r="V97" s="84">
        <f t="shared" si="1"/>
        <v>0</v>
      </c>
      <c r="W97" s="86"/>
      <c r="Y97" s="300"/>
    </row>
    <row r="98" spans="1:25" ht="15.75" customHeight="1" x14ac:dyDescent="0.25">
      <c r="E98" s="3"/>
      <c r="L98" s="80" t="s">
        <v>196</v>
      </c>
      <c r="M98" s="93"/>
      <c r="N98" s="93"/>
      <c r="O98" s="93"/>
      <c r="P98" s="94"/>
      <c r="Q98" s="95"/>
      <c r="S98" s="111" t="s">
        <v>197</v>
      </c>
      <c r="T98" s="112">
        <v>0.105</v>
      </c>
      <c r="U98" s="113">
        <v>0.155</v>
      </c>
      <c r="V98" s="114">
        <f t="shared" si="1"/>
        <v>1.4761904761904763</v>
      </c>
      <c r="W98" s="115">
        <f>+(U98-U97)/(U94-U97)</f>
        <v>8.2578582844965373E-2</v>
      </c>
      <c r="Y98" s="300"/>
    </row>
    <row r="99" spans="1:25" ht="15.75" customHeight="1" x14ac:dyDescent="0.25">
      <c r="E99" s="3"/>
      <c r="L99" s="80" t="s">
        <v>199</v>
      </c>
      <c r="M99" s="93" t="s">
        <v>169</v>
      </c>
      <c r="N99" s="93" t="s">
        <v>200</v>
      </c>
      <c r="O99" s="93" t="s">
        <v>201</v>
      </c>
      <c r="P99" s="94" t="s">
        <v>191</v>
      </c>
      <c r="Q99" s="87" t="s">
        <v>202</v>
      </c>
      <c r="Y99" s="300"/>
    </row>
    <row r="100" spans="1:25" ht="15.75" customHeight="1" x14ac:dyDescent="0.25">
      <c r="E100" s="3"/>
      <c r="L100" s="116">
        <f>+U98</f>
        <v>0.155</v>
      </c>
      <c r="M100" s="117">
        <f>+Q97</f>
        <v>-21.11152179222027</v>
      </c>
      <c r="N100" s="112">
        <f>+U94</f>
        <v>1.877</v>
      </c>
      <c r="O100" s="118">
        <f>+U97</f>
        <v>0</v>
      </c>
      <c r="P100" s="119">
        <f>+Q95</f>
        <v>540.98202170963361</v>
      </c>
      <c r="Q100" s="78">
        <f>M100+(P100-M100)*(L100-O100)/(N100-O100)</f>
        <v>25.30536645646772</v>
      </c>
      <c r="T100" s="121"/>
      <c r="Y100" s="300"/>
    </row>
    <row r="101" spans="1:25" ht="15.75" customHeight="1" x14ac:dyDescent="0.25">
      <c r="E101" s="3"/>
      <c r="Y101" s="301"/>
    </row>
    <row r="102" spans="1:25" ht="15.75" customHeight="1" x14ac:dyDescent="0.25">
      <c r="A102" s="345"/>
      <c r="B102" s="297"/>
      <c r="C102" s="297"/>
      <c r="D102" s="297"/>
      <c r="E102" s="297"/>
      <c r="F102" s="297"/>
      <c r="G102" s="297"/>
      <c r="H102" s="297"/>
      <c r="I102" s="297"/>
      <c r="J102" s="297"/>
      <c r="K102" s="297"/>
      <c r="L102" s="297"/>
      <c r="M102" s="297"/>
      <c r="N102" s="297"/>
      <c r="O102" s="297"/>
      <c r="P102" s="297"/>
      <c r="Q102" s="297"/>
      <c r="R102" s="297"/>
      <c r="S102" s="297"/>
      <c r="T102" s="297"/>
      <c r="U102" s="297"/>
      <c r="V102" s="297"/>
      <c r="W102" s="297"/>
      <c r="X102" s="297"/>
      <c r="Y102" s="298"/>
    </row>
    <row r="103" spans="1:25" ht="15.75" customHeight="1" x14ac:dyDescent="0.25">
      <c r="E103" s="3"/>
    </row>
    <row r="104" spans="1:25" ht="15.75" customHeight="1" x14ac:dyDescent="0.3">
      <c r="A104" s="161" t="s">
        <v>353</v>
      </c>
      <c r="B104" s="163" t="s">
        <v>780</v>
      </c>
      <c r="E104" s="3"/>
    </row>
    <row r="105" spans="1:25" ht="15.75" customHeight="1" x14ac:dyDescent="0.3">
      <c r="A105" s="164" t="s">
        <v>360</v>
      </c>
      <c r="B105" s="165">
        <v>43174</v>
      </c>
      <c r="E105" s="3"/>
    </row>
    <row r="106" spans="1:25" ht="15.75" customHeight="1" x14ac:dyDescent="0.25">
      <c r="A106" s="304" t="s">
        <v>781</v>
      </c>
      <c r="B106" s="297"/>
      <c r="C106" s="297"/>
      <c r="D106" s="297"/>
      <c r="E106" s="298"/>
      <c r="H106" s="3"/>
    </row>
    <row r="107" spans="1:25" ht="15.75" customHeight="1" x14ac:dyDescent="0.2">
      <c r="A107" s="4" t="s">
        <v>0</v>
      </c>
      <c r="B107" s="5" t="s">
        <v>1</v>
      </c>
      <c r="C107" s="5" t="s">
        <v>2</v>
      </c>
      <c r="D107" s="5" t="s">
        <v>43</v>
      </c>
      <c r="E107" s="45" t="s">
        <v>125</v>
      </c>
      <c r="G107" s="296" t="s">
        <v>6</v>
      </c>
      <c r="H107" s="297"/>
      <c r="I107" s="297"/>
      <c r="J107" s="297"/>
      <c r="K107" s="297"/>
      <c r="L107" s="298"/>
    </row>
    <row r="108" spans="1:25" ht="15.75" customHeight="1" x14ac:dyDescent="0.25">
      <c r="A108" s="9" t="s">
        <v>7</v>
      </c>
      <c r="B108" s="302" t="s">
        <v>9</v>
      </c>
      <c r="C108" s="47">
        <v>28.1</v>
      </c>
      <c r="D108" s="11">
        <v>144</v>
      </c>
      <c r="E108" s="47">
        <v>29</v>
      </c>
      <c r="F108" s="21">
        <v>21</v>
      </c>
      <c r="G108" s="296" t="s">
        <v>106</v>
      </c>
      <c r="H108" s="297"/>
      <c r="I108" s="298"/>
      <c r="J108" s="296" t="s">
        <v>107</v>
      </c>
      <c r="K108" s="297"/>
      <c r="L108" s="298"/>
    </row>
    <row r="109" spans="1:25" ht="15.75" customHeight="1" x14ac:dyDescent="0.25">
      <c r="A109" s="9" t="s">
        <v>17</v>
      </c>
      <c r="B109" s="300"/>
      <c r="C109" s="47">
        <v>63.911000000000001</v>
      </c>
      <c r="D109" s="11">
        <v>147</v>
      </c>
      <c r="E109" s="47">
        <v>62</v>
      </c>
      <c r="F109" s="21">
        <v>60</v>
      </c>
      <c r="G109" s="13" t="s">
        <v>13</v>
      </c>
      <c r="H109" s="14">
        <f>+H111+H111*0.1</f>
        <v>715</v>
      </c>
      <c r="I109" s="17" t="s">
        <v>783</v>
      </c>
      <c r="J109" s="13" t="s">
        <v>13</v>
      </c>
      <c r="K109" s="39">
        <f>+K111+K111*0.1</f>
        <v>770</v>
      </c>
      <c r="L109" s="17" t="s">
        <v>784</v>
      </c>
    </row>
    <row r="110" spans="1:25" ht="15.75" customHeight="1" x14ac:dyDescent="0.25">
      <c r="A110" s="9" t="s">
        <v>26</v>
      </c>
      <c r="B110" s="300"/>
      <c r="C110" s="47">
        <v>69.921999999999997</v>
      </c>
      <c r="D110" s="11">
        <v>146</v>
      </c>
      <c r="E110" s="47">
        <v>69</v>
      </c>
      <c r="F110" s="21">
        <v>79</v>
      </c>
      <c r="G110" s="13" t="s">
        <v>19</v>
      </c>
      <c r="H110" s="18">
        <f>+H111-H111*0.1</f>
        <v>585</v>
      </c>
      <c r="I110" s="17" t="s">
        <v>786</v>
      </c>
      <c r="J110" s="13" t="s">
        <v>19</v>
      </c>
      <c r="K110" s="40">
        <f>+K111-K111*0.1</f>
        <v>630</v>
      </c>
      <c r="L110" s="17" t="s">
        <v>788</v>
      </c>
    </row>
    <row r="111" spans="1:25" ht="15.75" customHeight="1" x14ac:dyDescent="0.25">
      <c r="A111" s="9" t="s">
        <v>32</v>
      </c>
      <c r="B111" s="300"/>
      <c r="C111" s="47">
        <v>96.744</v>
      </c>
      <c r="D111" s="11">
        <v>161</v>
      </c>
      <c r="E111" s="47">
        <v>96</v>
      </c>
      <c r="F111" s="21">
        <v>97</v>
      </c>
      <c r="G111" s="13" t="s">
        <v>27</v>
      </c>
      <c r="H111" s="20">
        <v>650</v>
      </c>
      <c r="I111" s="17" t="s">
        <v>789</v>
      </c>
      <c r="J111" s="13" t="s">
        <v>27</v>
      </c>
      <c r="K111" s="20">
        <v>700</v>
      </c>
      <c r="L111" s="17" t="s">
        <v>790</v>
      </c>
    </row>
    <row r="112" spans="1:25" ht="15.75" customHeight="1" x14ac:dyDescent="0.25">
      <c r="A112" s="9" t="s">
        <v>33</v>
      </c>
      <c r="B112" s="301"/>
      <c r="C112" s="47">
        <v>128.11000000000001</v>
      </c>
      <c r="D112" s="11">
        <v>183</v>
      </c>
      <c r="E112" s="47">
        <v>133</v>
      </c>
      <c r="F112" s="21">
        <v>125</v>
      </c>
      <c r="G112" s="13" t="s">
        <v>121</v>
      </c>
      <c r="H112" s="20">
        <v>686</v>
      </c>
      <c r="I112" s="17" t="s">
        <v>792</v>
      </c>
      <c r="J112" s="13" t="s">
        <v>121</v>
      </c>
      <c r="K112" s="20">
        <v>702</v>
      </c>
      <c r="L112" s="17" t="s">
        <v>793</v>
      </c>
    </row>
    <row r="113" spans="1:8" ht="15.75" customHeight="1" x14ac:dyDescent="0.25">
      <c r="A113" s="41"/>
      <c r="B113" s="42"/>
      <c r="C113" s="42"/>
      <c r="D113" s="42"/>
      <c r="E113" s="11"/>
      <c r="H113" s="3"/>
    </row>
    <row r="114" spans="1:8" ht="15.75" customHeight="1" x14ac:dyDescent="0.25">
      <c r="A114" s="9" t="s">
        <v>35</v>
      </c>
      <c r="B114" s="302" t="s">
        <v>36</v>
      </c>
      <c r="C114" s="47">
        <v>207.78</v>
      </c>
      <c r="D114" s="11">
        <v>565</v>
      </c>
      <c r="E114" s="47">
        <v>248</v>
      </c>
      <c r="F114" s="21">
        <v>203</v>
      </c>
      <c r="H114" s="3"/>
    </row>
    <row r="115" spans="1:8" ht="15.75" customHeight="1" x14ac:dyDescent="0.25">
      <c r="A115" s="9" t="s">
        <v>37</v>
      </c>
      <c r="B115" s="300"/>
      <c r="C115" s="47">
        <v>444.11</v>
      </c>
      <c r="D115" s="11">
        <v>585</v>
      </c>
      <c r="E115" s="47">
        <v>403</v>
      </c>
      <c r="F115" s="21">
        <v>373</v>
      </c>
      <c r="H115" s="3"/>
    </row>
    <row r="116" spans="1:8" ht="15.75" customHeight="1" x14ac:dyDescent="0.25">
      <c r="A116" s="9" t="s">
        <v>38</v>
      </c>
      <c r="B116" s="300"/>
      <c r="C116" s="47">
        <v>579.55999999999995</v>
      </c>
      <c r="D116" s="11">
        <v>615</v>
      </c>
      <c r="E116" s="47">
        <v>602</v>
      </c>
      <c r="F116" s="21">
        <v>575</v>
      </c>
      <c r="H116" s="3"/>
    </row>
    <row r="117" spans="1:8" ht="15.75" customHeight="1" x14ac:dyDescent="0.25">
      <c r="A117" s="9" t="s">
        <v>39</v>
      </c>
      <c r="B117" s="300"/>
      <c r="C117" s="47">
        <v>746.22</v>
      </c>
      <c r="D117" s="11">
        <v>700</v>
      </c>
      <c r="E117" s="11">
        <v>761</v>
      </c>
      <c r="F117" s="21">
        <v>699</v>
      </c>
      <c r="H117" s="3"/>
    </row>
    <row r="118" spans="1:8" ht="15.75" customHeight="1" x14ac:dyDescent="0.25">
      <c r="A118" s="49" t="s">
        <v>41</v>
      </c>
      <c r="B118" s="300"/>
      <c r="C118" s="50">
        <v>869.5</v>
      </c>
      <c r="D118" s="51">
        <v>737</v>
      </c>
      <c r="E118" s="50">
        <v>887</v>
      </c>
      <c r="F118" s="21">
        <v>863</v>
      </c>
      <c r="H118" s="3"/>
    </row>
    <row r="119" spans="1:8" ht="15.75" customHeight="1" x14ac:dyDescent="0.25">
      <c r="A119" s="79"/>
      <c r="B119" s="81"/>
      <c r="C119" s="81"/>
      <c r="D119" s="81"/>
      <c r="E119" s="206"/>
      <c r="H119" s="3"/>
    </row>
    <row r="120" spans="1:8" ht="15.75" customHeight="1" x14ac:dyDescent="0.25">
      <c r="A120" s="9" t="s">
        <v>46</v>
      </c>
      <c r="B120" s="299" t="s">
        <v>47</v>
      </c>
      <c r="C120" s="11">
        <v>88.4</v>
      </c>
      <c r="D120" s="11">
        <v>126</v>
      </c>
      <c r="E120" s="47">
        <v>87</v>
      </c>
      <c r="H120" s="3"/>
    </row>
    <row r="121" spans="1:8" ht="15.75" customHeight="1" x14ac:dyDescent="0.25">
      <c r="A121" s="9" t="s">
        <v>48</v>
      </c>
      <c r="B121" s="300"/>
      <c r="C121" s="11">
        <v>94.6</v>
      </c>
      <c r="D121" s="11">
        <v>127</v>
      </c>
      <c r="E121" s="47">
        <v>96</v>
      </c>
      <c r="H121" s="3"/>
    </row>
    <row r="122" spans="1:8" ht="15.75" customHeight="1" x14ac:dyDescent="0.25">
      <c r="A122" s="41"/>
      <c r="B122" s="42"/>
      <c r="C122" s="42"/>
      <c r="D122" s="42"/>
      <c r="E122" s="11"/>
      <c r="H122" s="3"/>
    </row>
    <row r="123" spans="1:8" ht="15.75" customHeight="1" x14ac:dyDescent="0.25">
      <c r="A123" s="9" t="s">
        <v>800</v>
      </c>
      <c r="B123" s="302" t="s">
        <v>51</v>
      </c>
      <c r="C123" s="47">
        <v>271.44</v>
      </c>
      <c r="D123" s="11">
        <v>662</v>
      </c>
      <c r="E123" s="11">
        <v>287</v>
      </c>
      <c r="H123" s="3"/>
    </row>
    <row r="124" spans="1:8" ht="15.75" customHeight="1" x14ac:dyDescent="0.25">
      <c r="A124" s="9" t="s">
        <v>54</v>
      </c>
      <c r="B124" s="300"/>
      <c r="C124" s="47">
        <v>550.22199999999998</v>
      </c>
      <c r="D124" s="11">
        <v>690</v>
      </c>
      <c r="E124" s="11">
        <v>555</v>
      </c>
      <c r="H124" s="3"/>
    </row>
    <row r="125" spans="1:8" ht="15.75" customHeight="1" x14ac:dyDescent="0.25">
      <c r="A125" s="9" t="s">
        <v>802</v>
      </c>
      <c r="B125" s="300"/>
      <c r="C125" s="47">
        <v>746</v>
      </c>
      <c r="D125" s="11">
        <v>716</v>
      </c>
      <c r="E125" s="11">
        <v>776</v>
      </c>
      <c r="H125" s="3"/>
    </row>
    <row r="126" spans="1:8" ht="15.75" customHeight="1" x14ac:dyDescent="0.25">
      <c r="A126" s="9" t="s">
        <v>803</v>
      </c>
      <c r="B126" s="300"/>
      <c r="C126" s="47">
        <v>768.33333333333337</v>
      </c>
      <c r="D126" s="11">
        <v>811</v>
      </c>
      <c r="E126" s="11">
        <v>778</v>
      </c>
      <c r="H126" s="3"/>
    </row>
    <row r="127" spans="1:8" ht="15.75" customHeight="1" x14ac:dyDescent="0.25">
      <c r="A127" s="49" t="s">
        <v>804</v>
      </c>
      <c r="B127" s="300"/>
      <c r="C127" s="50">
        <v>609</v>
      </c>
      <c r="D127" s="51">
        <v>751</v>
      </c>
      <c r="E127" s="51">
        <v>614</v>
      </c>
      <c r="H127" s="3"/>
    </row>
    <row r="128" spans="1:8" ht="15.75" customHeight="1" x14ac:dyDescent="0.25">
      <c r="A128" s="79"/>
      <c r="B128" s="81"/>
      <c r="C128" s="81"/>
      <c r="D128" s="81"/>
      <c r="E128" s="206"/>
      <c r="H128" s="3"/>
    </row>
    <row r="129" spans="1:8" ht="15.75" customHeight="1" x14ac:dyDescent="0.25">
      <c r="A129" s="9" t="s">
        <v>60</v>
      </c>
      <c r="B129" s="299" t="s">
        <v>62</v>
      </c>
      <c r="C129" s="47">
        <v>19.741666666666667</v>
      </c>
      <c r="D129" s="52">
        <v>65</v>
      </c>
      <c r="E129" s="53">
        <v>21</v>
      </c>
      <c r="H129" s="3"/>
    </row>
    <row r="130" spans="1:8" ht="15.75" customHeight="1" x14ac:dyDescent="0.25">
      <c r="A130" s="9" t="s">
        <v>65</v>
      </c>
      <c r="B130" s="300"/>
      <c r="C130" s="11">
        <v>42</v>
      </c>
      <c r="D130" s="52">
        <v>65</v>
      </c>
      <c r="E130" s="54">
        <v>42</v>
      </c>
      <c r="H130" s="3"/>
    </row>
    <row r="131" spans="1:8" ht="15.75" customHeight="1" x14ac:dyDescent="0.25">
      <c r="A131" s="9" t="s">
        <v>64</v>
      </c>
      <c r="B131" s="301"/>
      <c r="C131" s="11">
        <v>42</v>
      </c>
      <c r="D131" s="52">
        <v>67</v>
      </c>
      <c r="E131" s="55">
        <v>43</v>
      </c>
      <c r="H131" s="3"/>
    </row>
    <row r="132" spans="1:8" ht="15.75" customHeight="1" x14ac:dyDescent="0.25">
      <c r="A132" s="296"/>
      <c r="B132" s="297"/>
      <c r="C132" s="297"/>
      <c r="D132" s="297"/>
      <c r="E132" s="11"/>
      <c r="H132" s="3"/>
    </row>
    <row r="133" spans="1:8" ht="15.75" customHeight="1" x14ac:dyDescent="0.25">
      <c r="A133" s="9" t="s">
        <v>66</v>
      </c>
      <c r="B133" s="302" t="s">
        <v>68</v>
      </c>
      <c r="C133" s="47">
        <v>204.5</v>
      </c>
      <c r="D133" s="11">
        <v>291</v>
      </c>
      <c r="E133" s="11">
        <v>207</v>
      </c>
      <c r="H133" s="3"/>
    </row>
    <row r="134" spans="1:8" ht="15.75" customHeight="1" x14ac:dyDescent="0.25">
      <c r="A134" s="49" t="s">
        <v>69</v>
      </c>
      <c r="B134" s="300"/>
      <c r="C134" s="50">
        <v>277.7</v>
      </c>
      <c r="D134" s="51">
        <v>321</v>
      </c>
      <c r="E134" s="51">
        <v>278</v>
      </c>
      <c r="H134" s="3"/>
    </row>
    <row r="135" spans="1:8" ht="15.75" customHeight="1" x14ac:dyDescent="0.25">
      <c r="A135" s="44"/>
      <c r="B135" s="46"/>
      <c r="C135" s="46"/>
      <c r="D135" s="46"/>
      <c r="E135" s="207"/>
      <c r="H135" s="3"/>
    </row>
    <row r="136" spans="1:8" ht="15.75" customHeight="1" x14ac:dyDescent="0.25">
      <c r="A136" s="56" t="s">
        <v>69</v>
      </c>
      <c r="B136" s="303" t="s">
        <v>71</v>
      </c>
      <c r="C136" s="47">
        <v>12</v>
      </c>
      <c r="D136" s="47">
        <v>54</v>
      </c>
      <c r="E136" s="11">
        <v>12</v>
      </c>
      <c r="H136" s="3"/>
    </row>
    <row r="137" spans="1:8" ht="15.75" customHeight="1" x14ac:dyDescent="0.25">
      <c r="A137" s="56" t="s">
        <v>72</v>
      </c>
      <c r="B137" s="300"/>
      <c r="C137" s="47">
        <v>14</v>
      </c>
      <c r="D137" s="47">
        <v>55</v>
      </c>
      <c r="E137" s="11">
        <v>13</v>
      </c>
      <c r="H137" s="3"/>
    </row>
    <row r="138" spans="1:8" ht="15.75" customHeight="1" x14ac:dyDescent="0.25">
      <c r="A138" s="56" t="s">
        <v>73</v>
      </c>
      <c r="B138" s="301"/>
      <c r="C138" s="47">
        <v>17.43333333333333</v>
      </c>
      <c r="D138" s="47">
        <v>56</v>
      </c>
      <c r="E138" s="11">
        <v>16</v>
      </c>
      <c r="H138" s="3"/>
    </row>
    <row r="139" spans="1:8" ht="15.75" customHeight="1" x14ac:dyDescent="0.25">
      <c r="A139" s="92"/>
      <c r="B139" s="69"/>
      <c r="C139" s="69"/>
      <c r="D139" s="69"/>
      <c r="E139" s="11"/>
      <c r="H139" s="3"/>
    </row>
    <row r="140" spans="1:8" ht="15.75" customHeight="1" x14ac:dyDescent="0.25">
      <c r="A140" s="56" t="s">
        <v>80</v>
      </c>
      <c r="B140" s="309" t="s">
        <v>77</v>
      </c>
      <c r="C140" s="47">
        <v>117</v>
      </c>
      <c r="D140" s="47">
        <v>241</v>
      </c>
      <c r="E140" s="11">
        <v>118</v>
      </c>
      <c r="H140" s="3"/>
    </row>
    <row r="141" spans="1:8" ht="15.75" customHeight="1" x14ac:dyDescent="0.25">
      <c r="A141" s="56" t="s">
        <v>78</v>
      </c>
      <c r="B141" s="300"/>
      <c r="C141" s="47">
        <v>188</v>
      </c>
      <c r="D141" s="47">
        <v>256</v>
      </c>
      <c r="E141" s="11">
        <v>185</v>
      </c>
      <c r="H141" s="3"/>
    </row>
    <row r="142" spans="1:8" ht="15.75" customHeight="1" x14ac:dyDescent="0.25">
      <c r="A142" s="56" t="s">
        <v>76</v>
      </c>
      <c r="B142" s="300"/>
      <c r="C142" s="47">
        <v>218</v>
      </c>
      <c r="D142" s="47">
        <v>271</v>
      </c>
      <c r="E142" s="11">
        <v>215</v>
      </c>
      <c r="H142" s="3"/>
    </row>
    <row r="143" spans="1:8" ht="15.75" customHeight="1" x14ac:dyDescent="0.25">
      <c r="A143" s="57" t="s">
        <v>79</v>
      </c>
      <c r="B143" s="300"/>
      <c r="C143" s="50">
        <v>239</v>
      </c>
      <c r="D143" s="50">
        <v>290</v>
      </c>
      <c r="E143" s="51">
        <v>242</v>
      </c>
      <c r="H143" s="3"/>
    </row>
    <row r="144" spans="1:8" ht="15.75" customHeight="1" x14ac:dyDescent="0.25">
      <c r="A144" s="44"/>
      <c r="B144" s="46"/>
      <c r="C144" s="46"/>
      <c r="D144" s="46"/>
      <c r="E144" s="207"/>
      <c r="H144" s="3"/>
    </row>
    <row r="145" spans="1:8" ht="15.75" customHeight="1" x14ac:dyDescent="0.25">
      <c r="A145" s="9" t="s">
        <v>81</v>
      </c>
      <c r="B145" s="299" t="s">
        <v>82</v>
      </c>
      <c r="C145" s="11">
        <v>2</v>
      </c>
      <c r="D145" s="11">
        <v>64</v>
      </c>
      <c r="E145" s="11">
        <v>2</v>
      </c>
      <c r="H145" s="3"/>
    </row>
    <row r="146" spans="1:8" ht="15.75" customHeight="1" x14ac:dyDescent="0.25">
      <c r="A146" s="9" t="s">
        <v>83</v>
      </c>
      <c r="B146" s="300"/>
      <c r="C146" s="11">
        <v>10</v>
      </c>
      <c r="D146" s="11">
        <v>71</v>
      </c>
      <c r="E146" s="11">
        <v>10</v>
      </c>
      <c r="H146" s="3"/>
    </row>
    <row r="147" spans="1:8" ht="15.75" customHeight="1" x14ac:dyDescent="0.25">
      <c r="A147" s="9" t="s">
        <v>155</v>
      </c>
      <c r="B147" s="301"/>
      <c r="C147" s="11">
        <v>3</v>
      </c>
      <c r="D147" s="11">
        <v>70</v>
      </c>
      <c r="E147" s="11">
        <v>4</v>
      </c>
      <c r="H147" s="3"/>
    </row>
    <row r="148" spans="1:8" ht="15.75" customHeight="1" x14ac:dyDescent="0.25">
      <c r="A148" s="41"/>
      <c r="B148" s="42"/>
      <c r="C148" s="42"/>
      <c r="D148" s="42"/>
      <c r="E148" s="24"/>
      <c r="H148" s="3"/>
    </row>
    <row r="149" spans="1:8" ht="15.75" customHeight="1" x14ac:dyDescent="0.25">
      <c r="A149" s="9" t="s">
        <v>86</v>
      </c>
      <c r="B149" s="302" t="s">
        <v>87</v>
      </c>
      <c r="C149" s="11">
        <v>19</v>
      </c>
      <c r="D149" s="11">
        <v>56</v>
      </c>
      <c r="E149" s="11">
        <v>19</v>
      </c>
      <c r="H149" s="3"/>
    </row>
    <row r="150" spans="1:8" ht="15.75" customHeight="1" x14ac:dyDescent="0.25">
      <c r="A150" s="49" t="s">
        <v>88</v>
      </c>
      <c r="B150" s="300"/>
      <c r="C150" s="51">
        <v>20</v>
      </c>
      <c r="D150" s="51">
        <v>56</v>
      </c>
      <c r="E150" s="51">
        <v>20</v>
      </c>
      <c r="H150" s="3"/>
    </row>
    <row r="151" spans="1:8" ht="15.75" customHeight="1" x14ac:dyDescent="0.25">
      <c r="A151" s="44"/>
      <c r="B151" s="46"/>
      <c r="C151" s="46"/>
      <c r="D151" s="46"/>
      <c r="E151" s="207"/>
      <c r="H151" s="3"/>
    </row>
    <row r="152" spans="1:8" ht="15.75" customHeight="1" x14ac:dyDescent="0.25">
      <c r="A152" s="9" t="s">
        <v>89</v>
      </c>
      <c r="B152" s="299" t="s">
        <v>90</v>
      </c>
      <c r="C152" s="11">
        <v>6</v>
      </c>
      <c r="D152" s="11">
        <v>48</v>
      </c>
      <c r="E152" s="11">
        <v>6</v>
      </c>
      <c r="H152" s="3"/>
    </row>
    <row r="153" spans="1:8" ht="15.75" customHeight="1" x14ac:dyDescent="0.25">
      <c r="A153" s="9" t="s">
        <v>91</v>
      </c>
      <c r="B153" s="300"/>
      <c r="C153" s="11">
        <v>17</v>
      </c>
      <c r="D153" s="11">
        <v>49</v>
      </c>
      <c r="E153" s="11">
        <v>17</v>
      </c>
      <c r="H153" s="3"/>
    </row>
    <row r="154" spans="1:8" ht="15.75" customHeight="1" x14ac:dyDescent="0.25">
      <c r="A154" s="49" t="s">
        <v>92</v>
      </c>
      <c r="B154" s="300"/>
      <c r="C154" s="51"/>
      <c r="D154" s="51"/>
      <c r="E154" s="11"/>
      <c r="H154" s="3"/>
    </row>
    <row r="155" spans="1:8" ht="15.75" customHeight="1" x14ac:dyDescent="0.25">
      <c r="A155" s="135"/>
      <c r="B155" s="136"/>
      <c r="C155" s="136"/>
      <c r="D155" s="136"/>
      <c r="E155" s="17"/>
      <c r="H155" s="3"/>
    </row>
    <row r="156" spans="1:8" ht="15.75" customHeight="1" x14ac:dyDescent="0.25">
      <c r="A156" s="9" t="s">
        <v>94</v>
      </c>
      <c r="B156" s="299" t="s">
        <v>95</v>
      </c>
      <c r="C156" s="47">
        <v>49.666666666666664</v>
      </c>
      <c r="D156" s="11">
        <v>180</v>
      </c>
      <c r="E156" s="11">
        <v>55</v>
      </c>
      <c r="H156" s="3"/>
    </row>
    <row r="157" spans="1:8" ht="15.75" customHeight="1" x14ac:dyDescent="0.25">
      <c r="A157" s="9" t="s">
        <v>97</v>
      </c>
      <c r="B157" s="300"/>
      <c r="C157" s="47">
        <v>124.33333333333333</v>
      </c>
      <c r="D157" s="11">
        <v>182</v>
      </c>
      <c r="E157" s="11">
        <v>128</v>
      </c>
      <c r="H157" s="3"/>
    </row>
    <row r="158" spans="1:8" ht="15.75" customHeight="1" x14ac:dyDescent="0.25">
      <c r="A158" s="9" t="s">
        <v>96</v>
      </c>
      <c r="B158" s="300"/>
      <c r="C158" s="47">
        <v>127</v>
      </c>
      <c r="D158" s="11">
        <v>184</v>
      </c>
      <c r="E158" s="11">
        <v>129</v>
      </c>
      <c r="H158" s="3"/>
    </row>
    <row r="159" spans="1:8" ht="15.75" customHeight="1" x14ac:dyDescent="0.25">
      <c r="A159" s="9" t="s">
        <v>98</v>
      </c>
      <c r="B159" s="300"/>
      <c r="C159" s="47">
        <v>134.66666666666666</v>
      </c>
      <c r="D159" s="11">
        <v>186</v>
      </c>
      <c r="E159" s="11">
        <v>137</v>
      </c>
      <c r="H159" s="3"/>
    </row>
    <row r="160" spans="1:8" ht="15.75" customHeight="1" x14ac:dyDescent="0.25">
      <c r="A160" s="9" t="s">
        <v>99</v>
      </c>
      <c r="B160" s="301"/>
      <c r="C160" s="47">
        <v>152</v>
      </c>
      <c r="D160" s="11">
        <v>190</v>
      </c>
      <c r="E160" s="11">
        <v>152</v>
      </c>
      <c r="H160" s="3"/>
    </row>
    <row r="161" spans="1:26" ht="15.75" customHeight="1" x14ac:dyDescent="0.25">
      <c r="E161" s="3"/>
    </row>
    <row r="162" spans="1:26" ht="15.75" customHeight="1" x14ac:dyDescent="0.25">
      <c r="E162" s="3"/>
    </row>
    <row r="163" spans="1:26" ht="15.75" customHeight="1" x14ac:dyDescent="0.25">
      <c r="E163" s="3"/>
    </row>
    <row r="164" spans="1:26" ht="15.75" customHeight="1" x14ac:dyDescent="0.25">
      <c r="E164" s="3"/>
    </row>
    <row r="165" spans="1:26" ht="15.75" customHeight="1" x14ac:dyDescent="0.25">
      <c r="A165" s="345"/>
      <c r="B165" s="297"/>
      <c r="C165" s="297"/>
      <c r="D165" s="297"/>
      <c r="E165" s="297"/>
      <c r="F165" s="297"/>
      <c r="G165" s="297"/>
      <c r="H165" s="297"/>
      <c r="I165" s="297"/>
      <c r="J165" s="297"/>
      <c r="K165" s="297"/>
      <c r="L165" s="297"/>
      <c r="M165" s="297"/>
      <c r="N165" s="297"/>
      <c r="O165" s="297"/>
      <c r="P165" s="297"/>
      <c r="Q165" s="297"/>
      <c r="R165" s="297"/>
      <c r="S165" s="297"/>
      <c r="T165" s="297"/>
      <c r="U165" s="297"/>
      <c r="V165" s="297"/>
      <c r="W165" s="297"/>
      <c r="X165" s="297"/>
      <c r="Y165" s="298"/>
      <c r="Z165" s="28"/>
    </row>
    <row r="166" spans="1:26" ht="15.75" customHeight="1" x14ac:dyDescent="0.25">
      <c r="A166" s="28"/>
      <c r="B166" s="28"/>
      <c r="C166" s="28"/>
      <c r="D166" s="28"/>
      <c r="E166" s="3"/>
      <c r="F166" s="28"/>
      <c r="G166" s="28"/>
      <c r="H166" s="28"/>
      <c r="I166" s="28"/>
      <c r="J166" s="28"/>
      <c r="K166" s="28"/>
      <c r="L166" s="28"/>
      <c r="M166" s="28"/>
      <c r="N166" s="28"/>
      <c r="O166" s="28"/>
      <c r="P166" s="28"/>
      <c r="Q166" s="28"/>
      <c r="R166" s="28"/>
      <c r="S166" s="28"/>
      <c r="T166" s="28"/>
      <c r="U166" s="28"/>
      <c r="V166" s="28"/>
      <c r="W166" s="28"/>
      <c r="X166" s="28"/>
      <c r="Y166" s="28"/>
      <c r="Z166" s="28"/>
    </row>
    <row r="167" spans="1:26" ht="15.75" customHeight="1" x14ac:dyDescent="0.3">
      <c r="A167" s="161" t="s">
        <v>353</v>
      </c>
      <c r="B167" s="163" t="s">
        <v>780</v>
      </c>
      <c r="C167" s="28"/>
      <c r="D167" s="28"/>
      <c r="E167" s="3"/>
      <c r="F167" s="28"/>
      <c r="G167" s="28"/>
      <c r="H167" s="28"/>
      <c r="I167" s="28"/>
      <c r="J167" s="28"/>
      <c r="K167" s="28"/>
      <c r="L167" s="28"/>
      <c r="M167" s="28"/>
      <c r="N167" s="28"/>
      <c r="O167" s="28"/>
      <c r="P167" s="28"/>
      <c r="Q167" s="28"/>
      <c r="R167" s="28"/>
      <c r="S167" s="28"/>
      <c r="T167" s="28"/>
      <c r="U167" s="28"/>
      <c r="V167" s="28"/>
      <c r="W167" s="28"/>
      <c r="X167" s="28"/>
      <c r="Y167" s="28"/>
      <c r="Z167" s="28"/>
    </row>
    <row r="168" spans="1:26" ht="15.75" customHeight="1" x14ac:dyDescent="0.3">
      <c r="A168" s="164" t="s">
        <v>360</v>
      </c>
      <c r="B168" s="165">
        <v>43129</v>
      </c>
      <c r="C168" s="28"/>
      <c r="D168" s="28"/>
      <c r="E168" s="3"/>
      <c r="F168" s="28"/>
      <c r="G168" s="28"/>
      <c r="H168" s="28"/>
      <c r="I168" s="28"/>
      <c r="J168" s="28"/>
      <c r="K168" s="28"/>
      <c r="L168" s="28"/>
      <c r="M168" s="28"/>
      <c r="N168" s="28"/>
      <c r="O168" s="28"/>
      <c r="P168" s="28"/>
      <c r="Q168" s="28"/>
      <c r="R168" s="28"/>
      <c r="S168" s="28"/>
      <c r="T168" s="28"/>
      <c r="U168" s="28"/>
      <c r="V168" s="28"/>
      <c r="W168" s="28"/>
      <c r="X168" s="28"/>
      <c r="Y168" s="28"/>
      <c r="Z168" s="28"/>
    </row>
    <row r="169" spans="1:26" ht="15.75" customHeight="1" x14ac:dyDescent="0.25">
      <c r="A169" s="304" t="s">
        <v>813</v>
      </c>
      <c r="B169" s="297"/>
      <c r="C169" s="297"/>
      <c r="D169" s="297"/>
      <c r="E169" s="298"/>
      <c r="F169" s="28"/>
      <c r="G169" s="28"/>
      <c r="H169" s="3"/>
      <c r="I169" s="28"/>
      <c r="J169" s="28"/>
      <c r="K169" s="28"/>
      <c r="L169" s="28"/>
      <c r="M169" s="28"/>
      <c r="N169" s="28"/>
      <c r="O169" s="28"/>
      <c r="P169" s="28"/>
      <c r="Q169" s="28"/>
      <c r="R169" s="28"/>
      <c r="S169" s="28"/>
      <c r="T169" s="28"/>
      <c r="U169" s="28"/>
      <c r="V169" s="28"/>
      <c r="W169" s="28"/>
      <c r="X169" s="28"/>
      <c r="Y169" s="28"/>
      <c r="Z169" s="28"/>
    </row>
    <row r="170" spans="1:26" ht="15.75" customHeight="1" x14ac:dyDescent="0.25">
      <c r="A170" s="4" t="s">
        <v>0</v>
      </c>
      <c r="B170" s="5" t="s">
        <v>1</v>
      </c>
      <c r="C170" s="5" t="s">
        <v>2</v>
      </c>
      <c r="D170" s="5" t="s">
        <v>43</v>
      </c>
      <c r="E170" s="45" t="s">
        <v>125</v>
      </c>
      <c r="F170" s="28"/>
      <c r="G170" s="296" t="s">
        <v>6</v>
      </c>
      <c r="H170" s="297"/>
      <c r="I170" s="297"/>
      <c r="J170" s="297"/>
      <c r="K170" s="297"/>
      <c r="L170" s="298"/>
      <c r="M170" s="28"/>
      <c r="N170" s="28"/>
      <c r="O170" s="28"/>
      <c r="P170" s="28"/>
      <c r="Q170" s="28"/>
      <c r="R170" s="28"/>
      <c r="S170" s="28"/>
      <c r="T170" s="28"/>
      <c r="U170" s="28"/>
      <c r="V170" s="28"/>
      <c r="W170" s="28"/>
      <c r="X170" s="28"/>
      <c r="Y170" s="28"/>
      <c r="Z170" s="28"/>
    </row>
    <row r="171" spans="1:26" ht="15.75" customHeight="1" x14ac:dyDescent="0.25">
      <c r="A171" s="9" t="s">
        <v>7</v>
      </c>
      <c r="B171" s="302" t="s">
        <v>9</v>
      </c>
      <c r="C171" s="47">
        <v>28.1</v>
      </c>
      <c r="D171" s="47">
        <v>29</v>
      </c>
      <c r="E171" s="47">
        <v>29</v>
      </c>
      <c r="F171" s="28">
        <v>21</v>
      </c>
      <c r="G171" s="296" t="s">
        <v>106</v>
      </c>
      <c r="H171" s="297"/>
      <c r="I171" s="298"/>
      <c r="J171" s="296" t="s">
        <v>107</v>
      </c>
      <c r="K171" s="297"/>
      <c r="L171" s="298"/>
      <c r="M171" s="28"/>
      <c r="N171" s="28"/>
      <c r="O171" s="28"/>
      <c r="P171" s="28"/>
      <c r="Q171" s="28"/>
      <c r="R171" s="28"/>
      <c r="S171" s="28"/>
      <c r="T171" s="28"/>
      <c r="U171" s="28"/>
      <c r="V171" s="28"/>
      <c r="W171" s="28"/>
      <c r="X171" s="28"/>
      <c r="Y171" s="28"/>
      <c r="Z171" s="28"/>
    </row>
    <row r="172" spans="1:26" ht="15.75" customHeight="1" x14ac:dyDescent="0.25">
      <c r="A172" s="9" t="s">
        <v>17</v>
      </c>
      <c r="B172" s="300"/>
      <c r="C172" s="47">
        <v>63.911000000000001</v>
      </c>
      <c r="D172" s="47">
        <v>62</v>
      </c>
      <c r="E172" s="47">
        <v>62</v>
      </c>
      <c r="F172" s="28">
        <v>60</v>
      </c>
      <c r="G172" s="13" t="s">
        <v>13</v>
      </c>
      <c r="H172" s="39">
        <f>+H174+H174*0.1</f>
        <v>770</v>
      </c>
      <c r="I172" s="17" t="s">
        <v>816</v>
      </c>
      <c r="J172" s="13" t="s">
        <v>13</v>
      </c>
      <c r="K172" s="39">
        <f>+K174+K174*0.1</f>
        <v>770</v>
      </c>
      <c r="L172" s="17" t="s">
        <v>817</v>
      </c>
      <c r="M172" s="28"/>
      <c r="N172" s="28"/>
      <c r="O172" s="28"/>
      <c r="P172" s="28"/>
      <c r="Q172" s="28"/>
      <c r="R172" s="28"/>
      <c r="S172" s="28"/>
      <c r="T172" s="28"/>
      <c r="U172" s="28"/>
      <c r="V172" s="28"/>
      <c r="W172" s="28"/>
      <c r="X172" s="28"/>
      <c r="Y172" s="28"/>
      <c r="Z172" s="28"/>
    </row>
    <row r="173" spans="1:26" ht="15.75" customHeight="1" x14ac:dyDescent="0.25">
      <c r="A173" s="9" t="s">
        <v>26</v>
      </c>
      <c r="B173" s="300"/>
      <c r="C173" s="47">
        <v>69.921999999999997</v>
      </c>
      <c r="D173" s="47">
        <v>69</v>
      </c>
      <c r="E173" s="47">
        <v>69</v>
      </c>
      <c r="F173" s="28">
        <v>79</v>
      </c>
      <c r="G173" s="13" t="s">
        <v>19</v>
      </c>
      <c r="H173" s="40">
        <f>+H174-H174*0.1</f>
        <v>630</v>
      </c>
      <c r="I173" s="17" t="s">
        <v>819</v>
      </c>
      <c r="J173" s="13" t="s">
        <v>19</v>
      </c>
      <c r="K173" s="40">
        <f>+K174-K174*0.1</f>
        <v>630</v>
      </c>
      <c r="L173" s="17" t="s">
        <v>820</v>
      </c>
      <c r="M173" s="28"/>
      <c r="N173" s="28"/>
      <c r="O173" s="28"/>
      <c r="P173" s="28"/>
      <c r="Q173" s="28"/>
      <c r="R173" s="28"/>
      <c r="S173" s="28"/>
      <c r="T173" s="28"/>
      <c r="U173" s="28"/>
      <c r="V173" s="28"/>
      <c r="W173" s="28"/>
      <c r="X173" s="28"/>
      <c r="Y173" s="28"/>
      <c r="Z173" s="28"/>
    </row>
    <row r="174" spans="1:26" ht="15.75" customHeight="1" x14ac:dyDescent="0.25">
      <c r="A174" s="9" t="s">
        <v>32</v>
      </c>
      <c r="B174" s="300"/>
      <c r="C174" s="47">
        <v>96.744</v>
      </c>
      <c r="D174" s="47">
        <v>96</v>
      </c>
      <c r="E174" s="47">
        <v>96</v>
      </c>
      <c r="F174" s="28">
        <v>97</v>
      </c>
      <c r="G174" s="13" t="s">
        <v>27</v>
      </c>
      <c r="H174" s="20">
        <v>700</v>
      </c>
      <c r="I174" s="17" t="s">
        <v>821</v>
      </c>
      <c r="J174" s="13" t="s">
        <v>27</v>
      </c>
      <c r="K174" s="20">
        <v>700</v>
      </c>
      <c r="L174" s="17" t="s">
        <v>822</v>
      </c>
      <c r="M174" s="28"/>
      <c r="N174" s="28"/>
      <c r="O174" s="28"/>
      <c r="P174" s="28"/>
      <c r="Q174" s="28"/>
      <c r="R174" s="28"/>
      <c r="S174" s="28"/>
      <c r="T174" s="28"/>
      <c r="U174" s="28"/>
      <c r="V174" s="28"/>
      <c r="W174" s="28"/>
      <c r="X174" s="28"/>
      <c r="Y174" s="28"/>
      <c r="Z174" s="28"/>
    </row>
    <row r="175" spans="1:26" ht="15.75" customHeight="1" x14ac:dyDescent="0.25">
      <c r="A175" s="9" t="s">
        <v>33</v>
      </c>
      <c r="B175" s="301"/>
      <c r="C175" s="47">
        <v>128.11000000000001</v>
      </c>
      <c r="D175" s="47">
        <v>133</v>
      </c>
      <c r="E175" s="47">
        <v>133</v>
      </c>
      <c r="F175" s="28">
        <v>125</v>
      </c>
      <c r="G175" s="13" t="s">
        <v>121</v>
      </c>
      <c r="H175" s="20">
        <v>702</v>
      </c>
      <c r="I175" s="17" t="s">
        <v>823</v>
      </c>
      <c r="J175" s="13" t="s">
        <v>121</v>
      </c>
      <c r="K175" s="20">
        <v>702</v>
      </c>
      <c r="L175" s="17" t="s">
        <v>824</v>
      </c>
      <c r="M175" s="28"/>
      <c r="N175" s="28"/>
      <c r="O175" s="28"/>
      <c r="P175" s="28"/>
      <c r="Q175" s="28"/>
      <c r="R175" s="28"/>
      <c r="S175" s="28"/>
      <c r="T175" s="28"/>
      <c r="U175" s="28"/>
      <c r="V175" s="28"/>
      <c r="W175" s="28"/>
      <c r="X175" s="28"/>
      <c r="Y175" s="28"/>
      <c r="Z175" s="28"/>
    </row>
    <row r="176" spans="1:26" ht="15.75" customHeight="1" x14ac:dyDescent="0.25">
      <c r="A176" s="41"/>
      <c r="B176" s="42"/>
      <c r="C176" s="42"/>
      <c r="D176" s="11"/>
      <c r="E176" s="11"/>
      <c r="F176" s="28"/>
      <c r="G176" s="28"/>
      <c r="H176" s="3"/>
      <c r="I176" s="28"/>
      <c r="J176" s="28"/>
      <c r="K176" s="28"/>
      <c r="L176" s="28"/>
      <c r="M176" s="28"/>
      <c r="N176" s="28"/>
      <c r="O176" s="28"/>
      <c r="P176" s="28"/>
      <c r="Q176" s="28"/>
      <c r="R176" s="28"/>
      <c r="S176" s="28"/>
      <c r="T176" s="28"/>
      <c r="U176" s="28"/>
      <c r="V176" s="28"/>
      <c r="W176" s="28"/>
      <c r="X176" s="28"/>
      <c r="Y176" s="28"/>
      <c r="Z176" s="28"/>
    </row>
    <row r="177" spans="1:26" ht="15.75" customHeight="1" x14ac:dyDescent="0.25">
      <c r="A177" s="9" t="s">
        <v>35</v>
      </c>
      <c r="B177" s="302" t="s">
        <v>36</v>
      </c>
      <c r="C177" s="47">
        <v>207.78</v>
      </c>
      <c r="D177" s="47">
        <v>248</v>
      </c>
      <c r="E177" s="47">
        <v>248</v>
      </c>
      <c r="F177" s="28">
        <v>203</v>
      </c>
      <c r="G177" s="28"/>
      <c r="H177" s="3"/>
      <c r="I177" s="28"/>
      <c r="J177" s="28"/>
      <c r="K177" s="28"/>
      <c r="L177" s="28"/>
      <c r="M177" s="28"/>
      <c r="N177" s="28"/>
      <c r="O177" s="28"/>
      <c r="P177" s="28"/>
      <c r="Q177" s="28"/>
      <c r="R177" s="28"/>
      <c r="S177" s="28"/>
      <c r="T177" s="28"/>
      <c r="U177" s="28"/>
      <c r="V177" s="28"/>
      <c r="W177" s="28"/>
      <c r="X177" s="28"/>
      <c r="Y177" s="28"/>
      <c r="Z177" s="28"/>
    </row>
    <row r="178" spans="1:26" ht="15.75" customHeight="1" x14ac:dyDescent="0.25">
      <c r="A178" s="9" t="s">
        <v>37</v>
      </c>
      <c r="B178" s="300"/>
      <c r="C178" s="47">
        <v>444.11</v>
      </c>
      <c r="D178" s="47">
        <v>403</v>
      </c>
      <c r="E178" s="47">
        <v>403</v>
      </c>
      <c r="F178" s="28">
        <v>373</v>
      </c>
      <c r="G178" s="28"/>
      <c r="H178" s="3"/>
      <c r="I178" s="28"/>
      <c r="J178" s="28"/>
      <c r="K178" s="28"/>
      <c r="L178" s="28"/>
      <c r="M178" s="28"/>
      <c r="N178" s="28"/>
      <c r="O178" s="28"/>
      <c r="P178" s="28"/>
      <c r="Q178" s="28"/>
      <c r="R178" s="28"/>
      <c r="S178" s="28"/>
      <c r="T178" s="28"/>
      <c r="U178" s="28"/>
      <c r="V178" s="28"/>
      <c r="W178" s="28"/>
      <c r="X178" s="28"/>
      <c r="Y178" s="28"/>
      <c r="Z178" s="28"/>
    </row>
    <row r="179" spans="1:26" ht="15.75" customHeight="1" x14ac:dyDescent="0.25">
      <c r="A179" s="9" t="s">
        <v>38</v>
      </c>
      <c r="B179" s="300"/>
      <c r="C179" s="47">
        <v>579.55999999999995</v>
      </c>
      <c r="D179" s="47">
        <v>602</v>
      </c>
      <c r="E179" s="47">
        <v>602</v>
      </c>
      <c r="F179" s="28">
        <v>575</v>
      </c>
      <c r="G179" s="28"/>
      <c r="H179" s="3"/>
      <c r="I179" s="28"/>
      <c r="J179" s="28"/>
      <c r="K179" s="28"/>
      <c r="L179" s="28"/>
      <c r="M179" s="28"/>
      <c r="N179" s="28"/>
      <c r="O179" s="28"/>
      <c r="P179" s="28"/>
      <c r="Q179" s="28"/>
      <c r="R179" s="28"/>
      <c r="S179" s="28"/>
      <c r="T179" s="28"/>
      <c r="U179" s="28"/>
      <c r="V179" s="28"/>
      <c r="W179" s="28"/>
      <c r="X179" s="28"/>
      <c r="Y179" s="28"/>
      <c r="Z179" s="28"/>
    </row>
    <row r="180" spans="1:26" ht="15.75" customHeight="1" x14ac:dyDescent="0.25">
      <c r="A180" s="9" t="s">
        <v>39</v>
      </c>
      <c r="B180" s="300"/>
      <c r="C180" s="47">
        <v>746.22</v>
      </c>
      <c r="D180" s="11">
        <v>761</v>
      </c>
      <c r="E180" s="11">
        <v>761</v>
      </c>
      <c r="F180" s="28">
        <v>699</v>
      </c>
      <c r="G180" s="28"/>
      <c r="H180" s="3"/>
      <c r="I180" s="28"/>
      <c r="J180" s="28"/>
      <c r="K180" s="28"/>
      <c r="L180" s="28"/>
      <c r="M180" s="28"/>
      <c r="N180" s="28"/>
      <c r="O180" s="28"/>
      <c r="P180" s="28"/>
      <c r="Q180" s="28"/>
      <c r="R180" s="28"/>
      <c r="S180" s="28"/>
      <c r="T180" s="28"/>
      <c r="U180" s="28"/>
      <c r="V180" s="28"/>
      <c r="W180" s="28"/>
      <c r="X180" s="28"/>
      <c r="Y180" s="28"/>
      <c r="Z180" s="28"/>
    </row>
    <row r="181" spans="1:26" ht="15.75" customHeight="1" x14ac:dyDescent="0.25">
      <c r="A181" s="49" t="s">
        <v>41</v>
      </c>
      <c r="B181" s="300"/>
      <c r="C181" s="50">
        <v>869.5</v>
      </c>
      <c r="D181" s="50">
        <v>887</v>
      </c>
      <c r="E181" s="50">
        <v>887</v>
      </c>
      <c r="F181" s="28">
        <v>863</v>
      </c>
      <c r="G181" s="28"/>
      <c r="H181" s="3"/>
      <c r="I181" s="28"/>
      <c r="J181" s="28"/>
      <c r="K181" s="28"/>
      <c r="L181" s="28"/>
      <c r="M181" s="28"/>
      <c r="N181" s="28"/>
      <c r="O181" s="28"/>
      <c r="P181" s="28"/>
      <c r="Q181" s="28"/>
      <c r="R181" s="28"/>
      <c r="S181" s="28"/>
      <c r="T181" s="28"/>
      <c r="U181" s="28"/>
      <c r="V181" s="28"/>
      <c r="W181" s="28"/>
      <c r="X181" s="28"/>
      <c r="Y181" s="28"/>
      <c r="Z181" s="28"/>
    </row>
    <row r="182" spans="1:26" ht="15.75" customHeight="1" x14ac:dyDescent="0.25">
      <c r="A182" s="79"/>
      <c r="B182" s="81"/>
      <c r="C182" s="81"/>
      <c r="D182" s="81"/>
      <c r="E182" s="206"/>
      <c r="F182" s="28"/>
      <c r="G182" s="28"/>
      <c r="H182" s="3"/>
      <c r="I182" s="28"/>
      <c r="J182" s="28"/>
      <c r="K182" s="28"/>
      <c r="L182" s="28"/>
      <c r="M182" s="28"/>
      <c r="N182" s="28"/>
      <c r="O182" s="28"/>
      <c r="P182" s="28"/>
      <c r="Q182" s="28"/>
      <c r="R182" s="28"/>
      <c r="S182" s="28"/>
      <c r="T182" s="28"/>
      <c r="U182" s="28"/>
      <c r="V182" s="28"/>
      <c r="W182" s="28"/>
      <c r="X182" s="28"/>
      <c r="Y182" s="28"/>
      <c r="Z182" s="28"/>
    </row>
    <row r="183" spans="1:26" ht="15.75" customHeight="1" x14ac:dyDescent="0.25">
      <c r="A183" s="9" t="s">
        <v>46</v>
      </c>
      <c r="B183" s="299" t="s">
        <v>47</v>
      </c>
      <c r="C183" s="11">
        <v>88.4</v>
      </c>
      <c r="D183" s="47">
        <v>87</v>
      </c>
      <c r="E183" s="47">
        <v>87</v>
      </c>
      <c r="F183" s="28"/>
      <c r="G183" s="28"/>
      <c r="H183" s="3"/>
      <c r="I183" s="28"/>
      <c r="J183" s="28"/>
      <c r="K183" s="28"/>
      <c r="L183" s="28"/>
      <c r="M183" s="28"/>
      <c r="N183" s="28"/>
      <c r="O183" s="28"/>
      <c r="P183" s="28"/>
      <c r="Q183" s="28"/>
      <c r="R183" s="28"/>
      <c r="S183" s="28"/>
      <c r="T183" s="28"/>
      <c r="U183" s="28"/>
      <c r="V183" s="28"/>
      <c r="W183" s="28"/>
      <c r="X183" s="28"/>
      <c r="Y183" s="28"/>
      <c r="Z183" s="28"/>
    </row>
    <row r="184" spans="1:26" ht="15.75" customHeight="1" x14ac:dyDescent="0.25">
      <c r="A184" s="9" t="s">
        <v>48</v>
      </c>
      <c r="B184" s="300"/>
      <c r="C184" s="11">
        <v>94.6</v>
      </c>
      <c r="D184" s="47">
        <v>96</v>
      </c>
      <c r="E184" s="47">
        <v>96</v>
      </c>
      <c r="F184" s="28"/>
      <c r="G184" s="28"/>
      <c r="H184" s="3"/>
      <c r="I184" s="28"/>
      <c r="J184" s="28"/>
      <c r="K184" s="28"/>
      <c r="L184" s="28"/>
      <c r="M184" s="28"/>
      <c r="N184" s="28"/>
      <c r="O184" s="28"/>
      <c r="P184" s="28"/>
      <c r="Q184" s="28"/>
      <c r="R184" s="28"/>
      <c r="S184" s="28"/>
      <c r="T184" s="28"/>
      <c r="U184" s="28"/>
      <c r="V184" s="28"/>
      <c r="W184" s="28"/>
      <c r="X184" s="28"/>
      <c r="Y184" s="28"/>
      <c r="Z184" s="28"/>
    </row>
    <row r="185" spans="1:26" ht="15.75" customHeight="1" x14ac:dyDescent="0.25">
      <c r="A185" s="41"/>
      <c r="B185" s="42"/>
      <c r="C185" s="42"/>
      <c r="D185" s="11"/>
      <c r="E185" s="11"/>
      <c r="F185" s="28"/>
      <c r="G185" s="28"/>
      <c r="H185" s="3"/>
      <c r="I185" s="28"/>
      <c r="J185" s="28"/>
      <c r="K185" s="28"/>
      <c r="L185" s="28"/>
      <c r="M185" s="28"/>
      <c r="N185" s="28"/>
      <c r="O185" s="28"/>
      <c r="P185" s="28"/>
      <c r="Q185" s="28"/>
      <c r="R185" s="28"/>
      <c r="S185" s="28"/>
      <c r="T185" s="28"/>
      <c r="U185" s="28"/>
      <c r="V185" s="28"/>
      <c r="W185" s="28"/>
      <c r="X185" s="28"/>
      <c r="Y185" s="28"/>
      <c r="Z185" s="28"/>
    </row>
    <row r="186" spans="1:26" ht="15.75" customHeight="1" x14ac:dyDescent="0.25">
      <c r="A186" s="9" t="s">
        <v>800</v>
      </c>
      <c r="B186" s="302" t="s">
        <v>51</v>
      </c>
      <c r="C186" s="47">
        <v>271.44</v>
      </c>
      <c r="D186" s="11">
        <v>287</v>
      </c>
      <c r="E186" s="11">
        <v>287</v>
      </c>
      <c r="F186" s="28"/>
      <c r="G186" s="28"/>
      <c r="H186" s="3"/>
      <c r="I186" s="28"/>
      <c r="J186" s="28"/>
      <c r="K186" s="28"/>
      <c r="L186" s="28"/>
      <c r="M186" s="28"/>
      <c r="N186" s="28"/>
      <c r="O186" s="28"/>
      <c r="P186" s="28"/>
      <c r="Q186" s="28"/>
      <c r="R186" s="28"/>
      <c r="S186" s="28"/>
      <c r="T186" s="28"/>
      <c r="U186" s="28"/>
      <c r="V186" s="28"/>
      <c r="W186" s="28"/>
      <c r="X186" s="28"/>
      <c r="Y186" s="28"/>
      <c r="Z186" s="28"/>
    </row>
    <row r="187" spans="1:26" ht="15.75" customHeight="1" x14ac:dyDescent="0.25">
      <c r="A187" s="9" t="s">
        <v>54</v>
      </c>
      <c r="B187" s="300"/>
      <c r="C187" s="47">
        <v>550.22199999999998</v>
      </c>
      <c r="D187" s="11">
        <v>555</v>
      </c>
      <c r="E187" s="11">
        <v>555</v>
      </c>
      <c r="F187" s="28"/>
      <c r="G187" s="28"/>
      <c r="H187" s="3"/>
      <c r="I187" s="28"/>
      <c r="J187" s="28"/>
      <c r="K187" s="28"/>
      <c r="L187" s="28"/>
      <c r="M187" s="28"/>
      <c r="N187" s="28"/>
      <c r="O187" s="28"/>
      <c r="P187" s="28"/>
      <c r="Q187" s="28"/>
      <c r="R187" s="28"/>
      <c r="S187" s="28"/>
      <c r="T187" s="28"/>
      <c r="U187" s="28"/>
      <c r="V187" s="28"/>
      <c r="W187" s="28"/>
      <c r="X187" s="28"/>
      <c r="Y187" s="28"/>
      <c r="Z187" s="28"/>
    </row>
    <row r="188" spans="1:26" ht="15.75" customHeight="1" x14ac:dyDescent="0.25">
      <c r="A188" s="9" t="s">
        <v>802</v>
      </c>
      <c r="B188" s="300"/>
      <c r="C188" s="47">
        <v>746</v>
      </c>
      <c r="D188" s="11">
        <v>776</v>
      </c>
      <c r="E188" s="11">
        <v>776</v>
      </c>
      <c r="F188" s="28"/>
      <c r="G188" s="28"/>
      <c r="H188" s="3"/>
      <c r="I188" s="28"/>
      <c r="J188" s="28"/>
      <c r="K188" s="28"/>
      <c r="L188" s="28"/>
      <c r="M188" s="28"/>
      <c r="N188" s="28"/>
      <c r="O188" s="28"/>
      <c r="P188" s="28"/>
      <c r="Q188" s="28"/>
      <c r="R188" s="28"/>
      <c r="S188" s="28"/>
      <c r="T188" s="28"/>
      <c r="U188" s="28"/>
      <c r="V188" s="28"/>
      <c r="W188" s="28"/>
      <c r="X188" s="28"/>
      <c r="Y188" s="28"/>
      <c r="Z188" s="28"/>
    </row>
    <row r="189" spans="1:26" ht="15.75" customHeight="1" x14ac:dyDescent="0.25">
      <c r="A189" s="9" t="s">
        <v>803</v>
      </c>
      <c r="B189" s="300"/>
      <c r="C189" s="47">
        <v>768.33333333333337</v>
      </c>
      <c r="D189" s="11">
        <v>778</v>
      </c>
      <c r="E189" s="11">
        <v>778</v>
      </c>
      <c r="F189" s="28"/>
      <c r="G189" s="28"/>
      <c r="H189" s="3"/>
      <c r="I189" s="28"/>
      <c r="J189" s="28"/>
      <c r="K189" s="28"/>
      <c r="L189" s="28"/>
      <c r="M189" s="28"/>
      <c r="N189" s="28"/>
      <c r="O189" s="28"/>
      <c r="P189" s="28"/>
      <c r="Q189" s="28"/>
      <c r="R189" s="28"/>
      <c r="S189" s="28"/>
      <c r="T189" s="28"/>
      <c r="U189" s="28"/>
      <c r="V189" s="28"/>
      <c r="W189" s="28"/>
      <c r="X189" s="28"/>
      <c r="Y189" s="28"/>
      <c r="Z189" s="28"/>
    </row>
    <row r="190" spans="1:26" ht="15.75" customHeight="1" x14ac:dyDescent="0.25">
      <c r="A190" s="49" t="s">
        <v>804</v>
      </c>
      <c r="B190" s="300"/>
      <c r="C190" s="50">
        <v>609</v>
      </c>
      <c r="D190" s="51">
        <v>614</v>
      </c>
      <c r="E190" s="51">
        <v>614</v>
      </c>
      <c r="F190" s="28"/>
      <c r="G190" s="28"/>
      <c r="H190" s="3"/>
      <c r="I190" s="28"/>
      <c r="J190" s="28"/>
      <c r="K190" s="28"/>
      <c r="L190" s="28"/>
      <c r="M190" s="28"/>
      <c r="N190" s="28"/>
      <c r="O190" s="28"/>
      <c r="P190" s="28"/>
      <c r="Q190" s="28"/>
      <c r="R190" s="28"/>
      <c r="S190" s="28"/>
      <c r="T190" s="28"/>
      <c r="U190" s="28"/>
      <c r="V190" s="28"/>
      <c r="W190" s="28"/>
      <c r="X190" s="28"/>
      <c r="Y190" s="28"/>
      <c r="Z190" s="28"/>
    </row>
    <row r="191" spans="1:26" ht="15.75" customHeight="1" x14ac:dyDescent="0.25">
      <c r="A191" s="79"/>
      <c r="B191" s="81"/>
      <c r="C191" s="81"/>
      <c r="D191" s="81"/>
      <c r="E191" s="206"/>
      <c r="F191" s="28"/>
      <c r="G191" s="28"/>
      <c r="H191" s="3"/>
      <c r="I191" s="28"/>
      <c r="J191" s="28"/>
      <c r="K191" s="28"/>
      <c r="L191" s="28"/>
      <c r="M191" s="28"/>
      <c r="N191" s="28"/>
      <c r="O191" s="28"/>
      <c r="P191" s="28"/>
      <c r="Q191" s="28"/>
      <c r="R191" s="28"/>
      <c r="S191" s="28"/>
      <c r="T191" s="28"/>
      <c r="U191" s="28"/>
      <c r="V191" s="28"/>
      <c r="W191" s="28"/>
      <c r="X191" s="28"/>
      <c r="Y191" s="28"/>
      <c r="Z191" s="28"/>
    </row>
    <row r="192" spans="1:26" ht="15.75" customHeight="1" x14ac:dyDescent="0.25">
      <c r="A192" s="9" t="s">
        <v>60</v>
      </c>
      <c r="B192" s="299" t="s">
        <v>62</v>
      </c>
      <c r="C192" s="47">
        <v>19.741666666666667</v>
      </c>
      <c r="D192" s="53">
        <v>21</v>
      </c>
      <c r="E192" s="53">
        <v>21</v>
      </c>
      <c r="F192" s="28"/>
      <c r="G192" s="28"/>
      <c r="H192" s="3"/>
      <c r="I192" s="28"/>
      <c r="J192" s="28"/>
      <c r="K192" s="28"/>
      <c r="L192" s="28"/>
      <c r="M192" s="28"/>
      <c r="N192" s="28"/>
      <c r="O192" s="28"/>
      <c r="P192" s="28"/>
      <c r="Q192" s="28"/>
      <c r="R192" s="28"/>
      <c r="S192" s="28"/>
      <c r="T192" s="28"/>
      <c r="U192" s="28"/>
      <c r="V192" s="28"/>
      <c r="W192" s="28"/>
      <c r="X192" s="28"/>
      <c r="Y192" s="28"/>
      <c r="Z192" s="28"/>
    </row>
    <row r="193" spans="1:26" ht="15.75" customHeight="1" x14ac:dyDescent="0.25">
      <c r="A193" s="9" t="s">
        <v>65</v>
      </c>
      <c r="B193" s="300"/>
      <c r="C193" s="11">
        <v>42</v>
      </c>
      <c r="D193" s="54">
        <v>42</v>
      </c>
      <c r="E193" s="54">
        <v>42</v>
      </c>
      <c r="F193" s="28"/>
      <c r="G193" s="28"/>
      <c r="H193" s="3"/>
      <c r="I193" s="28"/>
      <c r="J193" s="28"/>
      <c r="K193" s="28"/>
      <c r="L193" s="28"/>
      <c r="M193" s="28"/>
      <c r="N193" s="28"/>
      <c r="O193" s="28"/>
      <c r="P193" s="28"/>
      <c r="Q193" s="28"/>
      <c r="R193" s="28"/>
      <c r="S193" s="28"/>
      <c r="T193" s="28"/>
      <c r="U193" s="28"/>
      <c r="V193" s="28"/>
      <c r="W193" s="28"/>
      <c r="X193" s="28"/>
      <c r="Y193" s="28"/>
      <c r="Z193" s="28"/>
    </row>
    <row r="194" spans="1:26" ht="15.75" customHeight="1" x14ac:dyDescent="0.25">
      <c r="A194" s="9" t="s">
        <v>64</v>
      </c>
      <c r="B194" s="301"/>
      <c r="C194" s="11">
        <v>42</v>
      </c>
      <c r="D194" s="55">
        <v>43</v>
      </c>
      <c r="E194" s="55">
        <v>43</v>
      </c>
      <c r="F194" s="28"/>
      <c r="G194" s="28"/>
      <c r="H194" s="3"/>
      <c r="I194" s="28"/>
      <c r="J194" s="28"/>
      <c r="K194" s="28"/>
      <c r="L194" s="28"/>
      <c r="M194" s="28"/>
      <c r="N194" s="28"/>
      <c r="O194" s="28"/>
      <c r="P194" s="28"/>
      <c r="Q194" s="28"/>
      <c r="R194" s="28"/>
      <c r="S194" s="28"/>
      <c r="T194" s="28"/>
      <c r="U194" s="28"/>
      <c r="V194" s="28"/>
      <c r="W194" s="28"/>
      <c r="X194" s="28"/>
      <c r="Y194" s="28"/>
      <c r="Z194" s="28"/>
    </row>
    <row r="195" spans="1:26" ht="15.75" customHeight="1" x14ac:dyDescent="0.25">
      <c r="A195" s="41"/>
      <c r="B195" s="42"/>
      <c r="C195" s="42"/>
      <c r="D195" s="11"/>
      <c r="E195" s="11"/>
      <c r="F195" s="28"/>
      <c r="G195" s="28"/>
      <c r="H195" s="3"/>
      <c r="I195" s="28"/>
      <c r="J195" s="28"/>
      <c r="K195" s="28"/>
      <c r="L195" s="28"/>
      <c r="M195" s="28"/>
      <c r="N195" s="28"/>
      <c r="O195" s="28"/>
      <c r="P195" s="28"/>
      <c r="Q195" s="28"/>
      <c r="R195" s="28"/>
      <c r="S195" s="28"/>
      <c r="T195" s="28"/>
      <c r="U195" s="28"/>
      <c r="V195" s="28"/>
      <c r="W195" s="28"/>
      <c r="X195" s="28"/>
      <c r="Y195" s="28"/>
      <c r="Z195" s="28"/>
    </row>
    <row r="196" spans="1:26" ht="15.75" customHeight="1" x14ac:dyDescent="0.25">
      <c r="A196" s="9" t="s">
        <v>66</v>
      </c>
      <c r="B196" s="302" t="s">
        <v>68</v>
      </c>
      <c r="C196" s="47">
        <v>204.5</v>
      </c>
      <c r="D196" s="11">
        <v>207</v>
      </c>
      <c r="E196" s="11">
        <v>207</v>
      </c>
      <c r="F196" s="28"/>
      <c r="G196" s="28"/>
      <c r="H196" s="3"/>
      <c r="I196" s="28"/>
      <c r="J196" s="28"/>
      <c r="K196" s="28"/>
      <c r="L196" s="28"/>
      <c r="M196" s="28"/>
      <c r="N196" s="28"/>
      <c r="O196" s="28"/>
      <c r="P196" s="28"/>
      <c r="Q196" s="28"/>
      <c r="R196" s="28"/>
      <c r="S196" s="28"/>
      <c r="T196" s="28"/>
      <c r="U196" s="28"/>
      <c r="V196" s="28"/>
      <c r="W196" s="28"/>
      <c r="X196" s="28"/>
      <c r="Y196" s="28"/>
      <c r="Z196" s="28"/>
    </row>
    <row r="197" spans="1:26" ht="15.75" customHeight="1" x14ac:dyDescent="0.25">
      <c r="A197" s="49" t="s">
        <v>69</v>
      </c>
      <c r="B197" s="300"/>
      <c r="C197" s="50">
        <v>277.7</v>
      </c>
      <c r="D197" s="51">
        <v>278</v>
      </c>
      <c r="E197" s="51">
        <v>278</v>
      </c>
      <c r="F197" s="28"/>
      <c r="G197" s="28"/>
      <c r="H197" s="3"/>
      <c r="I197" s="28"/>
      <c r="J197" s="28"/>
      <c r="K197" s="28"/>
      <c r="L197" s="28"/>
      <c r="M197" s="28"/>
      <c r="N197" s="28"/>
      <c r="O197" s="28"/>
      <c r="P197" s="28"/>
      <c r="Q197" s="28"/>
      <c r="R197" s="28"/>
      <c r="S197" s="28"/>
      <c r="T197" s="28"/>
      <c r="U197" s="28"/>
      <c r="V197" s="28"/>
      <c r="W197" s="28"/>
      <c r="X197" s="28"/>
      <c r="Y197" s="28"/>
      <c r="Z197" s="28"/>
    </row>
    <row r="198" spans="1:26" ht="15.75" customHeight="1" x14ac:dyDescent="0.25">
      <c r="A198" s="44"/>
      <c r="B198" s="46"/>
      <c r="C198" s="46"/>
      <c r="D198" s="46"/>
      <c r="E198" s="207"/>
      <c r="F198" s="28"/>
      <c r="G198" s="28"/>
      <c r="H198" s="3"/>
      <c r="I198" s="28"/>
      <c r="J198" s="28"/>
      <c r="K198" s="28"/>
      <c r="L198" s="28"/>
      <c r="M198" s="28"/>
      <c r="N198" s="28"/>
      <c r="O198" s="28"/>
      <c r="P198" s="28"/>
      <c r="Q198" s="28"/>
      <c r="R198" s="28"/>
      <c r="S198" s="28"/>
      <c r="T198" s="28"/>
      <c r="U198" s="28"/>
      <c r="V198" s="28"/>
      <c r="W198" s="28"/>
      <c r="X198" s="28"/>
      <c r="Y198" s="28"/>
      <c r="Z198" s="28"/>
    </row>
    <row r="199" spans="1:26" ht="15.75" customHeight="1" x14ac:dyDescent="0.25">
      <c r="A199" s="56" t="s">
        <v>69</v>
      </c>
      <c r="B199" s="303" t="s">
        <v>71</v>
      </c>
      <c r="C199" s="47">
        <v>12</v>
      </c>
      <c r="D199" s="11">
        <v>12</v>
      </c>
      <c r="E199" s="11">
        <v>12</v>
      </c>
      <c r="F199" s="28"/>
      <c r="G199" s="28"/>
      <c r="H199" s="3"/>
      <c r="I199" s="28"/>
      <c r="J199" s="28"/>
      <c r="K199" s="28"/>
      <c r="L199" s="28"/>
      <c r="M199" s="28"/>
      <c r="N199" s="28"/>
      <c r="O199" s="28"/>
      <c r="P199" s="28"/>
      <c r="Q199" s="28"/>
      <c r="R199" s="28"/>
      <c r="S199" s="28"/>
      <c r="T199" s="28"/>
      <c r="U199" s="28"/>
      <c r="V199" s="28"/>
      <c r="W199" s="28"/>
      <c r="X199" s="28"/>
      <c r="Y199" s="28"/>
      <c r="Z199" s="28"/>
    </row>
    <row r="200" spans="1:26" ht="15.75" customHeight="1" x14ac:dyDescent="0.25">
      <c r="A200" s="56" t="s">
        <v>72</v>
      </c>
      <c r="B200" s="300"/>
      <c r="C200" s="47">
        <v>14</v>
      </c>
      <c r="D200" s="11">
        <v>13</v>
      </c>
      <c r="E200" s="11">
        <v>13</v>
      </c>
      <c r="F200" s="28"/>
      <c r="G200" s="28"/>
      <c r="H200" s="3"/>
      <c r="I200" s="28"/>
      <c r="J200" s="28"/>
      <c r="K200" s="28"/>
      <c r="L200" s="28"/>
      <c r="M200" s="28"/>
      <c r="N200" s="28"/>
      <c r="O200" s="28"/>
      <c r="P200" s="28"/>
      <c r="Q200" s="28"/>
      <c r="R200" s="28"/>
      <c r="S200" s="28"/>
      <c r="T200" s="28"/>
      <c r="U200" s="28"/>
      <c r="V200" s="28"/>
      <c r="W200" s="28"/>
      <c r="X200" s="28"/>
      <c r="Y200" s="28"/>
      <c r="Z200" s="28"/>
    </row>
    <row r="201" spans="1:26" ht="15.75" customHeight="1" x14ac:dyDescent="0.25">
      <c r="A201" s="56" t="s">
        <v>73</v>
      </c>
      <c r="B201" s="301"/>
      <c r="C201" s="47">
        <v>17.43333333333333</v>
      </c>
      <c r="D201" s="11">
        <v>16</v>
      </c>
      <c r="E201" s="11">
        <v>16</v>
      </c>
      <c r="F201" s="28"/>
      <c r="G201" s="28"/>
      <c r="H201" s="3"/>
      <c r="I201" s="28"/>
      <c r="J201" s="28"/>
      <c r="K201" s="28"/>
      <c r="L201" s="28"/>
      <c r="M201" s="28"/>
      <c r="N201" s="28"/>
      <c r="O201" s="28"/>
      <c r="P201" s="28"/>
      <c r="Q201" s="28"/>
      <c r="R201" s="28"/>
      <c r="S201" s="28"/>
      <c r="T201" s="28"/>
      <c r="U201" s="28"/>
      <c r="V201" s="28"/>
      <c r="W201" s="28"/>
      <c r="X201" s="28"/>
      <c r="Y201" s="28"/>
      <c r="Z201" s="28"/>
    </row>
    <row r="202" spans="1:26" ht="15.75" customHeight="1" x14ac:dyDescent="0.25">
      <c r="A202" s="92"/>
      <c r="B202" s="69"/>
      <c r="C202" s="69"/>
      <c r="D202" s="11"/>
      <c r="E202" s="11"/>
      <c r="F202" s="28"/>
      <c r="G202" s="28"/>
      <c r="H202" s="3"/>
      <c r="I202" s="28"/>
      <c r="J202" s="28"/>
      <c r="K202" s="28"/>
      <c r="L202" s="28"/>
      <c r="M202" s="28"/>
      <c r="N202" s="28"/>
      <c r="O202" s="28"/>
      <c r="P202" s="28"/>
      <c r="Q202" s="28"/>
      <c r="R202" s="28"/>
      <c r="S202" s="28"/>
      <c r="T202" s="28"/>
      <c r="U202" s="28"/>
      <c r="V202" s="28"/>
      <c r="W202" s="28"/>
      <c r="X202" s="28"/>
      <c r="Y202" s="28"/>
      <c r="Z202" s="28"/>
    </row>
    <row r="203" spans="1:26" ht="15.75" customHeight="1" x14ac:dyDescent="0.25">
      <c r="A203" s="56" t="s">
        <v>80</v>
      </c>
      <c r="B203" s="309" t="s">
        <v>77</v>
      </c>
      <c r="C203" s="47">
        <v>117</v>
      </c>
      <c r="D203" s="11">
        <v>118</v>
      </c>
      <c r="E203" s="11">
        <v>118</v>
      </c>
      <c r="F203" s="28"/>
      <c r="G203" s="28"/>
      <c r="H203" s="3"/>
      <c r="I203" s="28"/>
      <c r="J203" s="28"/>
      <c r="K203" s="28"/>
      <c r="L203" s="28"/>
      <c r="M203" s="28"/>
      <c r="N203" s="28"/>
      <c r="O203" s="28"/>
      <c r="P203" s="28"/>
      <c r="Q203" s="28"/>
      <c r="R203" s="28"/>
      <c r="S203" s="28"/>
      <c r="T203" s="28"/>
      <c r="U203" s="28"/>
      <c r="V203" s="28"/>
      <c r="W203" s="28"/>
      <c r="X203" s="28"/>
      <c r="Y203" s="28"/>
      <c r="Z203" s="28"/>
    </row>
    <row r="204" spans="1:26" ht="15.75" customHeight="1" x14ac:dyDescent="0.25">
      <c r="A204" s="56" t="s">
        <v>78</v>
      </c>
      <c r="B204" s="300"/>
      <c r="C204" s="47">
        <v>188</v>
      </c>
      <c r="D204" s="11">
        <v>185</v>
      </c>
      <c r="E204" s="11">
        <v>185</v>
      </c>
      <c r="F204" s="28"/>
      <c r="G204" s="28"/>
      <c r="H204" s="3"/>
      <c r="I204" s="28"/>
      <c r="J204" s="28"/>
      <c r="K204" s="28"/>
      <c r="L204" s="28"/>
      <c r="M204" s="28"/>
      <c r="N204" s="28"/>
      <c r="O204" s="28"/>
      <c r="P204" s="28"/>
      <c r="Q204" s="28"/>
      <c r="R204" s="28"/>
      <c r="S204" s="28"/>
      <c r="T204" s="28"/>
      <c r="U204" s="28"/>
      <c r="V204" s="28"/>
      <c r="W204" s="28"/>
      <c r="X204" s="28"/>
      <c r="Y204" s="28"/>
      <c r="Z204" s="28"/>
    </row>
    <row r="205" spans="1:26" ht="15.75" customHeight="1" x14ac:dyDescent="0.25">
      <c r="A205" s="56" t="s">
        <v>76</v>
      </c>
      <c r="B205" s="300"/>
      <c r="C205" s="47">
        <v>218</v>
      </c>
      <c r="D205" s="11">
        <v>215</v>
      </c>
      <c r="E205" s="11">
        <v>215</v>
      </c>
      <c r="F205" s="28"/>
      <c r="G205" s="28"/>
      <c r="H205" s="3"/>
      <c r="I205" s="28"/>
      <c r="J205" s="28"/>
      <c r="K205" s="28"/>
      <c r="L205" s="28"/>
      <c r="M205" s="28"/>
      <c r="N205" s="28"/>
      <c r="O205" s="28"/>
      <c r="P205" s="28"/>
      <c r="Q205" s="28"/>
      <c r="R205" s="28"/>
      <c r="S205" s="28"/>
      <c r="T205" s="28"/>
      <c r="U205" s="28"/>
      <c r="V205" s="28"/>
      <c r="W205" s="28"/>
      <c r="X205" s="28"/>
      <c r="Y205" s="28"/>
      <c r="Z205" s="28"/>
    </row>
    <row r="206" spans="1:26" ht="15.75" customHeight="1" x14ac:dyDescent="0.25">
      <c r="A206" s="57" t="s">
        <v>79</v>
      </c>
      <c r="B206" s="300"/>
      <c r="C206" s="50">
        <v>239</v>
      </c>
      <c r="D206" s="51">
        <v>242</v>
      </c>
      <c r="E206" s="51">
        <v>242</v>
      </c>
      <c r="F206" s="28"/>
      <c r="G206" s="28"/>
      <c r="H206" s="3"/>
      <c r="I206" s="28"/>
      <c r="J206" s="28"/>
      <c r="K206" s="28"/>
      <c r="L206" s="28"/>
      <c r="M206" s="28"/>
      <c r="N206" s="28"/>
      <c r="O206" s="28"/>
      <c r="P206" s="28"/>
      <c r="Q206" s="28"/>
      <c r="R206" s="28"/>
      <c r="S206" s="28"/>
      <c r="T206" s="28"/>
      <c r="U206" s="28"/>
      <c r="V206" s="28"/>
      <c r="W206" s="28"/>
      <c r="X206" s="28"/>
      <c r="Y206" s="28"/>
      <c r="Z206" s="28"/>
    </row>
    <row r="207" spans="1:26" ht="15.75" customHeight="1" x14ac:dyDescent="0.25">
      <c r="A207" s="44"/>
      <c r="B207" s="46"/>
      <c r="C207" s="46"/>
      <c r="D207" s="46"/>
      <c r="E207" s="207"/>
      <c r="F207" s="28"/>
      <c r="G207" s="28"/>
      <c r="H207" s="3"/>
      <c r="I207" s="28"/>
      <c r="J207" s="28"/>
      <c r="K207" s="28"/>
      <c r="L207" s="28"/>
      <c r="M207" s="28"/>
      <c r="N207" s="28"/>
      <c r="O207" s="28"/>
      <c r="P207" s="28"/>
      <c r="Q207" s="28"/>
      <c r="R207" s="28"/>
      <c r="S207" s="28"/>
      <c r="T207" s="28"/>
      <c r="U207" s="28"/>
      <c r="V207" s="28"/>
      <c r="W207" s="28"/>
      <c r="X207" s="28"/>
      <c r="Y207" s="28"/>
      <c r="Z207" s="28"/>
    </row>
    <row r="208" spans="1:26" ht="15.75" customHeight="1" x14ac:dyDescent="0.25">
      <c r="A208" s="9" t="s">
        <v>81</v>
      </c>
      <c r="B208" s="299" t="s">
        <v>82</v>
      </c>
      <c r="C208" s="11">
        <v>2</v>
      </c>
      <c r="D208" s="11">
        <v>2</v>
      </c>
      <c r="E208" s="11">
        <v>2</v>
      </c>
      <c r="F208" s="28"/>
      <c r="G208" s="28"/>
      <c r="H208" s="3"/>
      <c r="I208" s="28"/>
      <c r="J208" s="28"/>
      <c r="K208" s="28"/>
      <c r="L208" s="28"/>
      <c r="M208" s="28"/>
      <c r="N208" s="28"/>
      <c r="O208" s="28"/>
      <c r="P208" s="28"/>
      <c r="Q208" s="28"/>
      <c r="R208" s="28"/>
      <c r="S208" s="28"/>
      <c r="T208" s="28"/>
      <c r="U208" s="28"/>
      <c r="V208" s="28"/>
      <c r="W208" s="28"/>
      <c r="X208" s="28"/>
      <c r="Y208" s="28"/>
      <c r="Z208" s="28"/>
    </row>
    <row r="209" spans="1:26" ht="15.75" customHeight="1" x14ac:dyDescent="0.25">
      <c r="A209" s="9" t="s">
        <v>83</v>
      </c>
      <c r="B209" s="300"/>
      <c r="C209" s="11">
        <v>10</v>
      </c>
      <c r="D209" s="11">
        <v>10</v>
      </c>
      <c r="E209" s="11">
        <v>10</v>
      </c>
      <c r="F209" s="28"/>
      <c r="G209" s="28"/>
      <c r="H209" s="3"/>
      <c r="I209" s="28"/>
      <c r="J209" s="28"/>
      <c r="K209" s="28"/>
      <c r="L209" s="28"/>
      <c r="M209" s="28"/>
      <c r="N209" s="28"/>
      <c r="O209" s="28"/>
      <c r="P209" s="28"/>
      <c r="Q209" s="28"/>
      <c r="R209" s="28"/>
      <c r="S209" s="28"/>
      <c r="T209" s="28"/>
      <c r="U209" s="28"/>
      <c r="V209" s="28"/>
      <c r="W209" s="28"/>
      <c r="X209" s="28"/>
      <c r="Y209" s="28"/>
      <c r="Z209" s="28"/>
    </row>
    <row r="210" spans="1:26" ht="15.75" customHeight="1" x14ac:dyDescent="0.25">
      <c r="A210" s="9" t="s">
        <v>155</v>
      </c>
      <c r="B210" s="301"/>
      <c r="C210" s="11">
        <v>3</v>
      </c>
      <c r="D210" s="11">
        <v>4</v>
      </c>
      <c r="E210" s="11">
        <v>4</v>
      </c>
      <c r="F210" s="28"/>
      <c r="G210" s="28"/>
      <c r="H210" s="3"/>
      <c r="I210" s="28"/>
      <c r="J210" s="28"/>
      <c r="K210" s="28"/>
      <c r="L210" s="28"/>
      <c r="M210" s="28"/>
      <c r="N210" s="28"/>
      <c r="O210" s="28"/>
      <c r="P210" s="28"/>
      <c r="Q210" s="28"/>
      <c r="R210" s="28"/>
      <c r="S210" s="28"/>
      <c r="T210" s="28"/>
      <c r="U210" s="28"/>
      <c r="V210" s="28"/>
      <c r="W210" s="28"/>
      <c r="X210" s="28"/>
      <c r="Y210" s="28"/>
      <c r="Z210" s="28"/>
    </row>
    <row r="211" spans="1:26" ht="15.75" customHeight="1" x14ac:dyDescent="0.25">
      <c r="A211" s="41"/>
      <c r="B211" s="42"/>
      <c r="C211" s="42"/>
      <c r="D211" s="201"/>
      <c r="E211" s="24"/>
      <c r="F211" s="28"/>
      <c r="G211" s="28"/>
      <c r="H211" s="3"/>
      <c r="I211" s="28"/>
      <c r="J211" s="28"/>
      <c r="K211" s="28"/>
      <c r="L211" s="28"/>
      <c r="M211" s="28"/>
      <c r="N211" s="28"/>
      <c r="O211" s="28"/>
      <c r="P211" s="28"/>
      <c r="Q211" s="28"/>
      <c r="R211" s="28"/>
      <c r="S211" s="28"/>
      <c r="T211" s="28"/>
      <c r="U211" s="28"/>
      <c r="V211" s="28"/>
      <c r="W211" s="28"/>
      <c r="X211" s="28"/>
      <c r="Y211" s="28"/>
      <c r="Z211" s="28"/>
    </row>
    <row r="212" spans="1:26" ht="15.75" customHeight="1" x14ac:dyDescent="0.25">
      <c r="A212" s="9" t="s">
        <v>86</v>
      </c>
      <c r="B212" s="302" t="s">
        <v>87</v>
      </c>
      <c r="C212" s="11">
        <v>19</v>
      </c>
      <c r="D212" s="11">
        <v>19</v>
      </c>
      <c r="E212" s="11">
        <v>19</v>
      </c>
      <c r="F212" s="28"/>
      <c r="G212" s="28"/>
      <c r="H212" s="3"/>
      <c r="I212" s="28"/>
      <c r="J212" s="28"/>
      <c r="K212" s="28"/>
      <c r="L212" s="28"/>
      <c r="M212" s="28"/>
      <c r="N212" s="28"/>
      <c r="O212" s="28"/>
      <c r="P212" s="28"/>
      <c r="Q212" s="28"/>
      <c r="R212" s="28"/>
      <c r="S212" s="28"/>
      <c r="T212" s="28"/>
      <c r="U212" s="28"/>
      <c r="V212" s="28"/>
      <c r="W212" s="28"/>
      <c r="X212" s="28"/>
      <c r="Y212" s="28"/>
      <c r="Z212" s="28"/>
    </row>
    <row r="213" spans="1:26" ht="15.75" customHeight="1" x14ac:dyDescent="0.25">
      <c r="A213" s="49" t="s">
        <v>88</v>
      </c>
      <c r="B213" s="300"/>
      <c r="C213" s="51">
        <v>20</v>
      </c>
      <c r="D213" s="51">
        <v>20</v>
      </c>
      <c r="E213" s="51">
        <v>20</v>
      </c>
      <c r="F213" s="28"/>
      <c r="G213" s="28"/>
      <c r="H213" s="3"/>
      <c r="I213" s="28"/>
      <c r="J213" s="28"/>
      <c r="K213" s="28"/>
      <c r="L213" s="28"/>
      <c r="M213" s="28"/>
      <c r="N213" s="28"/>
      <c r="O213" s="28"/>
      <c r="P213" s="28"/>
      <c r="Q213" s="28"/>
      <c r="R213" s="28"/>
      <c r="S213" s="28"/>
      <c r="T213" s="28"/>
      <c r="U213" s="28"/>
      <c r="V213" s="28"/>
      <c r="W213" s="28"/>
      <c r="X213" s="28"/>
      <c r="Y213" s="28"/>
      <c r="Z213" s="28"/>
    </row>
    <row r="214" spans="1:26" ht="15.75" customHeight="1" x14ac:dyDescent="0.25">
      <c r="A214" s="44"/>
      <c r="B214" s="46"/>
      <c r="C214" s="46"/>
      <c r="D214" s="46"/>
      <c r="E214" s="207"/>
      <c r="F214" s="28"/>
      <c r="G214" s="28"/>
      <c r="H214" s="3"/>
      <c r="I214" s="28"/>
      <c r="J214" s="28"/>
      <c r="K214" s="28"/>
      <c r="L214" s="28"/>
      <c r="M214" s="28"/>
      <c r="N214" s="28"/>
      <c r="O214" s="28"/>
      <c r="P214" s="28"/>
      <c r="Q214" s="28"/>
      <c r="R214" s="28"/>
      <c r="S214" s="28"/>
      <c r="T214" s="28"/>
      <c r="U214" s="28"/>
      <c r="V214" s="28"/>
      <c r="W214" s="28"/>
      <c r="X214" s="28"/>
      <c r="Y214" s="28"/>
      <c r="Z214" s="28"/>
    </row>
    <row r="215" spans="1:26" ht="15.75" customHeight="1" x14ac:dyDescent="0.25">
      <c r="A215" s="9" t="s">
        <v>89</v>
      </c>
      <c r="B215" s="299" t="s">
        <v>90</v>
      </c>
      <c r="C215" s="11">
        <v>6</v>
      </c>
      <c r="D215" s="11">
        <v>6</v>
      </c>
      <c r="E215" s="11">
        <v>6</v>
      </c>
      <c r="F215" s="28"/>
      <c r="G215" s="28"/>
      <c r="H215" s="3"/>
      <c r="I215" s="28"/>
      <c r="J215" s="28"/>
      <c r="K215" s="28"/>
      <c r="L215" s="28"/>
      <c r="M215" s="28"/>
      <c r="N215" s="28"/>
      <c r="O215" s="28"/>
      <c r="P215" s="28"/>
      <c r="Q215" s="28"/>
      <c r="R215" s="28"/>
      <c r="S215" s="28"/>
      <c r="T215" s="28"/>
      <c r="U215" s="28"/>
      <c r="V215" s="28"/>
      <c r="W215" s="28"/>
      <c r="X215" s="28"/>
      <c r="Y215" s="28"/>
      <c r="Z215" s="28"/>
    </row>
    <row r="216" spans="1:26" ht="15.75" customHeight="1" x14ac:dyDescent="0.25">
      <c r="A216" s="9" t="s">
        <v>91</v>
      </c>
      <c r="B216" s="300"/>
      <c r="C216" s="11">
        <v>17</v>
      </c>
      <c r="D216" s="11">
        <v>17</v>
      </c>
      <c r="E216" s="11">
        <v>17</v>
      </c>
      <c r="F216" s="28"/>
      <c r="G216" s="28"/>
      <c r="H216" s="3"/>
      <c r="I216" s="28"/>
      <c r="J216" s="28"/>
      <c r="K216" s="28"/>
      <c r="L216" s="28"/>
      <c r="M216" s="28"/>
      <c r="N216" s="28"/>
      <c r="O216" s="28"/>
      <c r="P216" s="28"/>
      <c r="Q216" s="28"/>
      <c r="R216" s="28"/>
      <c r="S216" s="28"/>
      <c r="T216" s="28"/>
      <c r="U216" s="28"/>
      <c r="V216" s="28"/>
      <c r="W216" s="28"/>
      <c r="X216" s="28"/>
      <c r="Y216" s="28"/>
      <c r="Z216" s="28"/>
    </row>
    <row r="217" spans="1:26" ht="15.75" customHeight="1" x14ac:dyDescent="0.25">
      <c r="A217" s="49" t="s">
        <v>92</v>
      </c>
      <c r="B217" s="300"/>
      <c r="C217" s="51"/>
      <c r="D217" s="51"/>
      <c r="E217" s="11"/>
      <c r="F217" s="28"/>
      <c r="G217" s="28"/>
      <c r="H217" s="3"/>
      <c r="I217" s="28"/>
      <c r="J217" s="28"/>
      <c r="K217" s="28"/>
      <c r="L217" s="28"/>
      <c r="M217" s="28"/>
      <c r="N217" s="28"/>
      <c r="O217" s="28"/>
      <c r="P217" s="28"/>
      <c r="Q217" s="28"/>
      <c r="R217" s="28"/>
      <c r="S217" s="28"/>
      <c r="T217" s="28"/>
      <c r="U217" s="28"/>
      <c r="V217" s="28"/>
      <c r="W217" s="28"/>
      <c r="X217" s="28"/>
      <c r="Y217" s="28"/>
      <c r="Z217" s="28"/>
    </row>
    <row r="218" spans="1:26" ht="15.75" customHeight="1" x14ac:dyDescent="0.25">
      <c r="A218" s="135"/>
      <c r="B218" s="136"/>
      <c r="C218" s="136"/>
      <c r="D218" s="136"/>
      <c r="E218" s="17"/>
      <c r="F218" s="28"/>
      <c r="G218" s="28"/>
      <c r="H218" s="3"/>
      <c r="I218" s="28"/>
      <c r="J218" s="28"/>
      <c r="K218" s="28"/>
      <c r="L218" s="28"/>
      <c r="M218" s="28"/>
      <c r="N218" s="28"/>
      <c r="O218" s="28"/>
      <c r="P218" s="28"/>
      <c r="Q218" s="28"/>
      <c r="R218" s="28"/>
      <c r="S218" s="28"/>
      <c r="T218" s="28"/>
      <c r="U218" s="28"/>
      <c r="V218" s="28"/>
      <c r="W218" s="28"/>
      <c r="X218" s="28"/>
      <c r="Y218" s="28"/>
      <c r="Z218" s="28"/>
    </row>
    <row r="219" spans="1:26" ht="15.75" customHeight="1" x14ac:dyDescent="0.25">
      <c r="A219" s="9" t="s">
        <v>94</v>
      </c>
      <c r="B219" s="299" t="s">
        <v>95</v>
      </c>
      <c r="C219" s="47">
        <v>49.666666666666664</v>
      </c>
      <c r="D219" s="11">
        <v>55</v>
      </c>
      <c r="E219" s="11">
        <v>55</v>
      </c>
      <c r="F219" s="28"/>
      <c r="G219" s="28"/>
      <c r="H219" s="3"/>
      <c r="I219" s="28"/>
      <c r="J219" s="28"/>
      <c r="K219" s="28"/>
      <c r="L219" s="28"/>
      <c r="M219" s="28"/>
      <c r="N219" s="28"/>
      <c r="O219" s="28"/>
      <c r="P219" s="28"/>
      <c r="Q219" s="28"/>
      <c r="R219" s="28"/>
      <c r="S219" s="28"/>
      <c r="T219" s="28"/>
      <c r="U219" s="28"/>
      <c r="V219" s="28"/>
      <c r="W219" s="28"/>
      <c r="X219" s="28"/>
      <c r="Y219" s="28"/>
      <c r="Z219" s="28"/>
    </row>
    <row r="220" spans="1:26" ht="15.75" customHeight="1" x14ac:dyDescent="0.25">
      <c r="A220" s="9" t="s">
        <v>97</v>
      </c>
      <c r="B220" s="300"/>
      <c r="C220" s="47">
        <v>124.33333333333333</v>
      </c>
      <c r="D220" s="11">
        <v>128</v>
      </c>
      <c r="E220" s="11">
        <v>128</v>
      </c>
      <c r="F220" s="28"/>
      <c r="G220" s="28"/>
      <c r="H220" s="3"/>
      <c r="I220" s="28"/>
      <c r="J220" s="28"/>
      <c r="K220" s="28"/>
      <c r="L220" s="28"/>
      <c r="M220" s="28"/>
      <c r="N220" s="28"/>
      <c r="O220" s="28"/>
      <c r="P220" s="28"/>
      <c r="Q220" s="28"/>
      <c r="R220" s="28"/>
      <c r="S220" s="28"/>
      <c r="T220" s="28"/>
      <c r="U220" s="28"/>
      <c r="V220" s="28"/>
      <c r="W220" s="28"/>
      <c r="X220" s="28"/>
      <c r="Y220" s="28"/>
      <c r="Z220" s="28"/>
    </row>
    <row r="221" spans="1:26" ht="15.75" customHeight="1" x14ac:dyDescent="0.25">
      <c r="A221" s="9" t="s">
        <v>96</v>
      </c>
      <c r="B221" s="300"/>
      <c r="C221" s="47">
        <v>127</v>
      </c>
      <c r="D221" s="11">
        <v>129</v>
      </c>
      <c r="E221" s="11">
        <v>129</v>
      </c>
      <c r="F221" s="28"/>
      <c r="G221" s="28"/>
      <c r="H221" s="3"/>
      <c r="I221" s="28"/>
      <c r="J221" s="28"/>
      <c r="K221" s="28"/>
      <c r="L221" s="28"/>
      <c r="M221" s="28"/>
      <c r="N221" s="28"/>
      <c r="O221" s="28"/>
      <c r="P221" s="28"/>
      <c r="Q221" s="28"/>
      <c r="R221" s="28"/>
      <c r="S221" s="28"/>
      <c r="T221" s="28"/>
      <c r="U221" s="28"/>
      <c r="V221" s="28"/>
      <c r="W221" s="28"/>
      <c r="X221" s="28"/>
      <c r="Y221" s="28"/>
      <c r="Z221" s="28"/>
    </row>
    <row r="222" spans="1:26" ht="15.75" customHeight="1" x14ac:dyDescent="0.25">
      <c r="A222" s="9" t="s">
        <v>98</v>
      </c>
      <c r="B222" s="300"/>
      <c r="C222" s="47">
        <v>134.66666666666666</v>
      </c>
      <c r="D222" s="11">
        <v>137</v>
      </c>
      <c r="E222" s="11">
        <v>137</v>
      </c>
      <c r="F222" s="28"/>
      <c r="G222" s="28"/>
      <c r="H222" s="3"/>
      <c r="I222" s="28"/>
      <c r="J222" s="28"/>
      <c r="K222" s="28"/>
      <c r="L222" s="28"/>
      <c r="M222" s="28"/>
      <c r="N222" s="28"/>
      <c r="O222" s="28"/>
      <c r="P222" s="28"/>
      <c r="Q222" s="28"/>
      <c r="R222" s="28"/>
      <c r="S222" s="28"/>
      <c r="T222" s="28"/>
      <c r="U222" s="28"/>
      <c r="V222" s="28"/>
      <c r="W222" s="28"/>
      <c r="X222" s="28"/>
      <c r="Y222" s="28"/>
      <c r="Z222" s="28"/>
    </row>
    <row r="223" spans="1:26" ht="15.75" customHeight="1" x14ac:dyDescent="0.25">
      <c r="A223" s="9" t="s">
        <v>99</v>
      </c>
      <c r="B223" s="301"/>
      <c r="C223" s="47">
        <v>152</v>
      </c>
      <c r="D223" s="11">
        <v>152</v>
      </c>
      <c r="E223" s="11">
        <v>152</v>
      </c>
      <c r="F223" s="28"/>
      <c r="G223" s="28"/>
      <c r="H223" s="3"/>
      <c r="I223" s="28"/>
      <c r="J223" s="28"/>
      <c r="K223" s="28"/>
      <c r="L223" s="28"/>
      <c r="M223" s="28"/>
      <c r="N223" s="28"/>
      <c r="O223" s="28"/>
      <c r="P223" s="28"/>
      <c r="Q223" s="28"/>
      <c r="R223" s="28"/>
      <c r="S223" s="28"/>
      <c r="T223" s="28"/>
      <c r="U223" s="28"/>
      <c r="V223" s="28"/>
      <c r="W223" s="28"/>
      <c r="X223" s="28"/>
      <c r="Y223" s="28"/>
      <c r="Z223" s="28"/>
    </row>
    <row r="224" spans="1:26" ht="15.75" customHeight="1" x14ac:dyDescent="0.25">
      <c r="A224" s="28"/>
      <c r="B224" s="28"/>
      <c r="C224" s="28"/>
      <c r="D224" s="28"/>
      <c r="E224" s="3"/>
      <c r="F224" s="28"/>
      <c r="G224" s="28"/>
      <c r="H224" s="28"/>
      <c r="I224" s="28"/>
      <c r="J224" s="28"/>
      <c r="K224" s="28"/>
      <c r="L224" s="28"/>
      <c r="M224" s="28"/>
      <c r="N224" s="28"/>
      <c r="O224" s="28"/>
      <c r="P224" s="28"/>
      <c r="Q224" s="28"/>
      <c r="R224" s="28"/>
      <c r="S224" s="28"/>
      <c r="T224" s="28"/>
      <c r="U224" s="28"/>
      <c r="V224" s="28"/>
      <c r="W224" s="28"/>
      <c r="X224" s="28"/>
      <c r="Y224" s="28"/>
      <c r="Z224" s="28"/>
    </row>
    <row r="225" spans="1:26" ht="15.75" customHeight="1" x14ac:dyDescent="0.25">
      <c r="E225" s="3"/>
    </row>
    <row r="226" spans="1:26" ht="15.75" customHeight="1" x14ac:dyDescent="0.25">
      <c r="E226" s="3"/>
    </row>
    <row r="227" spans="1:26" ht="15.75" customHeight="1" x14ac:dyDescent="0.25">
      <c r="A227" s="345"/>
      <c r="B227" s="297"/>
      <c r="C227" s="297"/>
      <c r="D227" s="297"/>
      <c r="E227" s="297"/>
      <c r="F227" s="297"/>
      <c r="G227" s="297"/>
      <c r="H227" s="297"/>
      <c r="I227" s="297"/>
      <c r="J227" s="297"/>
      <c r="K227" s="297"/>
      <c r="L227" s="297"/>
      <c r="M227" s="297"/>
      <c r="N227" s="297"/>
      <c r="O227" s="297"/>
      <c r="P227" s="297"/>
      <c r="Q227" s="297"/>
      <c r="R227" s="297"/>
      <c r="S227" s="297"/>
      <c r="T227" s="297"/>
      <c r="U227" s="297"/>
      <c r="V227" s="297"/>
      <c r="W227" s="297"/>
      <c r="X227" s="297"/>
      <c r="Y227" s="298"/>
      <c r="Z227" s="28"/>
    </row>
    <row r="228" spans="1:26" ht="15.75" customHeight="1" x14ac:dyDescent="0.25">
      <c r="A228" s="28"/>
      <c r="B228" s="28"/>
      <c r="C228" s="28"/>
      <c r="D228" s="28"/>
      <c r="E228" s="3"/>
      <c r="F228" s="28"/>
      <c r="G228" s="28"/>
      <c r="H228" s="28"/>
      <c r="I228" s="28"/>
      <c r="J228" s="28"/>
      <c r="K228" s="28"/>
      <c r="L228" s="28"/>
      <c r="M228" s="28"/>
      <c r="N228" s="28"/>
      <c r="O228" s="28"/>
      <c r="P228" s="28"/>
      <c r="Q228" s="28"/>
      <c r="R228" s="28"/>
      <c r="S228" s="28"/>
      <c r="T228" s="28"/>
      <c r="U228" s="28"/>
      <c r="V228" s="28"/>
      <c r="W228" s="28"/>
      <c r="X228" s="28"/>
      <c r="Y228" s="28"/>
      <c r="Z228" s="28"/>
    </row>
    <row r="229" spans="1:26" ht="15.75" customHeight="1" x14ac:dyDescent="0.3">
      <c r="A229" s="161" t="s">
        <v>353</v>
      </c>
      <c r="B229" s="163" t="s">
        <v>780</v>
      </c>
      <c r="C229" s="28"/>
      <c r="D229" s="28"/>
      <c r="E229" s="3"/>
      <c r="F229" s="28"/>
      <c r="G229" s="28"/>
      <c r="H229" s="28"/>
      <c r="I229" s="28"/>
      <c r="J229" s="28"/>
      <c r="K229" s="28"/>
      <c r="L229" s="28"/>
      <c r="M229" s="28"/>
      <c r="N229" s="28"/>
      <c r="O229" s="28"/>
      <c r="P229" s="28"/>
      <c r="Q229" s="28"/>
      <c r="R229" s="28"/>
      <c r="S229" s="28"/>
      <c r="T229" s="28"/>
      <c r="U229" s="28"/>
      <c r="V229" s="28"/>
      <c r="W229" s="28"/>
      <c r="X229" s="28"/>
      <c r="Y229" s="28"/>
      <c r="Z229" s="28"/>
    </row>
    <row r="230" spans="1:26" ht="15.75" customHeight="1" x14ac:dyDescent="0.3">
      <c r="A230" s="164" t="s">
        <v>360</v>
      </c>
      <c r="B230" s="165" t="s">
        <v>850</v>
      </c>
      <c r="C230" s="28"/>
      <c r="D230" s="28"/>
      <c r="E230" s="3"/>
      <c r="F230" s="28"/>
      <c r="G230" s="28"/>
      <c r="H230" s="28"/>
      <c r="I230" s="28"/>
      <c r="J230" s="28"/>
      <c r="K230" s="28"/>
      <c r="L230" s="28"/>
      <c r="M230" s="28"/>
      <c r="N230" s="28"/>
      <c r="O230" s="28"/>
      <c r="P230" s="28"/>
      <c r="Q230" s="28"/>
      <c r="R230" s="28"/>
      <c r="S230" s="28"/>
      <c r="T230" s="28"/>
      <c r="U230" s="28"/>
      <c r="V230" s="28"/>
      <c r="W230" s="28"/>
      <c r="X230" s="28"/>
      <c r="Y230" s="28"/>
      <c r="Z230" s="28"/>
    </row>
    <row r="231" spans="1:26" ht="15.75" customHeight="1" x14ac:dyDescent="0.25">
      <c r="A231" s="212" t="s">
        <v>851</v>
      </c>
      <c r="B231" s="213"/>
      <c r="C231" s="28"/>
      <c r="D231" s="28"/>
      <c r="E231" s="28"/>
      <c r="F231" s="28"/>
      <c r="G231" s="28"/>
      <c r="H231" s="3"/>
      <c r="I231" s="28"/>
      <c r="J231" s="28"/>
      <c r="K231" s="28"/>
      <c r="L231" s="28"/>
      <c r="M231" s="28"/>
      <c r="N231" s="28"/>
      <c r="O231" s="28"/>
      <c r="P231" s="28"/>
      <c r="Q231" s="28"/>
      <c r="R231" s="28"/>
      <c r="S231" s="28"/>
      <c r="T231" s="28"/>
      <c r="U231" s="28"/>
      <c r="V231" s="28"/>
      <c r="W231" s="28"/>
      <c r="X231" s="28"/>
      <c r="Y231" s="28"/>
      <c r="Z231" s="28"/>
    </row>
    <row r="232" spans="1:26" ht="15.75" customHeight="1" x14ac:dyDescent="0.25">
      <c r="A232" s="4" t="s">
        <v>0</v>
      </c>
      <c r="B232" s="5" t="s">
        <v>1</v>
      </c>
      <c r="C232" s="5" t="s">
        <v>2</v>
      </c>
      <c r="D232" s="5" t="s">
        <v>43</v>
      </c>
      <c r="E232" s="45" t="s">
        <v>125</v>
      </c>
      <c r="F232" s="28"/>
      <c r="G232" s="296" t="s">
        <v>6</v>
      </c>
      <c r="H232" s="297"/>
      <c r="I232" s="297"/>
      <c r="J232" s="297"/>
      <c r="K232" s="297"/>
      <c r="L232" s="298"/>
      <c r="M232" s="28"/>
      <c r="N232" s="28"/>
      <c r="O232" s="28"/>
      <c r="P232" s="28"/>
      <c r="Q232" s="28"/>
      <c r="R232" s="28"/>
      <c r="S232" s="28"/>
      <c r="T232" s="28"/>
      <c r="U232" s="28"/>
      <c r="V232" s="28"/>
      <c r="W232" s="28"/>
      <c r="X232" s="28"/>
      <c r="Y232" s="28"/>
      <c r="Z232" s="28"/>
    </row>
    <row r="233" spans="1:26" ht="15.75" customHeight="1" x14ac:dyDescent="0.25">
      <c r="A233" s="9" t="s">
        <v>7</v>
      </c>
      <c r="B233" s="302" t="s">
        <v>9</v>
      </c>
      <c r="C233" s="47">
        <v>28.1</v>
      </c>
      <c r="D233" s="47">
        <v>29</v>
      </c>
      <c r="E233" s="47">
        <v>43</v>
      </c>
      <c r="F233" s="28"/>
      <c r="G233" s="296" t="s">
        <v>106</v>
      </c>
      <c r="H233" s="297"/>
      <c r="I233" s="298"/>
      <c r="J233" s="296" t="s">
        <v>107</v>
      </c>
      <c r="K233" s="297"/>
      <c r="L233" s="298"/>
      <c r="M233" s="28"/>
      <c r="N233" s="28"/>
      <c r="O233" s="28"/>
      <c r="P233" s="28"/>
      <c r="Q233" s="28"/>
      <c r="R233" s="28"/>
      <c r="S233" s="28"/>
      <c r="T233" s="28"/>
      <c r="U233" s="28"/>
      <c r="V233" s="28"/>
      <c r="W233" s="28"/>
      <c r="X233" s="28"/>
      <c r="Y233" s="28"/>
      <c r="Z233" s="28"/>
    </row>
    <row r="234" spans="1:26" ht="15.75" customHeight="1" x14ac:dyDescent="0.25">
      <c r="A234" s="9" t="s">
        <v>17</v>
      </c>
      <c r="B234" s="300"/>
      <c r="C234" s="47">
        <v>63.911000000000001</v>
      </c>
      <c r="D234" s="47">
        <v>62</v>
      </c>
      <c r="E234" s="47">
        <v>65</v>
      </c>
      <c r="F234" s="28"/>
      <c r="G234" s="13" t="s">
        <v>13</v>
      </c>
      <c r="H234" s="39">
        <f>+H236+H236*0.1</f>
        <v>770</v>
      </c>
      <c r="I234" s="17" t="s">
        <v>852</v>
      </c>
      <c r="J234" s="13" t="s">
        <v>13</v>
      </c>
      <c r="K234" s="39">
        <f>+K236+K236*0.1</f>
        <v>753.5</v>
      </c>
      <c r="L234" s="17" t="s">
        <v>853</v>
      </c>
      <c r="M234" s="28"/>
      <c r="N234" s="28"/>
      <c r="O234" s="28"/>
      <c r="P234" s="28"/>
      <c r="Q234" s="28"/>
      <c r="R234" s="28"/>
      <c r="S234" s="28"/>
      <c r="T234" s="28"/>
      <c r="U234" s="28"/>
      <c r="V234" s="28"/>
      <c r="W234" s="28"/>
      <c r="X234" s="28"/>
      <c r="Y234" s="28"/>
      <c r="Z234" s="28"/>
    </row>
    <row r="235" spans="1:26" ht="15.75" customHeight="1" x14ac:dyDescent="0.25">
      <c r="A235" s="9" t="s">
        <v>26</v>
      </c>
      <c r="B235" s="300"/>
      <c r="C235" s="47">
        <v>69.921999999999997</v>
      </c>
      <c r="D235" s="47">
        <v>69</v>
      </c>
      <c r="E235" s="47">
        <v>89</v>
      </c>
      <c r="F235" s="28"/>
      <c r="G235" s="13" t="s">
        <v>19</v>
      </c>
      <c r="H235" s="40">
        <f>+H236-H236*0.1</f>
        <v>630</v>
      </c>
      <c r="I235" s="17" t="s">
        <v>854</v>
      </c>
      <c r="J235" s="13" t="s">
        <v>19</v>
      </c>
      <c r="K235" s="40">
        <f>+K236-K236*0.1</f>
        <v>616.5</v>
      </c>
      <c r="L235" s="17" t="s">
        <v>855</v>
      </c>
      <c r="M235" s="28"/>
      <c r="N235" s="28"/>
      <c r="O235" s="28"/>
      <c r="P235" s="28"/>
      <c r="Q235" s="28"/>
      <c r="R235" s="28"/>
      <c r="S235" s="28"/>
      <c r="T235" s="28"/>
      <c r="U235" s="28"/>
      <c r="V235" s="28"/>
      <c r="W235" s="28"/>
      <c r="X235" s="28"/>
      <c r="Y235" s="28"/>
      <c r="Z235" s="28"/>
    </row>
    <row r="236" spans="1:26" ht="15.75" customHeight="1" x14ac:dyDescent="0.25">
      <c r="A236" s="9" t="s">
        <v>32</v>
      </c>
      <c r="B236" s="300"/>
      <c r="C236" s="47">
        <v>96.744</v>
      </c>
      <c r="D236" s="47">
        <v>96</v>
      </c>
      <c r="E236" s="47">
        <v>96</v>
      </c>
      <c r="F236" s="28"/>
      <c r="G236" s="13" t="s">
        <v>27</v>
      </c>
      <c r="H236" s="20">
        <v>700</v>
      </c>
      <c r="I236" s="17" t="s">
        <v>856</v>
      </c>
      <c r="J236" s="13" t="s">
        <v>27</v>
      </c>
      <c r="K236" s="20">
        <v>685</v>
      </c>
      <c r="L236" s="17" t="s">
        <v>857</v>
      </c>
      <c r="M236" s="28"/>
      <c r="N236" s="28"/>
      <c r="O236" s="28"/>
      <c r="P236" s="28"/>
      <c r="Q236" s="28"/>
      <c r="R236" s="28"/>
      <c r="S236" s="28"/>
      <c r="T236" s="28"/>
      <c r="U236" s="28"/>
      <c r="V236" s="28"/>
      <c r="W236" s="28"/>
      <c r="X236" s="28"/>
      <c r="Y236" s="28"/>
      <c r="Z236" s="28"/>
    </row>
    <row r="237" spans="1:26" ht="15.75" customHeight="1" x14ac:dyDescent="0.25">
      <c r="A237" s="9" t="s">
        <v>33</v>
      </c>
      <c r="B237" s="301"/>
      <c r="C237" s="47">
        <v>128.11000000000001</v>
      </c>
      <c r="D237" s="47">
        <v>133</v>
      </c>
      <c r="E237" s="214">
        <v>124</v>
      </c>
      <c r="F237" s="28"/>
      <c r="G237" s="13" t="s">
        <v>121</v>
      </c>
      <c r="H237" s="20">
        <v>702</v>
      </c>
      <c r="I237" s="17" t="s">
        <v>858</v>
      </c>
      <c r="J237" s="13" t="s">
        <v>121</v>
      </c>
      <c r="K237" s="20">
        <v>680</v>
      </c>
      <c r="L237" s="17" t="s">
        <v>859</v>
      </c>
      <c r="M237" s="28"/>
      <c r="N237" s="28"/>
      <c r="O237" s="28"/>
      <c r="P237" s="28"/>
      <c r="Q237" s="28"/>
      <c r="R237" s="28"/>
      <c r="S237" s="28"/>
      <c r="T237" s="28"/>
      <c r="U237" s="28"/>
      <c r="V237" s="28"/>
      <c r="W237" s="28"/>
      <c r="X237" s="28"/>
      <c r="Y237" s="28"/>
      <c r="Z237" s="28"/>
    </row>
    <row r="238" spans="1:26" ht="15.75" customHeight="1" x14ac:dyDescent="0.25">
      <c r="A238" s="41"/>
      <c r="B238" s="42"/>
      <c r="C238" s="42"/>
      <c r="D238" s="52"/>
      <c r="E238" s="47"/>
      <c r="F238" s="28"/>
      <c r="G238" s="357" t="s">
        <v>643</v>
      </c>
      <c r="H238" s="312"/>
      <c r="I238" s="312"/>
      <c r="J238" s="358">
        <v>43590</v>
      </c>
      <c r="K238" s="297"/>
      <c r="L238" s="298"/>
      <c r="M238" s="28"/>
      <c r="N238" s="28"/>
      <c r="O238" s="28"/>
      <c r="P238" s="28"/>
      <c r="Q238" s="28"/>
      <c r="R238" s="28"/>
      <c r="S238" s="28"/>
      <c r="T238" s="28"/>
      <c r="U238" s="28"/>
      <c r="V238" s="28"/>
      <c r="W238" s="28"/>
      <c r="X238" s="28"/>
      <c r="Y238" s="28"/>
      <c r="Z238" s="28"/>
    </row>
    <row r="239" spans="1:26" ht="15.75" customHeight="1" x14ac:dyDescent="0.25">
      <c r="A239" s="9" t="s">
        <v>35</v>
      </c>
      <c r="B239" s="302" t="s">
        <v>36</v>
      </c>
      <c r="C239" s="47">
        <v>207.78</v>
      </c>
      <c r="D239" s="47">
        <v>248</v>
      </c>
      <c r="E239" s="47">
        <v>244</v>
      </c>
      <c r="F239" s="28"/>
      <c r="G239" s="28"/>
      <c r="H239" s="3"/>
      <c r="I239" s="28"/>
      <c r="J239" s="28"/>
      <c r="K239" s="28"/>
      <c r="L239" s="28"/>
      <c r="M239" s="28"/>
      <c r="N239" s="28"/>
      <c r="O239" s="28"/>
      <c r="P239" s="28"/>
      <c r="Q239" s="28"/>
      <c r="R239" s="28"/>
      <c r="S239" s="28"/>
      <c r="T239" s="28"/>
      <c r="U239" s="28"/>
      <c r="V239" s="28"/>
      <c r="W239" s="28"/>
      <c r="X239" s="28"/>
      <c r="Y239" s="28"/>
      <c r="Z239" s="28"/>
    </row>
    <row r="240" spans="1:26" ht="15.75" customHeight="1" x14ac:dyDescent="0.25">
      <c r="A240" s="9" t="s">
        <v>37</v>
      </c>
      <c r="B240" s="300"/>
      <c r="C240" s="47">
        <v>444.11</v>
      </c>
      <c r="D240" s="47">
        <v>403</v>
      </c>
      <c r="E240" s="47">
        <v>362</v>
      </c>
      <c r="F240" s="28"/>
      <c r="G240" s="28"/>
      <c r="H240" s="3"/>
      <c r="I240" s="28"/>
      <c r="J240" s="28"/>
      <c r="K240" s="28"/>
      <c r="L240" s="28"/>
      <c r="M240" s="28"/>
      <c r="N240" s="28"/>
      <c r="O240" s="28"/>
      <c r="P240" s="28"/>
      <c r="Q240" s="28"/>
      <c r="R240" s="28"/>
      <c r="S240" s="28"/>
      <c r="T240" s="28"/>
      <c r="U240" s="28"/>
      <c r="V240" s="28"/>
      <c r="W240" s="28"/>
      <c r="X240" s="28"/>
      <c r="Y240" s="28"/>
      <c r="Z240" s="28"/>
    </row>
    <row r="241" spans="1:26" ht="15.75" customHeight="1" x14ac:dyDescent="0.25">
      <c r="A241" s="9" t="s">
        <v>38</v>
      </c>
      <c r="B241" s="300"/>
      <c r="C241" s="47">
        <v>579.55999999999995</v>
      </c>
      <c r="D241" s="47">
        <v>602</v>
      </c>
      <c r="E241" s="47">
        <v>549</v>
      </c>
      <c r="F241" s="28"/>
      <c r="G241" s="28"/>
      <c r="H241" s="3"/>
      <c r="I241" s="28"/>
      <c r="J241" s="28"/>
      <c r="K241" s="28"/>
      <c r="L241" s="28"/>
      <c r="M241" s="28"/>
      <c r="N241" s="28"/>
      <c r="O241" s="28"/>
      <c r="P241" s="28"/>
      <c r="Q241" s="28"/>
      <c r="R241" s="28"/>
      <c r="S241" s="28"/>
      <c r="T241" s="28"/>
      <c r="U241" s="28"/>
      <c r="V241" s="28"/>
      <c r="W241" s="28"/>
      <c r="X241" s="28"/>
      <c r="Y241" s="28"/>
      <c r="Z241" s="28"/>
    </row>
    <row r="242" spans="1:26" ht="15.75" customHeight="1" x14ac:dyDescent="0.25">
      <c r="A242" s="9" t="s">
        <v>39</v>
      </c>
      <c r="B242" s="300"/>
      <c r="C242" s="47">
        <v>746.22</v>
      </c>
      <c r="D242" s="11">
        <v>761</v>
      </c>
      <c r="E242" s="11">
        <v>673</v>
      </c>
      <c r="F242" s="28"/>
      <c r="G242" s="28"/>
      <c r="H242" s="3"/>
      <c r="I242" s="28"/>
      <c r="J242" s="28"/>
      <c r="K242" s="28"/>
      <c r="L242" s="28"/>
      <c r="M242" s="28"/>
      <c r="N242" s="28"/>
      <c r="O242" s="28"/>
      <c r="P242" s="28"/>
      <c r="Q242" s="28"/>
      <c r="R242" s="28"/>
      <c r="S242" s="28"/>
      <c r="T242" s="28"/>
      <c r="U242" s="28"/>
      <c r="V242" s="28"/>
      <c r="W242" s="28"/>
      <c r="X242" s="28"/>
      <c r="Y242" s="28"/>
      <c r="Z242" s="28"/>
    </row>
    <row r="243" spans="1:26" ht="15.75" customHeight="1" x14ac:dyDescent="0.25">
      <c r="A243" s="49" t="s">
        <v>41</v>
      </c>
      <c r="B243" s="300"/>
      <c r="C243" s="50">
        <v>869.5</v>
      </c>
      <c r="D243" s="50">
        <v>887</v>
      </c>
      <c r="E243" s="50">
        <v>824</v>
      </c>
      <c r="F243" s="28"/>
      <c r="G243" s="28"/>
      <c r="H243" s="3"/>
      <c r="I243" s="28"/>
      <c r="J243" s="28"/>
      <c r="K243" s="28"/>
      <c r="L243" s="28"/>
      <c r="M243" s="28"/>
      <c r="N243" s="28"/>
      <c r="O243" s="28"/>
      <c r="P243" s="28"/>
      <c r="Q243" s="28"/>
      <c r="R243" s="28"/>
      <c r="S243" s="28"/>
      <c r="T243" s="28"/>
      <c r="U243" s="28"/>
      <c r="V243" s="28"/>
      <c r="W243" s="28"/>
      <c r="X243" s="28"/>
      <c r="Y243" s="28"/>
      <c r="Z243" s="28"/>
    </row>
    <row r="244" spans="1:26" ht="15.75" customHeight="1" x14ac:dyDescent="0.25">
      <c r="A244" s="79"/>
      <c r="B244" s="81"/>
      <c r="C244" s="81"/>
      <c r="D244" s="215"/>
      <c r="E244" s="206"/>
      <c r="F244" s="28"/>
      <c r="G244" s="28"/>
      <c r="H244" s="3"/>
      <c r="I244" s="28"/>
      <c r="J244" s="28"/>
      <c r="K244" s="28"/>
      <c r="L244" s="28"/>
      <c r="M244" s="28"/>
      <c r="N244" s="28"/>
      <c r="O244" s="28"/>
      <c r="P244" s="28"/>
      <c r="Q244" s="28"/>
      <c r="R244" s="28"/>
      <c r="S244" s="28"/>
      <c r="T244" s="28"/>
      <c r="U244" s="28"/>
      <c r="V244" s="28"/>
      <c r="W244" s="28"/>
      <c r="X244" s="28"/>
      <c r="Y244" s="28"/>
      <c r="Z244" s="28"/>
    </row>
    <row r="245" spans="1:26" ht="15.75" customHeight="1" x14ac:dyDescent="0.25">
      <c r="A245" s="9" t="s">
        <v>46</v>
      </c>
      <c r="B245" s="299" t="s">
        <v>47</v>
      </c>
      <c r="C245" s="11">
        <v>88.4</v>
      </c>
      <c r="D245" s="47">
        <v>87</v>
      </c>
      <c r="E245" s="47">
        <v>89</v>
      </c>
      <c r="F245" s="28"/>
      <c r="G245" s="28"/>
      <c r="H245" s="3"/>
      <c r="I245" s="28"/>
      <c r="J245" s="28"/>
      <c r="K245" s="28"/>
      <c r="L245" s="28"/>
      <c r="M245" s="28"/>
      <c r="N245" s="28"/>
      <c r="O245" s="28"/>
      <c r="P245" s="28"/>
      <c r="Q245" s="28"/>
      <c r="R245" s="28"/>
      <c r="S245" s="28"/>
      <c r="T245" s="28"/>
      <c r="U245" s="28"/>
      <c r="V245" s="28"/>
      <c r="W245" s="28"/>
      <c r="X245" s="28"/>
      <c r="Y245" s="28"/>
      <c r="Z245" s="28"/>
    </row>
    <row r="246" spans="1:26" ht="15.75" customHeight="1" x14ac:dyDescent="0.25">
      <c r="A246" s="9" t="s">
        <v>48</v>
      </c>
      <c r="B246" s="300"/>
      <c r="C246" s="11">
        <v>94.6</v>
      </c>
      <c r="D246" s="47">
        <v>96</v>
      </c>
      <c r="E246" s="47">
        <v>86</v>
      </c>
      <c r="F246" s="28"/>
      <c r="G246" s="28"/>
      <c r="H246" s="3"/>
      <c r="I246" s="28"/>
      <c r="J246" s="28"/>
      <c r="K246" s="28"/>
      <c r="L246" s="28"/>
      <c r="M246" s="28"/>
      <c r="N246" s="28"/>
      <c r="O246" s="28"/>
      <c r="P246" s="28"/>
      <c r="Q246" s="28"/>
      <c r="R246" s="28"/>
      <c r="S246" s="28"/>
      <c r="T246" s="28"/>
      <c r="U246" s="28"/>
      <c r="V246" s="28"/>
      <c r="W246" s="28"/>
      <c r="X246" s="28"/>
      <c r="Y246" s="28"/>
      <c r="Z246" s="28"/>
    </row>
    <row r="247" spans="1:26" ht="15.75" customHeight="1" x14ac:dyDescent="0.25">
      <c r="A247" s="41"/>
      <c r="B247" s="42"/>
      <c r="C247" s="42"/>
      <c r="D247" s="52"/>
      <c r="E247" s="11"/>
      <c r="F247" s="28"/>
      <c r="G247" s="28"/>
      <c r="H247" s="3"/>
      <c r="I247" s="28"/>
      <c r="J247" s="28"/>
      <c r="K247" s="28"/>
      <c r="L247" s="28"/>
      <c r="M247" s="28"/>
      <c r="N247" s="28"/>
      <c r="O247" s="28"/>
      <c r="P247" s="28"/>
      <c r="Q247" s="28"/>
      <c r="R247" s="28"/>
      <c r="S247" s="28"/>
      <c r="T247" s="28"/>
      <c r="U247" s="28"/>
      <c r="V247" s="28"/>
      <c r="W247" s="28"/>
      <c r="X247" s="28"/>
      <c r="Y247" s="28"/>
      <c r="Z247" s="28"/>
    </row>
    <row r="248" spans="1:26" ht="15.75" customHeight="1" x14ac:dyDescent="0.25">
      <c r="A248" s="9" t="s">
        <v>800</v>
      </c>
      <c r="B248" s="302" t="s">
        <v>51</v>
      </c>
      <c r="C248" s="47">
        <v>271.44</v>
      </c>
      <c r="D248" s="11">
        <v>287</v>
      </c>
      <c r="E248" s="11">
        <v>201</v>
      </c>
      <c r="F248" s="28"/>
      <c r="G248" s="28"/>
      <c r="H248" s="3"/>
      <c r="I248" s="28"/>
      <c r="J248" s="28"/>
      <c r="K248" s="28"/>
      <c r="L248" s="28"/>
      <c r="M248" s="28"/>
      <c r="N248" s="28"/>
      <c r="O248" s="28"/>
      <c r="P248" s="28"/>
      <c r="Q248" s="28"/>
      <c r="R248" s="28"/>
      <c r="S248" s="28"/>
      <c r="T248" s="28"/>
      <c r="U248" s="28"/>
      <c r="V248" s="28"/>
      <c r="W248" s="28"/>
      <c r="X248" s="28"/>
      <c r="Y248" s="28"/>
      <c r="Z248" s="28"/>
    </row>
    <row r="249" spans="1:26" ht="15.75" customHeight="1" x14ac:dyDescent="0.25">
      <c r="A249" s="9" t="s">
        <v>54</v>
      </c>
      <c r="B249" s="300"/>
      <c r="C249" s="47">
        <v>550.22199999999998</v>
      </c>
      <c r="D249" s="11">
        <v>555</v>
      </c>
      <c r="E249" s="11">
        <v>406</v>
      </c>
      <c r="F249" s="28"/>
      <c r="G249" s="28"/>
      <c r="H249" s="3"/>
      <c r="I249" s="28"/>
      <c r="J249" s="28"/>
      <c r="K249" s="28"/>
      <c r="L249" s="28"/>
      <c r="M249" s="28"/>
      <c r="N249" s="28"/>
      <c r="O249" s="28"/>
      <c r="P249" s="28"/>
      <c r="Q249" s="28"/>
      <c r="R249" s="28"/>
      <c r="S249" s="28"/>
      <c r="T249" s="28"/>
      <c r="U249" s="28"/>
      <c r="V249" s="28"/>
      <c r="W249" s="28"/>
      <c r="X249" s="28"/>
      <c r="Y249" s="28"/>
      <c r="Z249" s="28"/>
    </row>
    <row r="250" spans="1:26" ht="15.75" customHeight="1" x14ac:dyDescent="0.25">
      <c r="A250" s="9" t="s">
        <v>802</v>
      </c>
      <c r="B250" s="300"/>
      <c r="C250" s="47">
        <v>746</v>
      </c>
      <c r="D250" s="11">
        <v>776</v>
      </c>
      <c r="E250" s="11">
        <v>744</v>
      </c>
      <c r="F250" s="28"/>
      <c r="G250" s="28"/>
      <c r="H250" s="3"/>
      <c r="I250" s="28"/>
      <c r="J250" s="28"/>
      <c r="K250" s="28"/>
      <c r="L250" s="28"/>
      <c r="M250" s="28"/>
      <c r="N250" s="28"/>
      <c r="O250" s="28"/>
      <c r="P250" s="28"/>
      <c r="Q250" s="28"/>
      <c r="R250" s="28"/>
      <c r="S250" s="28"/>
      <c r="T250" s="28"/>
      <c r="U250" s="28"/>
      <c r="V250" s="28"/>
      <c r="W250" s="28"/>
      <c r="X250" s="28"/>
      <c r="Y250" s="28"/>
      <c r="Z250" s="28"/>
    </row>
    <row r="251" spans="1:26" ht="15.75" customHeight="1" x14ac:dyDescent="0.25">
      <c r="A251" s="9" t="s">
        <v>803</v>
      </c>
      <c r="B251" s="300"/>
      <c r="C251" s="47">
        <v>768.33333333333337</v>
      </c>
      <c r="D251" s="11">
        <v>778</v>
      </c>
      <c r="E251" s="11">
        <v>753</v>
      </c>
      <c r="F251" s="28"/>
      <c r="G251" s="28"/>
      <c r="H251" s="3"/>
      <c r="I251" s="28"/>
      <c r="J251" s="28"/>
      <c r="K251" s="28"/>
      <c r="L251" s="28"/>
      <c r="M251" s="28"/>
      <c r="N251" s="28"/>
      <c r="O251" s="28"/>
      <c r="P251" s="28"/>
      <c r="Q251" s="28"/>
      <c r="R251" s="28"/>
      <c r="S251" s="28"/>
      <c r="T251" s="28"/>
      <c r="U251" s="28"/>
      <c r="V251" s="28"/>
      <c r="W251" s="28"/>
      <c r="X251" s="28"/>
      <c r="Y251" s="28"/>
      <c r="Z251" s="28"/>
    </row>
    <row r="252" spans="1:26" ht="15.75" customHeight="1" x14ac:dyDescent="0.25">
      <c r="A252" s="49" t="s">
        <v>804</v>
      </c>
      <c r="B252" s="300"/>
      <c r="C252" s="50">
        <v>609</v>
      </c>
      <c r="D252" s="51">
        <v>614</v>
      </c>
      <c r="E252" s="51">
        <v>708</v>
      </c>
      <c r="F252" s="28"/>
      <c r="G252" s="28"/>
      <c r="H252" s="3"/>
      <c r="I252" s="28"/>
      <c r="J252" s="28"/>
      <c r="K252" s="28"/>
      <c r="L252" s="28"/>
      <c r="M252" s="28"/>
      <c r="N252" s="28"/>
      <c r="O252" s="28"/>
      <c r="P252" s="28"/>
      <c r="Q252" s="28"/>
      <c r="R252" s="28"/>
      <c r="S252" s="28"/>
      <c r="T252" s="28"/>
      <c r="U252" s="28"/>
      <c r="V252" s="28"/>
      <c r="W252" s="28"/>
      <c r="X252" s="28"/>
      <c r="Y252" s="28"/>
      <c r="Z252" s="28"/>
    </row>
    <row r="253" spans="1:26" ht="15.75" customHeight="1" x14ac:dyDescent="0.25">
      <c r="A253" s="79"/>
      <c r="B253" s="81"/>
      <c r="C253" s="81"/>
      <c r="D253" s="215"/>
      <c r="E253" s="206"/>
      <c r="F253" s="28"/>
      <c r="G253" s="28"/>
      <c r="H253" s="3"/>
      <c r="I253" s="28"/>
      <c r="J253" s="28"/>
      <c r="K253" s="28"/>
      <c r="L253" s="28"/>
      <c r="M253" s="28"/>
      <c r="N253" s="28"/>
      <c r="O253" s="28"/>
      <c r="P253" s="28"/>
      <c r="Q253" s="28"/>
      <c r="R253" s="28"/>
      <c r="S253" s="28"/>
      <c r="T253" s="28"/>
      <c r="U253" s="28"/>
      <c r="V253" s="28"/>
      <c r="W253" s="28"/>
      <c r="X253" s="28"/>
      <c r="Y253" s="28"/>
      <c r="Z253" s="28"/>
    </row>
    <row r="254" spans="1:26" ht="15.75" customHeight="1" x14ac:dyDescent="0.25">
      <c r="A254" s="9" t="s">
        <v>60</v>
      </c>
      <c r="B254" s="299" t="s">
        <v>62</v>
      </c>
      <c r="C254" s="47">
        <v>19.741666666666667</v>
      </c>
      <c r="D254" s="53">
        <v>21</v>
      </c>
      <c r="E254" s="53">
        <v>18</v>
      </c>
      <c r="F254" s="28"/>
      <c r="G254" s="28"/>
      <c r="H254" s="3"/>
      <c r="I254" s="28"/>
      <c r="J254" s="28"/>
      <c r="K254" s="28"/>
      <c r="L254" s="28"/>
      <c r="M254" s="28"/>
      <c r="N254" s="28"/>
      <c r="O254" s="28"/>
      <c r="P254" s="28"/>
      <c r="Q254" s="28"/>
      <c r="R254" s="28"/>
      <c r="S254" s="28"/>
      <c r="T254" s="28"/>
      <c r="U254" s="28"/>
      <c r="V254" s="28"/>
      <c r="W254" s="28"/>
      <c r="X254" s="28"/>
      <c r="Y254" s="28"/>
      <c r="Z254" s="28"/>
    </row>
    <row r="255" spans="1:26" ht="15.75" customHeight="1" x14ac:dyDescent="0.25">
      <c r="A255" s="9" t="s">
        <v>65</v>
      </c>
      <c r="B255" s="300"/>
      <c r="C255" s="11">
        <v>42</v>
      </c>
      <c r="D255" s="54">
        <v>42</v>
      </c>
      <c r="E255" s="54">
        <v>40</v>
      </c>
      <c r="F255" s="28"/>
      <c r="G255" s="28"/>
      <c r="H255" s="3"/>
      <c r="I255" s="28"/>
      <c r="J255" s="28"/>
      <c r="K255" s="28"/>
      <c r="L255" s="28"/>
      <c r="M255" s="28"/>
      <c r="N255" s="28"/>
      <c r="O255" s="28"/>
      <c r="P255" s="28"/>
      <c r="Q255" s="28"/>
      <c r="R255" s="28"/>
      <c r="S255" s="28"/>
      <c r="T255" s="28"/>
      <c r="U255" s="28"/>
      <c r="V255" s="28"/>
      <c r="W255" s="28"/>
      <c r="X255" s="28"/>
      <c r="Y255" s="28"/>
      <c r="Z255" s="28"/>
    </row>
    <row r="256" spans="1:26" ht="15.75" customHeight="1" x14ac:dyDescent="0.25">
      <c r="A256" s="9" t="s">
        <v>64</v>
      </c>
      <c r="B256" s="301"/>
      <c r="C256" s="11">
        <v>42</v>
      </c>
      <c r="D256" s="55">
        <v>43</v>
      </c>
      <c r="E256" s="55">
        <v>42</v>
      </c>
      <c r="F256" s="28"/>
      <c r="G256" s="28"/>
      <c r="H256" s="3"/>
      <c r="I256" s="28"/>
      <c r="J256" s="28"/>
      <c r="K256" s="28"/>
      <c r="L256" s="28"/>
      <c r="M256" s="28"/>
      <c r="N256" s="28"/>
      <c r="O256" s="28"/>
      <c r="P256" s="28"/>
      <c r="Q256" s="28"/>
      <c r="R256" s="28"/>
      <c r="S256" s="28"/>
      <c r="T256" s="28"/>
      <c r="U256" s="28"/>
      <c r="V256" s="28"/>
      <c r="W256" s="28"/>
      <c r="X256" s="28"/>
      <c r="Y256" s="28"/>
      <c r="Z256" s="28"/>
    </row>
    <row r="257" spans="1:26" ht="15.75" customHeight="1" x14ac:dyDescent="0.25">
      <c r="A257" s="41"/>
      <c r="B257" s="42"/>
      <c r="C257" s="42"/>
      <c r="D257" s="52"/>
      <c r="E257" s="11"/>
      <c r="F257" s="28"/>
      <c r="G257" s="28"/>
      <c r="H257" s="3"/>
      <c r="I257" s="28"/>
      <c r="J257" s="28"/>
      <c r="K257" s="28"/>
      <c r="L257" s="28"/>
      <c r="M257" s="28"/>
      <c r="N257" s="28"/>
      <c r="O257" s="28"/>
      <c r="P257" s="28"/>
      <c r="Q257" s="28"/>
      <c r="R257" s="28"/>
      <c r="S257" s="28"/>
      <c r="T257" s="28"/>
      <c r="U257" s="28"/>
      <c r="V257" s="28"/>
      <c r="W257" s="28"/>
      <c r="X257" s="28"/>
      <c r="Y257" s="28"/>
      <c r="Z257" s="28"/>
    </row>
    <row r="258" spans="1:26" ht="15.75" customHeight="1" x14ac:dyDescent="0.25">
      <c r="A258" s="9" t="s">
        <v>66</v>
      </c>
      <c r="B258" s="302" t="s">
        <v>68</v>
      </c>
      <c r="C258" s="47">
        <v>204.5</v>
      </c>
      <c r="D258" s="11">
        <v>207</v>
      </c>
      <c r="E258" s="11">
        <v>210</v>
      </c>
      <c r="F258" s="28"/>
      <c r="G258" s="28"/>
      <c r="H258" s="3"/>
      <c r="I258" s="28"/>
      <c r="J258" s="28"/>
      <c r="K258" s="28"/>
      <c r="L258" s="28"/>
      <c r="M258" s="28"/>
      <c r="N258" s="28"/>
      <c r="O258" s="28"/>
      <c r="P258" s="28"/>
      <c r="Q258" s="28"/>
      <c r="R258" s="28"/>
      <c r="S258" s="28"/>
      <c r="T258" s="28"/>
      <c r="U258" s="28"/>
      <c r="V258" s="28"/>
      <c r="W258" s="28"/>
      <c r="X258" s="28"/>
      <c r="Y258" s="28"/>
      <c r="Z258" s="28"/>
    </row>
    <row r="259" spans="1:26" ht="15.75" customHeight="1" x14ac:dyDescent="0.25">
      <c r="A259" s="49" t="s">
        <v>69</v>
      </c>
      <c r="B259" s="300"/>
      <c r="C259" s="50">
        <v>277.7</v>
      </c>
      <c r="D259" s="51">
        <v>278</v>
      </c>
      <c r="E259" s="51">
        <v>250</v>
      </c>
      <c r="F259" s="28"/>
      <c r="G259" s="28"/>
      <c r="H259" s="3"/>
      <c r="I259" s="28"/>
      <c r="J259" s="28"/>
      <c r="K259" s="28"/>
      <c r="L259" s="28"/>
      <c r="M259" s="28"/>
      <c r="N259" s="28"/>
      <c r="O259" s="28"/>
      <c r="P259" s="28"/>
      <c r="Q259" s="28"/>
      <c r="R259" s="28"/>
      <c r="S259" s="28"/>
      <c r="T259" s="28"/>
      <c r="U259" s="28"/>
      <c r="V259" s="28"/>
      <c r="W259" s="28"/>
      <c r="X259" s="28"/>
      <c r="Y259" s="28"/>
      <c r="Z259" s="28"/>
    </row>
    <row r="260" spans="1:26" ht="15.75" customHeight="1" x14ac:dyDescent="0.25">
      <c r="A260" s="44"/>
      <c r="B260" s="46"/>
      <c r="C260" s="46"/>
      <c r="D260" s="216"/>
      <c r="E260" s="207"/>
      <c r="F260" s="28"/>
      <c r="G260" s="28"/>
      <c r="H260" s="3"/>
      <c r="I260" s="28"/>
      <c r="J260" s="28"/>
      <c r="K260" s="28"/>
      <c r="L260" s="28"/>
      <c r="M260" s="28"/>
      <c r="N260" s="28"/>
      <c r="O260" s="28"/>
      <c r="P260" s="28"/>
      <c r="Q260" s="28"/>
      <c r="R260" s="28"/>
      <c r="S260" s="28"/>
      <c r="T260" s="28"/>
      <c r="U260" s="28"/>
      <c r="V260" s="28"/>
      <c r="W260" s="28"/>
      <c r="X260" s="28"/>
      <c r="Y260" s="28"/>
      <c r="Z260" s="28"/>
    </row>
    <row r="261" spans="1:26" ht="15.75" customHeight="1" x14ac:dyDescent="0.25">
      <c r="A261" s="56" t="s">
        <v>69</v>
      </c>
      <c r="B261" s="303" t="s">
        <v>71</v>
      </c>
      <c r="C261" s="47">
        <v>12</v>
      </c>
      <c r="D261" s="11">
        <v>12</v>
      </c>
      <c r="E261" s="11">
        <v>11</v>
      </c>
      <c r="F261" s="28"/>
      <c r="G261" s="28"/>
      <c r="H261" s="3"/>
      <c r="I261" s="28"/>
      <c r="J261" s="28"/>
      <c r="K261" s="28"/>
      <c r="L261" s="28"/>
      <c r="M261" s="28"/>
      <c r="N261" s="28"/>
      <c r="O261" s="28"/>
      <c r="P261" s="28"/>
      <c r="Q261" s="28"/>
      <c r="R261" s="28"/>
      <c r="S261" s="28"/>
      <c r="T261" s="28"/>
      <c r="U261" s="28"/>
      <c r="V261" s="28"/>
      <c r="W261" s="28"/>
      <c r="X261" s="28"/>
      <c r="Y261" s="28"/>
      <c r="Z261" s="28"/>
    </row>
    <row r="262" spans="1:26" ht="15.75" customHeight="1" x14ac:dyDescent="0.25">
      <c r="A262" s="56" t="s">
        <v>72</v>
      </c>
      <c r="B262" s="300"/>
      <c r="C262" s="47">
        <v>14</v>
      </c>
      <c r="D262" s="11">
        <v>13</v>
      </c>
      <c r="E262" s="11">
        <v>12</v>
      </c>
      <c r="F262" s="28"/>
      <c r="G262" s="28"/>
      <c r="H262" s="3"/>
      <c r="I262" s="28"/>
      <c r="J262" s="28"/>
      <c r="K262" s="28"/>
      <c r="L262" s="28"/>
      <c r="M262" s="28"/>
      <c r="N262" s="28"/>
      <c r="O262" s="28"/>
      <c r="P262" s="28"/>
      <c r="Q262" s="28"/>
      <c r="R262" s="28"/>
      <c r="S262" s="28"/>
      <c r="T262" s="28"/>
      <c r="U262" s="28"/>
      <c r="V262" s="28"/>
      <c r="W262" s="28"/>
      <c r="X262" s="28"/>
      <c r="Y262" s="28"/>
      <c r="Z262" s="28"/>
    </row>
    <row r="263" spans="1:26" ht="15.75" customHeight="1" x14ac:dyDescent="0.25">
      <c r="A263" s="56" t="s">
        <v>73</v>
      </c>
      <c r="B263" s="301"/>
      <c r="C263" s="47">
        <v>17.43333333333333</v>
      </c>
      <c r="D263" s="11">
        <v>16</v>
      </c>
      <c r="E263" s="11">
        <v>17</v>
      </c>
      <c r="F263" s="28"/>
      <c r="G263" s="28"/>
      <c r="H263" s="3"/>
      <c r="I263" s="28"/>
      <c r="J263" s="28"/>
      <c r="K263" s="28"/>
      <c r="L263" s="28"/>
      <c r="M263" s="28"/>
      <c r="N263" s="28"/>
      <c r="O263" s="28"/>
      <c r="P263" s="28"/>
      <c r="Q263" s="28"/>
      <c r="R263" s="28"/>
      <c r="S263" s="28"/>
      <c r="T263" s="28"/>
      <c r="U263" s="28"/>
      <c r="V263" s="28"/>
      <c r="W263" s="28"/>
      <c r="X263" s="28"/>
      <c r="Y263" s="28"/>
      <c r="Z263" s="28"/>
    </row>
    <row r="264" spans="1:26" ht="15.75" customHeight="1" x14ac:dyDescent="0.25">
      <c r="A264" s="92"/>
      <c r="B264" s="69"/>
      <c r="C264" s="69"/>
      <c r="D264" s="52"/>
      <c r="E264" s="25"/>
      <c r="F264" s="28"/>
      <c r="G264" s="28"/>
      <c r="H264" s="3"/>
      <c r="I264" s="28"/>
      <c r="J264" s="28"/>
      <c r="K264" s="28"/>
      <c r="L264" s="28"/>
      <c r="M264" s="28"/>
      <c r="N264" s="28"/>
      <c r="O264" s="28"/>
      <c r="P264" s="28"/>
      <c r="Q264" s="28"/>
      <c r="R264" s="28"/>
      <c r="S264" s="28"/>
      <c r="T264" s="28"/>
      <c r="U264" s="28"/>
      <c r="V264" s="28"/>
      <c r="W264" s="28"/>
      <c r="X264" s="28"/>
      <c r="Y264" s="28"/>
      <c r="Z264" s="28"/>
    </row>
    <row r="265" spans="1:26" ht="15.75" customHeight="1" x14ac:dyDescent="0.25">
      <c r="A265" s="56" t="s">
        <v>80</v>
      </c>
      <c r="B265" s="309" t="s">
        <v>77</v>
      </c>
      <c r="C265" s="47">
        <v>117</v>
      </c>
      <c r="D265" s="11">
        <v>118</v>
      </c>
      <c r="E265" s="11">
        <v>114</v>
      </c>
      <c r="F265" s="28"/>
      <c r="G265" s="28"/>
      <c r="H265" s="3"/>
      <c r="I265" s="28"/>
      <c r="J265" s="28"/>
      <c r="K265" s="28"/>
      <c r="L265" s="28"/>
      <c r="M265" s="28"/>
      <c r="N265" s="28"/>
      <c r="O265" s="28"/>
      <c r="P265" s="28"/>
      <c r="Q265" s="28"/>
      <c r="R265" s="28"/>
      <c r="S265" s="28"/>
      <c r="T265" s="28"/>
      <c r="U265" s="28"/>
      <c r="V265" s="28"/>
      <c r="W265" s="28"/>
      <c r="X265" s="28"/>
      <c r="Y265" s="28"/>
      <c r="Z265" s="28"/>
    </row>
    <row r="266" spans="1:26" ht="15.75" customHeight="1" x14ac:dyDescent="0.25">
      <c r="A266" s="56" t="s">
        <v>78</v>
      </c>
      <c r="B266" s="300"/>
      <c r="C266" s="47">
        <v>188</v>
      </c>
      <c r="D266" s="11">
        <v>185</v>
      </c>
      <c r="E266" s="11">
        <v>172</v>
      </c>
      <c r="F266" s="28"/>
      <c r="G266" s="28"/>
      <c r="H266" s="3"/>
      <c r="I266" s="28"/>
      <c r="J266" s="28"/>
      <c r="K266" s="28"/>
      <c r="L266" s="28"/>
      <c r="M266" s="28"/>
      <c r="N266" s="28"/>
      <c r="O266" s="28"/>
      <c r="P266" s="28"/>
      <c r="Q266" s="28"/>
      <c r="R266" s="28"/>
      <c r="S266" s="28"/>
      <c r="T266" s="28"/>
      <c r="U266" s="28"/>
      <c r="V266" s="28"/>
      <c r="W266" s="28"/>
      <c r="X266" s="28"/>
      <c r="Y266" s="28"/>
      <c r="Z266" s="28"/>
    </row>
    <row r="267" spans="1:26" ht="15.75" customHeight="1" x14ac:dyDescent="0.25">
      <c r="A267" s="56" t="s">
        <v>76</v>
      </c>
      <c r="B267" s="300"/>
      <c r="C267" s="47">
        <v>218</v>
      </c>
      <c r="D267" s="11">
        <v>215</v>
      </c>
      <c r="E267" s="11">
        <v>211</v>
      </c>
      <c r="F267" s="28"/>
      <c r="G267" s="28"/>
      <c r="H267" s="3"/>
      <c r="I267" s="28"/>
      <c r="J267" s="28"/>
      <c r="K267" s="28"/>
      <c r="L267" s="28"/>
      <c r="M267" s="28"/>
      <c r="N267" s="28"/>
      <c r="O267" s="28"/>
      <c r="P267" s="28"/>
      <c r="Q267" s="28"/>
      <c r="R267" s="28"/>
      <c r="S267" s="28"/>
      <c r="T267" s="28"/>
      <c r="U267" s="28"/>
      <c r="V267" s="28"/>
      <c r="W267" s="28"/>
      <c r="X267" s="28"/>
      <c r="Y267" s="28"/>
      <c r="Z267" s="28"/>
    </row>
    <row r="268" spans="1:26" ht="15.75" customHeight="1" x14ac:dyDescent="0.25">
      <c r="A268" s="57" t="s">
        <v>79</v>
      </c>
      <c r="B268" s="300"/>
      <c r="C268" s="50">
        <v>239</v>
      </c>
      <c r="D268" s="51">
        <v>242</v>
      </c>
      <c r="E268" s="51">
        <v>229</v>
      </c>
      <c r="F268" s="28"/>
      <c r="G268" s="28"/>
      <c r="H268" s="3"/>
      <c r="I268" s="28"/>
      <c r="J268" s="28"/>
      <c r="K268" s="28"/>
      <c r="L268" s="28"/>
      <c r="M268" s="28"/>
      <c r="N268" s="28"/>
      <c r="O268" s="28"/>
      <c r="P268" s="28"/>
      <c r="Q268" s="28"/>
      <c r="R268" s="28"/>
      <c r="S268" s="28"/>
      <c r="T268" s="28"/>
      <c r="U268" s="28"/>
      <c r="V268" s="28"/>
      <c r="W268" s="28"/>
      <c r="X268" s="28"/>
      <c r="Y268" s="28"/>
      <c r="Z268" s="28"/>
    </row>
    <row r="269" spans="1:26" ht="15.75" customHeight="1" x14ac:dyDescent="0.25">
      <c r="A269" s="44"/>
      <c r="B269" s="46"/>
      <c r="C269" s="46"/>
      <c r="D269" s="216"/>
      <c r="E269" s="207"/>
      <c r="F269" s="28"/>
      <c r="G269" s="28"/>
      <c r="H269" s="3"/>
      <c r="I269" s="28"/>
      <c r="J269" s="28"/>
      <c r="K269" s="28"/>
      <c r="L269" s="28"/>
      <c r="M269" s="28"/>
      <c r="N269" s="28"/>
      <c r="O269" s="28"/>
      <c r="P269" s="28"/>
      <c r="Q269" s="28"/>
      <c r="R269" s="28"/>
      <c r="S269" s="28"/>
      <c r="T269" s="28"/>
      <c r="U269" s="28"/>
      <c r="V269" s="28"/>
      <c r="W269" s="28"/>
      <c r="X269" s="28"/>
      <c r="Y269" s="28"/>
      <c r="Z269" s="28"/>
    </row>
    <row r="270" spans="1:26" ht="15.75" customHeight="1" x14ac:dyDescent="0.25">
      <c r="A270" s="9" t="s">
        <v>81</v>
      </c>
      <c r="B270" s="299" t="s">
        <v>82</v>
      </c>
      <c r="C270" s="11">
        <v>2</v>
      </c>
      <c r="D270" s="11">
        <v>2</v>
      </c>
      <c r="E270" s="11">
        <v>1</v>
      </c>
      <c r="F270" s="28"/>
      <c r="G270" s="28"/>
      <c r="H270" s="3"/>
      <c r="I270" s="28"/>
      <c r="J270" s="28"/>
      <c r="K270" s="28"/>
      <c r="L270" s="28"/>
      <c r="M270" s="28"/>
      <c r="N270" s="28"/>
      <c r="O270" s="28"/>
      <c r="P270" s="28"/>
      <c r="Q270" s="28"/>
      <c r="R270" s="28"/>
      <c r="S270" s="28"/>
      <c r="T270" s="28"/>
      <c r="U270" s="28"/>
      <c r="V270" s="28"/>
      <c r="W270" s="28"/>
      <c r="X270" s="28"/>
      <c r="Y270" s="28"/>
      <c r="Z270" s="28"/>
    </row>
    <row r="271" spans="1:26" ht="15.75" customHeight="1" x14ac:dyDescent="0.25">
      <c r="A271" s="9" t="s">
        <v>83</v>
      </c>
      <c r="B271" s="300"/>
      <c r="C271" s="11">
        <v>10</v>
      </c>
      <c r="D271" s="11">
        <v>10</v>
      </c>
      <c r="E271" s="11">
        <v>14</v>
      </c>
      <c r="F271" s="28"/>
      <c r="G271" s="28"/>
      <c r="H271" s="3"/>
      <c r="I271" s="28"/>
      <c r="J271" s="28"/>
      <c r="K271" s="28"/>
      <c r="L271" s="28"/>
      <c r="M271" s="28"/>
      <c r="N271" s="28"/>
      <c r="O271" s="28"/>
      <c r="P271" s="28"/>
      <c r="Q271" s="28"/>
      <c r="R271" s="28"/>
      <c r="S271" s="28"/>
      <c r="T271" s="28"/>
      <c r="U271" s="28"/>
      <c r="V271" s="28"/>
      <c r="W271" s="28"/>
      <c r="X271" s="28"/>
      <c r="Y271" s="28"/>
      <c r="Z271" s="28"/>
    </row>
    <row r="272" spans="1:26" ht="15.75" customHeight="1" x14ac:dyDescent="0.25">
      <c r="A272" s="9" t="s">
        <v>155</v>
      </c>
      <c r="B272" s="301"/>
      <c r="C272" s="11">
        <v>3</v>
      </c>
      <c r="D272" s="11">
        <v>4</v>
      </c>
      <c r="E272" s="11">
        <v>9</v>
      </c>
      <c r="F272" s="28"/>
      <c r="G272" s="28"/>
      <c r="H272" s="3"/>
      <c r="I272" s="28"/>
      <c r="J272" s="28"/>
      <c r="K272" s="28"/>
      <c r="L272" s="28"/>
      <c r="M272" s="28"/>
      <c r="N272" s="28"/>
      <c r="O272" s="28"/>
      <c r="P272" s="28"/>
      <c r="Q272" s="28"/>
      <c r="R272" s="28"/>
      <c r="S272" s="28"/>
      <c r="T272" s="28"/>
      <c r="U272" s="28"/>
      <c r="V272" s="28"/>
      <c r="W272" s="28"/>
      <c r="X272" s="28"/>
      <c r="Y272" s="28"/>
      <c r="Z272" s="28"/>
    </row>
    <row r="273" spans="1:26" ht="15.75" customHeight="1" x14ac:dyDescent="0.25">
      <c r="A273" s="41"/>
      <c r="B273" s="42"/>
      <c r="C273" s="42"/>
      <c r="D273" s="42"/>
      <c r="E273" s="24"/>
      <c r="F273" s="28"/>
      <c r="G273" s="28"/>
      <c r="H273" s="3"/>
      <c r="I273" s="28"/>
      <c r="J273" s="28"/>
      <c r="K273" s="28"/>
      <c r="L273" s="28"/>
      <c r="M273" s="28"/>
      <c r="N273" s="28"/>
      <c r="O273" s="28"/>
      <c r="P273" s="28"/>
      <c r="Q273" s="28"/>
      <c r="R273" s="28"/>
      <c r="S273" s="28"/>
      <c r="T273" s="28"/>
      <c r="U273" s="28"/>
      <c r="V273" s="28"/>
      <c r="W273" s="28"/>
      <c r="X273" s="28"/>
      <c r="Y273" s="28"/>
      <c r="Z273" s="28"/>
    </row>
    <row r="274" spans="1:26" ht="15.75" customHeight="1" x14ac:dyDescent="0.25">
      <c r="A274" s="9" t="s">
        <v>86</v>
      </c>
      <c r="B274" s="302" t="s">
        <v>87</v>
      </c>
      <c r="C274" s="11">
        <v>19</v>
      </c>
      <c r="D274" s="11">
        <v>19</v>
      </c>
      <c r="E274" s="11">
        <v>15</v>
      </c>
      <c r="F274" s="28"/>
      <c r="G274" s="28"/>
      <c r="H274" s="3"/>
      <c r="I274" s="28"/>
      <c r="J274" s="28"/>
      <c r="K274" s="28"/>
      <c r="L274" s="28"/>
      <c r="M274" s="28"/>
      <c r="N274" s="28"/>
      <c r="O274" s="28"/>
      <c r="P274" s="28"/>
      <c r="Q274" s="28"/>
      <c r="R274" s="28"/>
      <c r="S274" s="28"/>
      <c r="T274" s="28"/>
      <c r="U274" s="28"/>
      <c r="V274" s="28"/>
      <c r="W274" s="28"/>
      <c r="X274" s="28"/>
      <c r="Y274" s="28"/>
      <c r="Z274" s="28"/>
    </row>
    <row r="275" spans="1:26" ht="15.75" customHeight="1" x14ac:dyDescent="0.25">
      <c r="A275" s="49" t="s">
        <v>88</v>
      </c>
      <c r="B275" s="300"/>
      <c r="C275" s="51">
        <v>20</v>
      </c>
      <c r="D275" s="51">
        <v>20</v>
      </c>
      <c r="E275" s="51">
        <v>18</v>
      </c>
      <c r="F275" s="28"/>
      <c r="G275" s="28"/>
      <c r="H275" s="3"/>
      <c r="I275" s="28"/>
      <c r="J275" s="28"/>
      <c r="K275" s="28"/>
      <c r="L275" s="28"/>
      <c r="M275" s="28"/>
      <c r="N275" s="28"/>
      <c r="O275" s="28"/>
      <c r="P275" s="28"/>
      <c r="Q275" s="28"/>
      <c r="R275" s="28"/>
      <c r="S275" s="28"/>
      <c r="T275" s="28"/>
      <c r="U275" s="28"/>
      <c r="V275" s="28"/>
      <c r="W275" s="28"/>
      <c r="X275" s="28"/>
      <c r="Y275" s="28"/>
      <c r="Z275" s="28"/>
    </row>
    <row r="276" spans="1:26" ht="15.75" customHeight="1" x14ac:dyDescent="0.25">
      <c r="A276" s="44"/>
      <c r="B276" s="46"/>
      <c r="C276" s="46"/>
      <c r="D276" s="216"/>
      <c r="E276" s="207"/>
      <c r="F276" s="28"/>
      <c r="G276" s="28"/>
      <c r="H276" s="3"/>
      <c r="I276" s="28"/>
      <c r="J276" s="28"/>
      <c r="K276" s="28"/>
      <c r="L276" s="28"/>
      <c r="M276" s="28"/>
      <c r="N276" s="28"/>
      <c r="O276" s="28"/>
      <c r="P276" s="28"/>
      <c r="Q276" s="28"/>
      <c r="R276" s="28"/>
      <c r="S276" s="28"/>
      <c r="T276" s="28"/>
      <c r="U276" s="28"/>
      <c r="V276" s="28"/>
      <c r="W276" s="28"/>
      <c r="X276" s="28"/>
      <c r="Y276" s="28"/>
      <c r="Z276" s="28"/>
    </row>
    <row r="277" spans="1:26" ht="15.75" customHeight="1" x14ac:dyDescent="0.25">
      <c r="A277" s="12" t="s">
        <v>89</v>
      </c>
      <c r="B277" s="302" t="s">
        <v>90</v>
      </c>
      <c r="C277" s="25">
        <v>6</v>
      </c>
      <c r="D277" s="25">
        <v>6</v>
      </c>
      <c r="E277" s="11">
        <v>8</v>
      </c>
      <c r="F277" s="28"/>
      <c r="G277" s="28"/>
      <c r="H277" s="3"/>
      <c r="I277" s="28"/>
      <c r="J277" s="28"/>
      <c r="K277" s="28"/>
      <c r="L277" s="28"/>
      <c r="M277" s="28"/>
      <c r="N277" s="28"/>
      <c r="O277" s="28"/>
      <c r="P277" s="28"/>
      <c r="Q277" s="28"/>
      <c r="R277" s="28"/>
      <c r="S277" s="28"/>
      <c r="T277" s="28"/>
      <c r="U277" s="28"/>
      <c r="V277" s="28"/>
      <c r="W277" s="28"/>
      <c r="X277" s="28"/>
      <c r="Y277" s="28"/>
      <c r="Z277" s="28"/>
    </row>
    <row r="278" spans="1:26" ht="15.75" customHeight="1" x14ac:dyDescent="0.25">
      <c r="A278" s="9" t="s">
        <v>91</v>
      </c>
      <c r="B278" s="300"/>
      <c r="C278" s="11">
        <v>17</v>
      </c>
      <c r="D278" s="11">
        <v>17</v>
      </c>
      <c r="E278" s="11">
        <v>18</v>
      </c>
      <c r="F278" s="28"/>
      <c r="G278" s="28"/>
      <c r="H278" s="3"/>
      <c r="I278" s="28"/>
      <c r="J278" s="28"/>
      <c r="K278" s="28"/>
      <c r="L278" s="28"/>
      <c r="M278" s="28"/>
      <c r="N278" s="28"/>
      <c r="O278" s="28"/>
      <c r="P278" s="28"/>
      <c r="Q278" s="28"/>
      <c r="R278" s="28"/>
      <c r="S278" s="28"/>
      <c r="T278" s="28"/>
      <c r="U278" s="28"/>
      <c r="V278" s="28"/>
      <c r="W278" s="28"/>
      <c r="X278" s="28"/>
      <c r="Y278" s="28"/>
      <c r="Z278" s="28"/>
    </row>
    <row r="279" spans="1:26" ht="15.75" customHeight="1" x14ac:dyDescent="0.25">
      <c r="A279" s="9" t="s">
        <v>92</v>
      </c>
      <c r="B279" s="301"/>
      <c r="C279" s="11"/>
      <c r="D279" s="11"/>
      <c r="E279" s="11"/>
      <c r="F279" s="28"/>
      <c r="G279" s="28"/>
      <c r="H279" s="3"/>
      <c r="I279" s="28"/>
      <c r="J279" s="28"/>
      <c r="K279" s="28"/>
      <c r="L279" s="28"/>
      <c r="M279" s="28"/>
      <c r="N279" s="28"/>
      <c r="O279" s="28"/>
      <c r="P279" s="28"/>
      <c r="Q279" s="28"/>
      <c r="R279" s="28"/>
      <c r="S279" s="28"/>
      <c r="T279" s="28"/>
      <c r="U279" s="28"/>
      <c r="V279" s="28"/>
      <c r="W279" s="28"/>
      <c r="X279" s="28"/>
      <c r="Y279" s="28"/>
      <c r="Z279" s="28"/>
    </row>
    <row r="280" spans="1:26" ht="15.75" customHeight="1" x14ac:dyDescent="0.25">
      <c r="A280" s="135"/>
      <c r="B280" s="136"/>
      <c r="C280" s="136"/>
      <c r="D280" s="136"/>
      <c r="E280" s="24"/>
      <c r="F280" s="28"/>
      <c r="G280" s="28"/>
      <c r="H280" s="3"/>
      <c r="I280" s="28"/>
      <c r="J280" s="28"/>
      <c r="K280" s="28"/>
      <c r="L280" s="28"/>
      <c r="M280" s="28"/>
      <c r="N280" s="28"/>
      <c r="O280" s="28"/>
      <c r="P280" s="28"/>
      <c r="Q280" s="28"/>
      <c r="R280" s="28"/>
      <c r="S280" s="28"/>
      <c r="T280" s="28"/>
      <c r="U280" s="28"/>
      <c r="V280" s="28"/>
      <c r="W280" s="28"/>
      <c r="X280" s="28"/>
      <c r="Y280" s="28"/>
      <c r="Z280" s="28"/>
    </row>
    <row r="281" spans="1:26" ht="15.75" customHeight="1" x14ac:dyDescent="0.25">
      <c r="A281" s="9" t="s">
        <v>94</v>
      </c>
      <c r="B281" s="299" t="s">
        <v>95</v>
      </c>
      <c r="C281" s="47">
        <v>49.666666666666664</v>
      </c>
      <c r="D281" s="11">
        <v>55</v>
      </c>
      <c r="E281" s="11">
        <v>58</v>
      </c>
      <c r="F281" s="28"/>
      <c r="G281" s="28"/>
      <c r="H281" s="3"/>
      <c r="I281" s="28"/>
      <c r="J281" s="28"/>
      <c r="K281" s="28"/>
      <c r="L281" s="28"/>
      <c r="M281" s="28"/>
      <c r="N281" s="28"/>
      <c r="O281" s="28"/>
      <c r="P281" s="28"/>
      <c r="Q281" s="28"/>
      <c r="R281" s="28"/>
      <c r="S281" s="28"/>
      <c r="T281" s="28"/>
      <c r="U281" s="28"/>
      <c r="V281" s="28"/>
      <c r="W281" s="28"/>
      <c r="X281" s="28"/>
      <c r="Y281" s="28"/>
      <c r="Z281" s="28"/>
    </row>
    <row r="282" spans="1:26" ht="15.75" customHeight="1" x14ac:dyDescent="0.25">
      <c r="A282" s="9" t="s">
        <v>97</v>
      </c>
      <c r="B282" s="300"/>
      <c r="C282" s="47">
        <v>124.33333333333333</v>
      </c>
      <c r="D282" s="11">
        <v>128</v>
      </c>
      <c r="E282" s="11">
        <v>124</v>
      </c>
      <c r="F282" s="28"/>
      <c r="G282" s="28"/>
      <c r="H282" s="3"/>
      <c r="I282" s="28"/>
      <c r="J282" s="28"/>
      <c r="K282" s="28"/>
      <c r="L282" s="28"/>
      <c r="M282" s="28"/>
      <c r="N282" s="28"/>
      <c r="O282" s="28"/>
      <c r="P282" s="28"/>
      <c r="Q282" s="28"/>
      <c r="R282" s="28"/>
      <c r="S282" s="28"/>
      <c r="T282" s="28"/>
      <c r="U282" s="28"/>
      <c r="V282" s="28"/>
      <c r="W282" s="28"/>
      <c r="X282" s="28"/>
      <c r="Y282" s="28"/>
      <c r="Z282" s="28"/>
    </row>
    <row r="283" spans="1:26" ht="15.75" customHeight="1" x14ac:dyDescent="0.25">
      <c r="A283" s="9" t="s">
        <v>96</v>
      </c>
      <c r="B283" s="300"/>
      <c r="C283" s="47">
        <v>127</v>
      </c>
      <c r="D283" s="11">
        <v>129</v>
      </c>
      <c r="E283" s="11">
        <v>133</v>
      </c>
      <c r="F283" s="28"/>
      <c r="G283" s="28"/>
      <c r="H283" s="3"/>
      <c r="I283" s="28"/>
      <c r="J283" s="28"/>
      <c r="K283" s="28"/>
      <c r="L283" s="28"/>
      <c r="M283" s="28"/>
      <c r="N283" s="28"/>
      <c r="O283" s="28"/>
      <c r="P283" s="28"/>
      <c r="Q283" s="28"/>
      <c r="R283" s="28"/>
      <c r="S283" s="28"/>
      <c r="T283" s="28"/>
      <c r="U283" s="28"/>
      <c r="V283" s="28"/>
      <c r="W283" s="28"/>
      <c r="X283" s="28"/>
      <c r="Y283" s="28"/>
      <c r="Z283" s="28"/>
    </row>
    <row r="284" spans="1:26" ht="15.75" customHeight="1" x14ac:dyDescent="0.25">
      <c r="A284" s="9" t="s">
        <v>98</v>
      </c>
      <c r="B284" s="300"/>
      <c r="C284" s="47">
        <v>134.66666666666666</v>
      </c>
      <c r="D284" s="11">
        <v>137</v>
      </c>
      <c r="E284" s="11">
        <v>136</v>
      </c>
      <c r="F284" s="28"/>
      <c r="G284" s="28"/>
      <c r="H284" s="3"/>
      <c r="I284" s="28"/>
      <c r="J284" s="28"/>
      <c r="K284" s="28"/>
      <c r="L284" s="28"/>
      <c r="M284" s="28"/>
      <c r="N284" s="28"/>
      <c r="O284" s="28"/>
      <c r="P284" s="28"/>
      <c r="Q284" s="28"/>
      <c r="R284" s="28"/>
      <c r="S284" s="28"/>
      <c r="T284" s="28"/>
      <c r="U284" s="28"/>
      <c r="V284" s="28"/>
      <c r="W284" s="28"/>
      <c r="X284" s="28"/>
      <c r="Y284" s="28"/>
      <c r="Z284" s="28"/>
    </row>
    <row r="285" spans="1:26" ht="15.75" customHeight="1" x14ac:dyDescent="0.25">
      <c r="A285" s="9" t="s">
        <v>99</v>
      </c>
      <c r="B285" s="301"/>
      <c r="C285" s="47">
        <v>152</v>
      </c>
      <c r="D285" s="11">
        <v>152</v>
      </c>
      <c r="E285" s="11">
        <v>158</v>
      </c>
      <c r="F285" s="28"/>
      <c r="G285" s="28"/>
      <c r="H285" s="3"/>
      <c r="I285" s="28"/>
      <c r="J285" s="28"/>
      <c r="K285" s="28"/>
      <c r="L285" s="28"/>
      <c r="M285" s="28"/>
      <c r="N285" s="28"/>
      <c r="O285" s="28"/>
      <c r="P285" s="28"/>
      <c r="Q285" s="28"/>
      <c r="R285" s="28"/>
      <c r="S285" s="28"/>
      <c r="T285" s="28"/>
      <c r="U285" s="28"/>
      <c r="V285" s="28"/>
      <c r="W285" s="28"/>
      <c r="X285" s="28"/>
      <c r="Y285" s="28"/>
      <c r="Z285" s="28"/>
    </row>
    <row r="286" spans="1:26" ht="15.75" customHeight="1" x14ac:dyDescent="0.25">
      <c r="E286" s="3"/>
    </row>
    <row r="287" spans="1:26" ht="15.75" customHeight="1" x14ac:dyDescent="0.25">
      <c r="E287" s="3"/>
    </row>
    <row r="288" spans="1:26" ht="15.75" customHeight="1" x14ac:dyDescent="0.25">
      <c r="E288" s="3"/>
    </row>
    <row r="289" spans="1:26" ht="15.75" customHeight="1" x14ac:dyDescent="0.3">
      <c r="A289" s="161" t="s">
        <v>353</v>
      </c>
      <c r="B289" s="163" t="s">
        <v>775</v>
      </c>
      <c r="C289" s="28"/>
      <c r="D289" s="28"/>
      <c r="E289" s="3"/>
      <c r="F289" s="28"/>
      <c r="G289" s="28"/>
      <c r="H289" s="28"/>
      <c r="I289" s="28"/>
      <c r="J289" s="28"/>
      <c r="K289" s="28"/>
      <c r="L289" s="28"/>
      <c r="M289" s="28"/>
      <c r="N289" s="28"/>
      <c r="O289" s="28"/>
      <c r="P289" s="28"/>
      <c r="Q289" s="28"/>
      <c r="R289" s="28"/>
      <c r="S289" s="28"/>
      <c r="T289" s="28"/>
      <c r="U289" s="28"/>
      <c r="V289" s="28"/>
      <c r="W289" s="28"/>
      <c r="X289" s="28"/>
      <c r="Z289" s="28"/>
    </row>
    <row r="290" spans="1:26" ht="15.75" customHeight="1" x14ac:dyDescent="0.3">
      <c r="A290" s="164" t="s">
        <v>360</v>
      </c>
      <c r="B290" s="165"/>
      <c r="C290" s="28"/>
      <c r="D290" s="28"/>
      <c r="E290" s="3"/>
      <c r="F290" s="28"/>
      <c r="G290" s="28"/>
      <c r="H290" s="28"/>
      <c r="I290" s="28"/>
      <c r="J290" s="28"/>
      <c r="K290" s="28"/>
      <c r="L290" s="28"/>
      <c r="M290" s="28"/>
      <c r="N290" s="28"/>
      <c r="O290" s="28"/>
      <c r="P290" s="28"/>
      <c r="Q290" s="28"/>
      <c r="R290" s="28"/>
      <c r="S290" s="28"/>
      <c r="T290" s="28"/>
      <c r="U290" s="28"/>
      <c r="V290" s="28"/>
      <c r="W290" s="28"/>
      <c r="X290" s="28"/>
      <c r="Z290" s="28"/>
    </row>
    <row r="291" spans="1:26" ht="15.75" customHeight="1" x14ac:dyDescent="0.3">
      <c r="A291" s="28"/>
      <c r="B291" s="28"/>
      <c r="C291" s="28"/>
      <c r="D291" s="28"/>
      <c r="E291" s="3"/>
      <c r="F291" s="28"/>
      <c r="G291" s="28"/>
      <c r="H291" s="28"/>
      <c r="I291" s="28"/>
      <c r="J291" s="28"/>
      <c r="K291" s="28"/>
      <c r="L291" s="320" t="s">
        <v>153</v>
      </c>
      <c r="M291" s="297"/>
      <c r="N291" s="297"/>
      <c r="O291" s="297"/>
      <c r="P291" s="297"/>
      <c r="Q291" s="298"/>
      <c r="R291" s="28"/>
      <c r="S291" s="321" t="s">
        <v>154</v>
      </c>
      <c r="T291" s="322"/>
      <c r="U291" s="322"/>
      <c r="V291" s="322"/>
      <c r="W291" s="323"/>
      <c r="X291" s="28"/>
      <c r="Z291" s="28"/>
    </row>
    <row r="292" spans="1:26" ht="15.75" customHeight="1" x14ac:dyDescent="0.25">
      <c r="A292" s="156" t="s">
        <v>0</v>
      </c>
      <c r="B292" s="157" t="s">
        <v>1</v>
      </c>
      <c r="C292" s="157" t="s">
        <v>42</v>
      </c>
      <c r="D292" s="157" t="s">
        <v>43</v>
      </c>
      <c r="E292" s="157" t="s">
        <v>44</v>
      </c>
      <c r="F292" s="28"/>
      <c r="G292" s="296" t="s">
        <v>45</v>
      </c>
      <c r="H292" s="297"/>
      <c r="I292" s="297"/>
      <c r="J292" s="298"/>
      <c r="K292" s="28"/>
      <c r="L292" s="311" t="s">
        <v>157</v>
      </c>
      <c r="M292" s="312"/>
      <c r="N292" s="312"/>
      <c r="O292" s="312"/>
      <c r="P292" s="312"/>
      <c r="Q292" s="313"/>
      <c r="R292" s="28"/>
      <c r="S292" s="325" t="s">
        <v>157</v>
      </c>
      <c r="T292" s="297"/>
      <c r="U292" s="297"/>
      <c r="V292" s="297"/>
      <c r="W292" s="298"/>
      <c r="X292" s="28"/>
      <c r="Z292" s="28"/>
    </row>
    <row r="293" spans="1:26" ht="15.75" customHeight="1" x14ac:dyDescent="0.25">
      <c r="A293" s="310" t="s">
        <v>8</v>
      </c>
      <c r="B293" s="297"/>
      <c r="C293" s="297"/>
      <c r="D293" s="297"/>
      <c r="E293" s="298"/>
      <c r="F293" s="28"/>
      <c r="G293" s="305" t="s">
        <v>10</v>
      </c>
      <c r="H293" s="297"/>
      <c r="I293" s="297"/>
      <c r="J293" s="298"/>
      <c r="K293" s="28"/>
      <c r="L293" s="317"/>
      <c r="M293" s="318"/>
      <c r="N293" s="318"/>
      <c r="O293" s="318"/>
      <c r="P293" s="318"/>
      <c r="Q293" s="319"/>
      <c r="R293" s="28"/>
      <c r="S293" s="58" t="s">
        <v>160</v>
      </c>
      <c r="T293" s="59" t="s">
        <v>161</v>
      </c>
      <c r="U293" s="59" t="s">
        <v>162</v>
      </c>
      <c r="V293" s="61" t="s">
        <v>163</v>
      </c>
      <c r="W293" s="62" t="s">
        <v>165</v>
      </c>
      <c r="X293" s="28"/>
      <c r="Z293" s="28"/>
    </row>
    <row r="294" spans="1:26" ht="15.75" customHeight="1" x14ac:dyDescent="0.25">
      <c r="A294" s="9" t="s">
        <v>11</v>
      </c>
      <c r="B294" s="9" t="s">
        <v>12</v>
      </c>
      <c r="C294" s="11">
        <v>487</v>
      </c>
      <c r="D294" s="22"/>
      <c r="E294" s="22">
        <v>486</v>
      </c>
      <c r="F294" s="28"/>
      <c r="G294" s="12"/>
      <c r="H294" s="12" t="s">
        <v>52</v>
      </c>
      <c r="I294" s="12" t="s">
        <v>53</v>
      </c>
      <c r="J294" s="12"/>
      <c r="K294" s="28"/>
      <c r="L294" s="63" t="s">
        <v>168</v>
      </c>
      <c r="M294" s="64" t="s">
        <v>169</v>
      </c>
      <c r="N294" s="64" t="s">
        <v>171</v>
      </c>
      <c r="O294" s="64" t="s">
        <v>172</v>
      </c>
      <c r="P294" s="65" t="s">
        <v>173</v>
      </c>
      <c r="Q294" s="66" t="s">
        <v>175</v>
      </c>
      <c r="R294" s="28"/>
      <c r="S294" s="63" t="s">
        <v>176</v>
      </c>
      <c r="T294" s="67">
        <v>0.14799999999999999</v>
      </c>
      <c r="U294" s="68">
        <v>2.5009999999999999</v>
      </c>
      <c r="V294" s="70">
        <f t="shared" ref="V294:V298" si="2">+U294/T294</f>
        <v>16.898648648648649</v>
      </c>
      <c r="W294" s="72"/>
      <c r="X294" s="28"/>
      <c r="Z294" s="28"/>
    </row>
    <row r="295" spans="1:26" ht="15.75" customHeight="1" x14ac:dyDescent="0.25">
      <c r="A295" s="9" t="s">
        <v>11</v>
      </c>
      <c r="B295" s="12" t="s">
        <v>18</v>
      </c>
      <c r="C295" s="11">
        <v>0</v>
      </c>
      <c r="D295" s="22"/>
      <c r="E295" s="22">
        <v>0</v>
      </c>
      <c r="F295" s="28"/>
      <c r="G295" s="12" t="s">
        <v>12</v>
      </c>
      <c r="H295" s="11">
        <v>487</v>
      </c>
      <c r="I295" s="11"/>
      <c r="J295" s="17" t="s">
        <v>890</v>
      </c>
      <c r="K295" s="28"/>
      <c r="L295" s="73">
        <v>440</v>
      </c>
      <c r="M295" s="74">
        <v>20</v>
      </c>
      <c r="N295" s="74">
        <f>+U294</f>
        <v>2.5009999999999999</v>
      </c>
      <c r="O295" s="76">
        <f>+U297</f>
        <v>0</v>
      </c>
      <c r="P295" s="77">
        <f>+U295</f>
        <v>2.2480000000000002</v>
      </c>
      <c r="Q295" s="78">
        <f>(L295-M295)*(N295-O295)/(P295-O295)+M295</f>
        <v>487.26868327402121</v>
      </c>
      <c r="R295" s="28"/>
      <c r="S295" s="80" t="s">
        <v>188</v>
      </c>
      <c r="T295" s="74">
        <v>0.13900000000000001</v>
      </c>
      <c r="U295" s="82">
        <v>2.2480000000000002</v>
      </c>
      <c r="V295" s="84">
        <f t="shared" si="2"/>
        <v>16.172661870503596</v>
      </c>
      <c r="W295" s="86">
        <f>(U295-U297)/(U294-U297)</f>
        <v>0.89884046381447436</v>
      </c>
      <c r="X295" s="28"/>
      <c r="Z295" s="28"/>
    </row>
    <row r="296" spans="1:26" ht="15.75" customHeight="1" x14ac:dyDescent="0.25">
      <c r="A296" s="9" t="s">
        <v>21</v>
      </c>
      <c r="B296" s="12" t="s">
        <v>59</v>
      </c>
      <c r="C296" s="11">
        <v>440</v>
      </c>
      <c r="D296" s="22"/>
      <c r="E296" s="11">
        <v>435</v>
      </c>
      <c r="F296" s="28"/>
      <c r="G296" s="12" t="s">
        <v>18</v>
      </c>
      <c r="H296" s="11">
        <v>0</v>
      </c>
      <c r="I296" s="11">
        <v>0</v>
      </c>
      <c r="J296" s="17" t="s">
        <v>893</v>
      </c>
      <c r="K296" s="28"/>
      <c r="L296" s="73" t="s">
        <v>168</v>
      </c>
      <c r="M296" s="74" t="s">
        <v>171</v>
      </c>
      <c r="N296" s="74" t="s">
        <v>190</v>
      </c>
      <c r="O296" s="74" t="s">
        <v>191</v>
      </c>
      <c r="P296" s="77" t="s">
        <v>173</v>
      </c>
      <c r="Q296" s="87" t="s">
        <v>192</v>
      </c>
      <c r="R296" s="28"/>
      <c r="S296" s="80" t="s">
        <v>193</v>
      </c>
      <c r="T296" s="74">
        <v>0.109</v>
      </c>
      <c r="U296" s="82">
        <v>0.38100000000000001</v>
      </c>
      <c r="V296" s="84">
        <f t="shared" si="2"/>
        <v>3.4954128440366974</v>
      </c>
      <c r="W296" s="86">
        <f>(U296-U297)/(U294-U297)</f>
        <v>0.15233906437425032</v>
      </c>
      <c r="X296" s="28"/>
      <c r="Z296" s="28"/>
    </row>
    <row r="297" spans="1:26" ht="15.75" customHeight="1" x14ac:dyDescent="0.25">
      <c r="A297" s="9" t="s">
        <v>21</v>
      </c>
      <c r="B297" s="10" t="s">
        <v>63</v>
      </c>
      <c r="C297" s="11">
        <v>160</v>
      </c>
      <c r="D297" s="22"/>
      <c r="E297" s="11">
        <v>182</v>
      </c>
      <c r="F297" s="28"/>
      <c r="G297" s="305" t="s">
        <v>23</v>
      </c>
      <c r="H297" s="297"/>
      <c r="I297" s="297"/>
      <c r="J297" s="298"/>
      <c r="K297" s="28"/>
      <c r="L297" s="73">
        <v>160</v>
      </c>
      <c r="M297" s="74">
        <f>+U294</f>
        <v>2.5009999999999999</v>
      </c>
      <c r="N297" s="76">
        <f>+U297</f>
        <v>0</v>
      </c>
      <c r="O297" s="89">
        <f>+Q295</f>
        <v>487.26868327402121</v>
      </c>
      <c r="P297" s="77">
        <f>+U296</f>
        <v>0.38100000000000001</v>
      </c>
      <c r="Q297" s="90">
        <f>(L297*(M297-N297)-O297*(P297-N297))/(M297-P297)</f>
        <v>101.18426022292353</v>
      </c>
      <c r="R297" s="28"/>
      <c r="S297" s="80" t="s">
        <v>194</v>
      </c>
      <c r="T297" s="74">
        <v>9.6000000000000002E-2</v>
      </c>
      <c r="U297" s="91">
        <v>0</v>
      </c>
      <c r="V297" s="84">
        <f t="shared" si="2"/>
        <v>0</v>
      </c>
      <c r="W297" s="86"/>
      <c r="X297" s="28"/>
      <c r="Z297" s="28"/>
    </row>
    <row r="298" spans="1:26" ht="15.75" customHeight="1" x14ac:dyDescent="0.25">
      <c r="A298" s="9" t="s">
        <v>343</v>
      </c>
      <c r="B298" s="10" t="s">
        <v>343</v>
      </c>
      <c r="C298" s="11">
        <v>0</v>
      </c>
      <c r="D298" s="22"/>
      <c r="E298" s="11">
        <v>0</v>
      </c>
      <c r="F298" s="28"/>
      <c r="G298" s="12" t="s">
        <v>12</v>
      </c>
      <c r="H298" s="11">
        <v>457</v>
      </c>
      <c r="I298" s="11"/>
      <c r="J298" s="17" t="s">
        <v>901</v>
      </c>
      <c r="K298" s="28"/>
      <c r="L298" s="80" t="s">
        <v>196</v>
      </c>
      <c r="M298" s="93"/>
      <c r="N298" s="93"/>
      <c r="O298" s="93"/>
      <c r="P298" s="94"/>
      <c r="Q298" s="95"/>
      <c r="R298" s="28"/>
      <c r="S298" s="96" t="s">
        <v>197</v>
      </c>
      <c r="T298" s="97">
        <v>0.1</v>
      </c>
      <c r="U298" s="99">
        <v>0</v>
      </c>
      <c r="V298" s="100">
        <f t="shared" si="2"/>
        <v>0</v>
      </c>
      <c r="W298" s="101">
        <f>+(U298-U297)/(U294-U297)</f>
        <v>0</v>
      </c>
      <c r="X298" s="28"/>
      <c r="Z298" s="28"/>
    </row>
    <row r="299" spans="1:26" ht="15.75" customHeight="1" x14ac:dyDescent="0.25">
      <c r="A299" s="310" t="s">
        <v>29</v>
      </c>
      <c r="B299" s="297"/>
      <c r="C299" s="297"/>
      <c r="D299" s="297"/>
      <c r="E299" s="298"/>
      <c r="F299" s="28"/>
      <c r="G299" s="12" t="s">
        <v>18</v>
      </c>
      <c r="H299" s="11">
        <v>0</v>
      </c>
      <c r="I299" s="11">
        <v>0</v>
      </c>
      <c r="J299" s="17" t="s">
        <v>906</v>
      </c>
      <c r="K299" s="28"/>
      <c r="L299" s="80" t="s">
        <v>199</v>
      </c>
      <c r="M299" s="93" t="s">
        <v>169</v>
      </c>
      <c r="N299" s="93" t="s">
        <v>200</v>
      </c>
      <c r="O299" s="93" t="s">
        <v>201</v>
      </c>
      <c r="P299" s="94" t="s">
        <v>191</v>
      </c>
      <c r="Q299" s="87" t="s">
        <v>202</v>
      </c>
      <c r="R299" s="28"/>
      <c r="S299" s="311" t="s">
        <v>203</v>
      </c>
      <c r="T299" s="312"/>
      <c r="U299" s="312"/>
      <c r="V299" s="312"/>
      <c r="W299" s="313"/>
      <c r="X299" s="28"/>
      <c r="Z299" s="28"/>
    </row>
    <row r="300" spans="1:26" ht="15.75" customHeight="1" x14ac:dyDescent="0.25">
      <c r="A300" s="9" t="s">
        <v>11</v>
      </c>
      <c r="B300" s="9" t="s">
        <v>12</v>
      </c>
      <c r="C300" s="11">
        <v>457</v>
      </c>
      <c r="D300" s="22"/>
      <c r="E300" s="22">
        <v>456</v>
      </c>
      <c r="F300" s="28"/>
      <c r="G300" s="28"/>
      <c r="H300" s="28"/>
      <c r="I300" s="28"/>
      <c r="J300" s="28"/>
      <c r="K300" s="28"/>
      <c r="L300" s="102">
        <f>+U298</f>
        <v>0</v>
      </c>
      <c r="M300" s="103">
        <f>+Q297</f>
        <v>101.18426022292353</v>
      </c>
      <c r="N300" s="97">
        <f>+U294</f>
        <v>2.5009999999999999</v>
      </c>
      <c r="O300" s="104">
        <f>+U297</f>
        <v>0</v>
      </c>
      <c r="P300" s="105">
        <f>+Q295</f>
        <v>487.26868327402121</v>
      </c>
      <c r="Q300" s="106">
        <f>M300+(P300-M300)*(L300-O300)/(N300-O300)</f>
        <v>101.18426022292353</v>
      </c>
      <c r="R300" s="28"/>
      <c r="S300" s="314"/>
      <c r="T300" s="315"/>
      <c r="U300" s="315"/>
      <c r="V300" s="315"/>
      <c r="W300" s="316"/>
      <c r="X300" s="28"/>
      <c r="Z300" s="28"/>
    </row>
    <row r="301" spans="1:26" ht="15.75" customHeight="1" x14ac:dyDescent="0.25">
      <c r="A301" s="9" t="s">
        <v>11</v>
      </c>
      <c r="B301" s="12" t="s">
        <v>18</v>
      </c>
      <c r="C301" s="11">
        <v>0</v>
      </c>
      <c r="D301" s="22"/>
      <c r="E301" s="22">
        <v>0</v>
      </c>
      <c r="F301" s="28"/>
      <c r="G301" s="359" t="s">
        <v>643</v>
      </c>
      <c r="H301" s="315"/>
      <c r="I301" s="360">
        <v>43590</v>
      </c>
      <c r="J301" s="315"/>
      <c r="K301" s="316"/>
      <c r="L301" s="311" t="s">
        <v>204</v>
      </c>
      <c r="M301" s="312"/>
      <c r="N301" s="312"/>
      <c r="O301" s="312"/>
      <c r="P301" s="312"/>
      <c r="Q301" s="313"/>
      <c r="R301" s="28"/>
      <c r="S301" s="317"/>
      <c r="T301" s="318"/>
      <c r="U301" s="318"/>
      <c r="V301" s="318"/>
      <c r="W301" s="319"/>
      <c r="X301" s="28"/>
      <c r="Z301" s="28"/>
    </row>
    <row r="302" spans="1:26" ht="16.5" customHeight="1" x14ac:dyDescent="0.25">
      <c r="A302" s="9" t="s">
        <v>21</v>
      </c>
      <c r="B302" s="12" t="s">
        <v>59</v>
      </c>
      <c r="C302" s="11">
        <v>420</v>
      </c>
      <c r="D302" s="22"/>
      <c r="E302" s="22">
        <v>403</v>
      </c>
      <c r="F302" s="28"/>
      <c r="G302" s="28"/>
      <c r="H302" s="28"/>
      <c r="I302" s="28"/>
      <c r="J302" s="28"/>
      <c r="K302" s="28"/>
      <c r="L302" s="317"/>
      <c r="M302" s="318"/>
      <c r="N302" s="318"/>
      <c r="O302" s="318"/>
      <c r="P302" s="318"/>
      <c r="Q302" s="319"/>
      <c r="R302" s="28"/>
      <c r="S302" s="58" t="s">
        <v>160</v>
      </c>
      <c r="T302" s="59" t="s">
        <v>161</v>
      </c>
      <c r="U302" s="59" t="s">
        <v>162</v>
      </c>
      <c r="V302" s="61" t="s">
        <v>163</v>
      </c>
      <c r="W302" s="62" t="s">
        <v>165</v>
      </c>
      <c r="X302" s="28"/>
      <c r="Z302" s="28"/>
    </row>
    <row r="303" spans="1:26" ht="15.75" customHeight="1" x14ac:dyDescent="0.25">
      <c r="A303" s="9" t="s">
        <v>21</v>
      </c>
      <c r="B303" s="10" t="s">
        <v>63</v>
      </c>
      <c r="C303" s="11">
        <v>130</v>
      </c>
      <c r="D303" s="22"/>
      <c r="E303" s="22">
        <v>155</v>
      </c>
      <c r="F303" s="28"/>
      <c r="G303" s="28"/>
      <c r="H303" s="28"/>
      <c r="I303" s="28"/>
      <c r="J303" s="28"/>
      <c r="K303" s="28"/>
      <c r="L303" s="63" t="s">
        <v>168</v>
      </c>
      <c r="M303" s="64" t="s">
        <v>169</v>
      </c>
      <c r="N303" s="64" t="s">
        <v>171</v>
      </c>
      <c r="O303" s="64" t="s">
        <v>172</v>
      </c>
      <c r="P303" s="65" t="s">
        <v>173</v>
      </c>
      <c r="Q303" s="66" t="s">
        <v>175</v>
      </c>
      <c r="R303" s="28"/>
      <c r="S303" s="63" t="s">
        <v>176</v>
      </c>
      <c r="T303" s="67">
        <v>0.13800000000000001</v>
      </c>
      <c r="U303" s="68">
        <v>1.877</v>
      </c>
      <c r="V303" s="70">
        <f t="shared" ref="V303:V307" si="3">+U303/T303</f>
        <v>13.601449275362318</v>
      </c>
      <c r="W303" s="107"/>
      <c r="X303" s="28"/>
      <c r="Z303" s="28"/>
    </row>
    <row r="304" spans="1:26" ht="15.75" customHeight="1" x14ac:dyDescent="0.25">
      <c r="A304" s="126" t="s">
        <v>343</v>
      </c>
      <c r="B304" s="12" t="s">
        <v>343</v>
      </c>
      <c r="C304" s="11">
        <v>0</v>
      </c>
      <c r="D304" s="22"/>
      <c r="E304" s="11">
        <v>0</v>
      </c>
      <c r="F304" s="28"/>
      <c r="G304" s="28"/>
      <c r="H304" s="28"/>
      <c r="I304" s="28"/>
      <c r="J304" s="28"/>
      <c r="K304" s="28"/>
      <c r="L304" s="73">
        <v>420</v>
      </c>
      <c r="M304" s="74">
        <v>-22.5</v>
      </c>
      <c r="N304" s="74">
        <f>+U303</f>
        <v>1.877</v>
      </c>
      <c r="O304" s="76">
        <f>+U306</f>
        <v>0</v>
      </c>
      <c r="P304" s="77">
        <f>+U304</f>
        <v>1.474</v>
      </c>
      <c r="Q304" s="108">
        <f>(L304-M304)*(N304-O304)/(P304-O304)+M304</f>
        <v>540.98202170963361</v>
      </c>
      <c r="R304" s="28"/>
      <c r="S304" s="80" t="s">
        <v>188</v>
      </c>
      <c r="T304" s="74">
        <v>0.125</v>
      </c>
      <c r="U304" s="82">
        <v>1.474</v>
      </c>
      <c r="V304" s="84">
        <f t="shared" si="3"/>
        <v>11.792</v>
      </c>
      <c r="W304" s="86">
        <f>(U304-U306)/(U303-U306)</f>
        <v>0.78529568460309007</v>
      </c>
      <c r="X304" s="28"/>
      <c r="Z304" s="28"/>
    </row>
    <row r="305" spans="1:26" ht="15.75" customHeight="1" x14ac:dyDescent="0.25">
      <c r="A305" s="28"/>
      <c r="B305" s="28"/>
      <c r="C305" s="28"/>
      <c r="D305" s="28"/>
      <c r="E305" s="3"/>
      <c r="F305" s="28"/>
      <c r="G305" s="28"/>
      <c r="H305" s="28"/>
      <c r="I305" s="28"/>
      <c r="J305" s="28"/>
      <c r="K305" s="28"/>
      <c r="L305" s="73" t="s">
        <v>168</v>
      </c>
      <c r="M305" s="74" t="s">
        <v>171</v>
      </c>
      <c r="N305" s="74" t="s">
        <v>190</v>
      </c>
      <c r="O305" s="74" t="s">
        <v>191</v>
      </c>
      <c r="P305" s="77" t="s">
        <v>173</v>
      </c>
      <c r="Q305" s="87" t="s">
        <v>192</v>
      </c>
      <c r="R305" s="28"/>
      <c r="S305" s="80" t="s">
        <v>193</v>
      </c>
      <c r="T305" s="74">
        <v>0.112</v>
      </c>
      <c r="U305" s="91">
        <v>0.53800000000000003</v>
      </c>
      <c r="V305" s="84">
        <f t="shared" si="3"/>
        <v>4.8035714285714288</v>
      </c>
      <c r="W305" s="86">
        <f>(U305-U306)/(U303-U306)</f>
        <v>0.28662759722962178</v>
      </c>
      <c r="X305" s="28"/>
      <c r="Z305" s="28"/>
    </row>
    <row r="306" spans="1:26" ht="15.75" customHeight="1" x14ac:dyDescent="0.25">
      <c r="A306" s="28"/>
      <c r="B306" s="28"/>
      <c r="C306" s="28"/>
      <c r="D306" s="28"/>
      <c r="E306" s="3"/>
      <c r="F306" s="28"/>
      <c r="G306" s="28"/>
      <c r="H306" s="28"/>
      <c r="I306" s="28"/>
      <c r="J306" s="28"/>
      <c r="K306" s="28"/>
      <c r="L306" s="73">
        <v>140</v>
      </c>
      <c r="M306" s="74">
        <f>+U303</f>
        <v>1.877</v>
      </c>
      <c r="N306" s="76">
        <f>+U306</f>
        <v>0</v>
      </c>
      <c r="O306" s="74">
        <f>+Q304</f>
        <v>540.98202170963361</v>
      </c>
      <c r="P306" s="109">
        <f>+U305</f>
        <v>0.53800000000000003</v>
      </c>
      <c r="Q306" s="78">
        <f>(L306*(M306-N306)-O306*(P306-N306))/(M306-P306)</f>
        <v>-21.11152179222027</v>
      </c>
      <c r="R306" s="28"/>
      <c r="S306" s="80" t="s">
        <v>194</v>
      </c>
      <c r="T306" s="74">
        <v>0.10299999999999999</v>
      </c>
      <c r="U306" s="91">
        <v>0</v>
      </c>
      <c r="V306" s="84">
        <f t="shared" si="3"/>
        <v>0</v>
      </c>
      <c r="W306" s="86"/>
      <c r="X306" s="28"/>
      <c r="Z306" s="28"/>
    </row>
    <row r="307" spans="1:26" ht="15.75" customHeight="1" x14ac:dyDescent="0.25">
      <c r="A307" s="28"/>
      <c r="B307" s="28"/>
      <c r="C307" s="28"/>
      <c r="D307" s="28"/>
      <c r="E307" s="3"/>
      <c r="F307" s="28"/>
      <c r="G307" s="28"/>
      <c r="H307" s="28"/>
      <c r="I307" s="28"/>
      <c r="J307" s="28"/>
      <c r="K307" s="28"/>
      <c r="L307" s="80" t="s">
        <v>196</v>
      </c>
      <c r="M307" s="93"/>
      <c r="N307" s="93"/>
      <c r="O307" s="93"/>
      <c r="P307" s="94"/>
      <c r="Q307" s="95"/>
      <c r="R307" s="28"/>
      <c r="S307" s="111" t="s">
        <v>197</v>
      </c>
      <c r="T307" s="112">
        <v>0.105</v>
      </c>
      <c r="U307" s="113">
        <v>0.155</v>
      </c>
      <c r="V307" s="114">
        <f t="shared" si="3"/>
        <v>1.4761904761904763</v>
      </c>
      <c r="W307" s="115">
        <f>+(U307-U306)/(U303-U306)</f>
        <v>8.2578582844965373E-2</v>
      </c>
      <c r="X307" s="28"/>
      <c r="Z307" s="28"/>
    </row>
    <row r="308" spans="1:26" ht="15.75" customHeight="1" x14ac:dyDescent="0.25">
      <c r="A308" s="28"/>
      <c r="B308" s="28"/>
      <c r="C308" s="28"/>
      <c r="D308" s="28"/>
      <c r="E308" s="3"/>
      <c r="F308" s="28"/>
      <c r="G308" s="28"/>
      <c r="H308" s="28"/>
      <c r="I308" s="28"/>
      <c r="J308" s="28"/>
      <c r="K308" s="28"/>
      <c r="L308" s="80" t="s">
        <v>199</v>
      </c>
      <c r="M308" s="93" t="s">
        <v>169</v>
      </c>
      <c r="N308" s="93" t="s">
        <v>200</v>
      </c>
      <c r="O308" s="93" t="s">
        <v>201</v>
      </c>
      <c r="P308" s="94" t="s">
        <v>191</v>
      </c>
      <c r="Q308" s="87" t="s">
        <v>202</v>
      </c>
      <c r="R308" s="28"/>
      <c r="S308" s="28"/>
      <c r="T308" s="28"/>
      <c r="U308" s="28"/>
      <c r="V308" s="28"/>
      <c r="W308" s="28"/>
      <c r="X308" s="28"/>
      <c r="Z308" s="28"/>
    </row>
    <row r="309" spans="1:26" ht="15.75" customHeight="1" x14ac:dyDescent="0.25">
      <c r="A309" s="28"/>
      <c r="B309" s="28"/>
      <c r="C309" s="28"/>
      <c r="D309" s="28"/>
      <c r="E309" s="3"/>
      <c r="F309" s="28"/>
      <c r="G309" s="28"/>
      <c r="H309" s="28"/>
      <c r="I309" s="28"/>
      <c r="J309" s="28"/>
      <c r="K309" s="28"/>
      <c r="L309" s="116">
        <f>+U307</f>
        <v>0.155</v>
      </c>
      <c r="M309" s="117">
        <f>+Q306</f>
        <v>-21.11152179222027</v>
      </c>
      <c r="N309" s="112">
        <f>+U303</f>
        <v>1.877</v>
      </c>
      <c r="O309" s="118">
        <f>+U306</f>
        <v>0</v>
      </c>
      <c r="P309" s="119">
        <f>+Q304</f>
        <v>540.98202170963361</v>
      </c>
      <c r="Q309" s="78">
        <f>M309+(P309-M309)*(L309-O309)/(N309-O309)</f>
        <v>25.30536645646772</v>
      </c>
      <c r="R309" s="28"/>
      <c r="S309" s="28"/>
      <c r="T309" s="121"/>
      <c r="U309" s="28"/>
      <c r="V309" s="28"/>
      <c r="W309" s="28"/>
      <c r="X309" s="28"/>
      <c r="Z309" s="28"/>
    </row>
    <row r="310" spans="1:26" ht="15.75" customHeight="1" x14ac:dyDescent="0.25">
      <c r="A310" s="28"/>
      <c r="B310" s="28"/>
      <c r="C310" s="28"/>
      <c r="D310" s="28"/>
      <c r="E310" s="3"/>
    </row>
    <row r="311" spans="1:26" ht="15.75" customHeight="1" x14ac:dyDescent="0.25">
      <c r="E311" s="3"/>
    </row>
    <row r="312" spans="1:26" ht="15.75" customHeight="1" x14ac:dyDescent="0.25">
      <c r="E312" s="3"/>
    </row>
    <row r="313" spans="1:26" ht="15.75" customHeight="1" x14ac:dyDescent="0.25">
      <c r="E313" s="3"/>
    </row>
    <row r="314" spans="1:26" ht="15.75" customHeight="1" x14ac:dyDescent="0.25">
      <c r="E314" s="3"/>
    </row>
    <row r="315" spans="1:26" ht="15.75" customHeight="1" x14ac:dyDescent="0.25">
      <c r="E315" s="3"/>
    </row>
    <row r="316" spans="1:26" ht="15.75" customHeight="1" x14ac:dyDescent="0.25">
      <c r="E316" s="3"/>
    </row>
    <row r="317" spans="1:26" ht="15.75" customHeight="1" x14ac:dyDescent="0.25">
      <c r="E317" s="3"/>
    </row>
    <row r="318" spans="1:26" ht="15.75" customHeight="1" x14ac:dyDescent="0.25">
      <c r="E318" s="3"/>
    </row>
    <row r="319" spans="1:26" ht="15.75" customHeight="1" x14ac:dyDescent="0.25">
      <c r="E319" s="3"/>
    </row>
    <row r="320" spans="1:26" ht="15.75" customHeight="1" x14ac:dyDescent="0.25">
      <c r="E320" s="3"/>
    </row>
    <row r="321" spans="5:5" ht="15.75" customHeight="1" x14ac:dyDescent="0.25">
      <c r="E321" s="3"/>
    </row>
    <row r="322" spans="5:5" ht="15.75" customHeight="1" x14ac:dyDescent="0.25">
      <c r="E322" s="3"/>
    </row>
    <row r="323" spans="5:5" ht="15.75" customHeight="1" x14ac:dyDescent="0.25">
      <c r="E323" s="3"/>
    </row>
    <row r="324" spans="5:5" ht="15.75" customHeight="1" x14ac:dyDescent="0.25">
      <c r="E324" s="3"/>
    </row>
    <row r="325" spans="5:5" ht="15.75" customHeight="1" x14ac:dyDescent="0.25">
      <c r="E325" s="3"/>
    </row>
    <row r="326" spans="5:5" ht="15.75" customHeight="1" x14ac:dyDescent="0.25">
      <c r="E326" s="3"/>
    </row>
    <row r="327" spans="5:5" ht="15.75" customHeight="1" x14ac:dyDescent="0.25">
      <c r="E327" s="3"/>
    </row>
    <row r="328" spans="5:5" ht="15.75" customHeight="1" x14ac:dyDescent="0.25">
      <c r="E328" s="3"/>
    </row>
    <row r="329" spans="5:5" ht="15.75" customHeight="1" x14ac:dyDescent="0.25">
      <c r="E329" s="3"/>
    </row>
    <row r="330" spans="5:5" ht="15.75" customHeight="1" x14ac:dyDescent="0.25">
      <c r="E330" s="3"/>
    </row>
    <row r="331" spans="5:5" ht="15.75" customHeight="1" x14ac:dyDescent="0.25">
      <c r="E331" s="3"/>
    </row>
    <row r="332" spans="5:5" ht="15.75" customHeight="1" x14ac:dyDescent="0.25">
      <c r="E332" s="3"/>
    </row>
    <row r="333" spans="5:5" ht="15.75" customHeight="1" x14ac:dyDescent="0.25">
      <c r="E333" s="3"/>
    </row>
    <row r="334" spans="5:5" ht="15.75" customHeight="1" x14ac:dyDescent="0.25">
      <c r="E334" s="3"/>
    </row>
    <row r="335" spans="5:5" ht="15.75" customHeight="1" x14ac:dyDescent="0.25">
      <c r="E335" s="3"/>
    </row>
    <row r="336" spans="5:5" ht="15.75" customHeight="1" x14ac:dyDescent="0.25">
      <c r="E336" s="3"/>
    </row>
    <row r="337" spans="5:5" ht="15.75" customHeight="1" x14ac:dyDescent="0.25">
      <c r="E337" s="3"/>
    </row>
    <row r="338" spans="5:5" ht="15.75" customHeight="1" x14ac:dyDescent="0.25">
      <c r="E338" s="3"/>
    </row>
    <row r="339" spans="5:5" ht="15.75" customHeight="1" x14ac:dyDescent="0.25">
      <c r="E339" s="3"/>
    </row>
    <row r="340" spans="5:5" ht="15.75" customHeight="1" x14ac:dyDescent="0.25">
      <c r="E340" s="3"/>
    </row>
    <row r="341" spans="5:5" ht="15.75" customHeight="1" x14ac:dyDescent="0.25">
      <c r="E341" s="3"/>
    </row>
    <row r="342" spans="5:5" ht="15.75" customHeight="1" x14ac:dyDescent="0.25">
      <c r="E342" s="3"/>
    </row>
    <row r="343" spans="5:5" ht="15.75" customHeight="1" x14ac:dyDescent="0.25">
      <c r="E343" s="3"/>
    </row>
    <row r="344" spans="5:5" ht="15.75" customHeight="1" x14ac:dyDescent="0.25">
      <c r="E344" s="3"/>
    </row>
    <row r="345" spans="5:5" ht="15.75" customHeight="1" x14ac:dyDescent="0.25">
      <c r="E345" s="3"/>
    </row>
    <row r="346" spans="5:5" ht="15.75" customHeight="1" x14ac:dyDescent="0.25">
      <c r="E346" s="3"/>
    </row>
    <row r="347" spans="5:5" ht="15.75" customHeight="1" x14ac:dyDescent="0.25">
      <c r="E347" s="3"/>
    </row>
    <row r="348" spans="5:5" ht="15.75" customHeight="1" x14ac:dyDescent="0.25">
      <c r="E348" s="3"/>
    </row>
    <row r="349" spans="5:5" ht="15.75" customHeight="1" x14ac:dyDescent="0.25">
      <c r="E349" s="3"/>
    </row>
    <row r="350" spans="5:5" ht="15.75" customHeight="1" x14ac:dyDescent="0.25">
      <c r="E350" s="3"/>
    </row>
    <row r="351" spans="5:5" ht="15.75" customHeight="1" x14ac:dyDescent="0.25">
      <c r="E351" s="3"/>
    </row>
    <row r="352" spans="5:5" ht="15.75" customHeight="1" x14ac:dyDescent="0.25">
      <c r="E352" s="3"/>
    </row>
    <row r="353" spans="5:5" ht="15.75" customHeight="1" x14ac:dyDescent="0.25">
      <c r="E353" s="3"/>
    </row>
    <row r="354" spans="5:5" ht="15.75" customHeight="1" x14ac:dyDescent="0.25">
      <c r="E354" s="3"/>
    </row>
    <row r="355" spans="5:5" ht="15.75" customHeight="1" x14ac:dyDescent="0.25">
      <c r="E355" s="3"/>
    </row>
    <row r="356" spans="5:5" ht="15.75" customHeight="1" x14ac:dyDescent="0.25">
      <c r="E356" s="3"/>
    </row>
    <row r="357" spans="5:5" ht="15.75" customHeight="1" x14ac:dyDescent="0.25">
      <c r="E357" s="3"/>
    </row>
    <row r="358" spans="5:5" ht="15.75" customHeight="1" x14ac:dyDescent="0.25">
      <c r="E358" s="3"/>
    </row>
    <row r="359" spans="5:5" ht="15.75" customHeight="1" x14ac:dyDescent="0.25">
      <c r="E359" s="3"/>
    </row>
    <row r="360" spans="5:5" ht="15.75" customHeight="1" x14ac:dyDescent="0.25">
      <c r="E360" s="3"/>
    </row>
    <row r="361" spans="5:5" ht="15.75" customHeight="1" x14ac:dyDescent="0.25">
      <c r="E361" s="3"/>
    </row>
    <row r="362" spans="5:5" ht="15.75" customHeight="1" x14ac:dyDescent="0.25">
      <c r="E362" s="3"/>
    </row>
    <row r="363" spans="5:5" ht="15.75" customHeight="1" x14ac:dyDescent="0.25">
      <c r="E363" s="3"/>
    </row>
    <row r="364" spans="5:5" ht="15.75" customHeight="1" x14ac:dyDescent="0.25">
      <c r="E364" s="3"/>
    </row>
    <row r="365" spans="5:5" ht="15.75" customHeight="1" x14ac:dyDescent="0.25">
      <c r="E365" s="3"/>
    </row>
    <row r="366" spans="5:5" ht="15.75" customHeight="1" x14ac:dyDescent="0.25">
      <c r="E366" s="3"/>
    </row>
    <row r="367" spans="5:5" ht="15.75" customHeight="1" x14ac:dyDescent="0.25">
      <c r="E367" s="3"/>
    </row>
    <row r="368" spans="5:5" ht="15.75" customHeight="1" x14ac:dyDescent="0.25">
      <c r="E368" s="3"/>
    </row>
    <row r="369" spans="5:5" ht="15.75" customHeight="1" x14ac:dyDescent="0.25">
      <c r="E369" s="3"/>
    </row>
    <row r="370" spans="5:5" ht="15.75" customHeight="1" x14ac:dyDescent="0.25">
      <c r="E370" s="3"/>
    </row>
    <row r="371" spans="5:5" ht="15.75" customHeight="1" x14ac:dyDescent="0.25">
      <c r="E371" s="3"/>
    </row>
    <row r="372" spans="5:5" ht="15.75" customHeight="1" x14ac:dyDescent="0.25">
      <c r="E372" s="3"/>
    </row>
    <row r="373" spans="5:5" ht="15.75" customHeight="1" x14ac:dyDescent="0.25">
      <c r="E373" s="3"/>
    </row>
    <row r="374" spans="5:5" ht="15.75" customHeight="1" x14ac:dyDescent="0.25">
      <c r="E374" s="3"/>
    </row>
    <row r="375" spans="5:5" ht="15.75" customHeight="1" x14ac:dyDescent="0.25">
      <c r="E375" s="3"/>
    </row>
    <row r="376" spans="5:5" ht="15.75" customHeight="1" x14ac:dyDescent="0.25">
      <c r="E376" s="3"/>
    </row>
    <row r="377" spans="5:5" ht="15.75" customHeight="1" x14ac:dyDescent="0.25">
      <c r="E377" s="3"/>
    </row>
    <row r="378" spans="5:5" ht="15.75" customHeight="1" x14ac:dyDescent="0.25">
      <c r="E378" s="3"/>
    </row>
    <row r="379" spans="5:5" ht="15.75" customHeight="1" x14ac:dyDescent="0.25">
      <c r="E379" s="3"/>
    </row>
    <row r="380" spans="5:5" ht="15.75" customHeight="1" x14ac:dyDescent="0.25">
      <c r="E380" s="3"/>
    </row>
    <row r="381" spans="5:5" ht="15.75" customHeight="1" x14ac:dyDescent="0.25">
      <c r="E381" s="3"/>
    </row>
    <row r="382" spans="5:5" ht="15.75" customHeight="1" x14ac:dyDescent="0.25">
      <c r="E382" s="3"/>
    </row>
    <row r="383" spans="5:5" ht="15.75" customHeight="1" x14ac:dyDescent="0.25">
      <c r="E383" s="3"/>
    </row>
    <row r="384" spans="5:5" ht="15.75" customHeight="1" x14ac:dyDescent="0.25">
      <c r="E384" s="3"/>
    </row>
    <row r="385" spans="5:5" ht="15.75" customHeight="1" x14ac:dyDescent="0.25">
      <c r="E385" s="3"/>
    </row>
    <row r="386" spans="5:5" ht="15.75" customHeight="1" x14ac:dyDescent="0.25">
      <c r="E386" s="3"/>
    </row>
    <row r="387" spans="5:5" ht="15.75" customHeight="1" x14ac:dyDescent="0.25">
      <c r="E387" s="3"/>
    </row>
    <row r="388" spans="5:5" ht="15.75" customHeight="1" x14ac:dyDescent="0.25">
      <c r="E388" s="3"/>
    </row>
    <row r="389" spans="5:5" ht="15.75" customHeight="1" x14ac:dyDescent="0.25">
      <c r="E389" s="3"/>
    </row>
    <row r="390" spans="5:5" ht="15.75" customHeight="1" x14ac:dyDescent="0.25">
      <c r="E390" s="3"/>
    </row>
    <row r="391" spans="5:5" ht="15.75" customHeight="1" x14ac:dyDescent="0.25">
      <c r="E391" s="3"/>
    </row>
    <row r="392" spans="5:5" ht="15.75" customHeight="1" x14ac:dyDescent="0.25">
      <c r="E392" s="3"/>
    </row>
    <row r="393" spans="5:5" ht="15.75" customHeight="1" x14ac:dyDescent="0.25">
      <c r="E393" s="3"/>
    </row>
    <row r="394" spans="5:5" ht="15.75" customHeight="1" x14ac:dyDescent="0.25">
      <c r="E394" s="3"/>
    </row>
    <row r="395" spans="5:5" ht="15.75" customHeight="1" x14ac:dyDescent="0.25">
      <c r="E395" s="3"/>
    </row>
    <row r="396" spans="5:5" ht="15.75" customHeight="1" x14ac:dyDescent="0.25">
      <c r="E396" s="3"/>
    </row>
    <row r="397" spans="5:5" ht="15.75" customHeight="1" x14ac:dyDescent="0.25">
      <c r="E397" s="3"/>
    </row>
    <row r="398" spans="5:5" ht="15.75" customHeight="1" x14ac:dyDescent="0.25">
      <c r="E398" s="3"/>
    </row>
    <row r="399" spans="5:5" ht="15.75" customHeight="1" x14ac:dyDescent="0.25">
      <c r="E399" s="3"/>
    </row>
    <row r="400" spans="5:5" ht="15.75" customHeight="1" x14ac:dyDescent="0.25">
      <c r="E400" s="3"/>
    </row>
    <row r="401" spans="5:5" ht="15.75" customHeight="1" x14ac:dyDescent="0.25">
      <c r="E401" s="3"/>
    </row>
    <row r="402" spans="5:5" ht="15.75" customHeight="1" x14ac:dyDescent="0.25">
      <c r="E402" s="3"/>
    </row>
    <row r="403" spans="5:5" ht="15.75" customHeight="1" x14ac:dyDescent="0.25">
      <c r="E403" s="3"/>
    </row>
    <row r="404" spans="5:5" ht="15.75" customHeight="1" x14ac:dyDescent="0.25">
      <c r="E404" s="3"/>
    </row>
    <row r="405" spans="5:5" ht="15.75" customHeight="1" x14ac:dyDescent="0.25">
      <c r="E405" s="3"/>
    </row>
    <row r="406" spans="5:5" ht="15.75" customHeight="1" x14ac:dyDescent="0.25">
      <c r="E406" s="3"/>
    </row>
    <row r="407" spans="5:5" ht="15.75" customHeight="1" x14ac:dyDescent="0.25">
      <c r="E407" s="3"/>
    </row>
    <row r="408" spans="5:5" ht="15.75" customHeight="1" x14ac:dyDescent="0.25">
      <c r="E408" s="3"/>
    </row>
    <row r="409" spans="5:5" ht="15.75" customHeight="1" x14ac:dyDescent="0.25">
      <c r="E409" s="3"/>
    </row>
    <row r="410" spans="5:5" ht="15.75" customHeight="1" x14ac:dyDescent="0.25">
      <c r="E410" s="3"/>
    </row>
    <row r="411" spans="5:5" ht="15.75" customHeight="1" x14ac:dyDescent="0.25">
      <c r="E411" s="3"/>
    </row>
    <row r="412" spans="5:5" ht="15.75" customHeight="1" x14ac:dyDescent="0.25">
      <c r="E412" s="3"/>
    </row>
    <row r="413" spans="5:5" ht="15.75" customHeight="1" x14ac:dyDescent="0.25">
      <c r="E413" s="3"/>
    </row>
    <row r="414" spans="5:5" ht="15.75" customHeight="1" x14ac:dyDescent="0.25">
      <c r="E414" s="3"/>
    </row>
    <row r="415" spans="5:5" ht="15.75" customHeight="1" x14ac:dyDescent="0.25">
      <c r="E415" s="3"/>
    </row>
    <row r="416" spans="5:5" ht="15.75" customHeight="1" x14ac:dyDescent="0.25">
      <c r="E416" s="3"/>
    </row>
    <row r="417" spans="5:5" ht="15.75" customHeight="1" x14ac:dyDescent="0.25">
      <c r="E417" s="3"/>
    </row>
    <row r="418" spans="5:5" ht="15.75" customHeight="1" x14ac:dyDescent="0.25">
      <c r="E418" s="3"/>
    </row>
    <row r="419" spans="5:5" ht="15.75" customHeight="1" x14ac:dyDescent="0.25">
      <c r="E419" s="3"/>
    </row>
    <row r="420" spans="5:5" ht="15.75" customHeight="1" x14ac:dyDescent="0.25">
      <c r="E420" s="3"/>
    </row>
    <row r="421" spans="5:5" ht="15.75" customHeight="1" x14ac:dyDescent="0.25">
      <c r="E421" s="3"/>
    </row>
    <row r="422" spans="5:5" ht="15.75" customHeight="1" x14ac:dyDescent="0.25">
      <c r="E422" s="3"/>
    </row>
    <row r="423" spans="5:5" ht="15.75" customHeight="1" x14ac:dyDescent="0.25">
      <c r="E423" s="3"/>
    </row>
    <row r="424" spans="5:5" ht="15.75" customHeight="1" x14ac:dyDescent="0.25">
      <c r="E424" s="3"/>
    </row>
    <row r="425" spans="5:5" ht="15.75" customHeight="1" x14ac:dyDescent="0.25">
      <c r="E425" s="3"/>
    </row>
    <row r="426" spans="5:5" ht="15.75" customHeight="1" x14ac:dyDescent="0.25">
      <c r="E426" s="3"/>
    </row>
    <row r="427" spans="5:5" ht="15.75" customHeight="1" x14ac:dyDescent="0.25">
      <c r="E427" s="3"/>
    </row>
    <row r="428" spans="5:5" ht="15.75" customHeight="1" x14ac:dyDescent="0.25">
      <c r="E428" s="3"/>
    </row>
    <row r="429" spans="5:5" ht="15.75" customHeight="1" x14ac:dyDescent="0.25">
      <c r="E429" s="3"/>
    </row>
    <row r="430" spans="5:5" ht="15.75" customHeight="1" x14ac:dyDescent="0.25">
      <c r="E430" s="3"/>
    </row>
    <row r="431" spans="5:5" ht="15.75" customHeight="1" x14ac:dyDescent="0.25">
      <c r="E431" s="3"/>
    </row>
    <row r="432" spans="5:5" ht="15.75" customHeight="1" x14ac:dyDescent="0.25">
      <c r="E432" s="3"/>
    </row>
    <row r="433" spans="5:5" ht="15.75" customHeight="1" x14ac:dyDescent="0.25">
      <c r="E433" s="3"/>
    </row>
    <row r="434" spans="5:5" ht="15.75" customHeight="1" x14ac:dyDescent="0.25">
      <c r="E434" s="3"/>
    </row>
    <row r="435" spans="5:5" ht="15.75" customHeight="1" x14ac:dyDescent="0.25">
      <c r="E435" s="3"/>
    </row>
    <row r="436" spans="5:5" ht="15.75" customHeight="1" x14ac:dyDescent="0.25">
      <c r="E436" s="3"/>
    </row>
    <row r="437" spans="5:5" ht="15.75" customHeight="1" x14ac:dyDescent="0.25">
      <c r="E437" s="3"/>
    </row>
    <row r="438" spans="5:5" ht="15.75" customHeight="1" x14ac:dyDescent="0.25">
      <c r="E438" s="3"/>
    </row>
    <row r="439" spans="5:5" ht="15.75" customHeight="1" x14ac:dyDescent="0.25">
      <c r="E439" s="3"/>
    </row>
    <row r="440" spans="5:5" ht="15.75" customHeight="1" x14ac:dyDescent="0.25">
      <c r="E440" s="3"/>
    </row>
    <row r="441" spans="5:5" ht="15.75" customHeight="1" x14ac:dyDescent="0.25">
      <c r="E441" s="3"/>
    </row>
    <row r="442" spans="5:5" ht="15.75" customHeight="1" x14ac:dyDescent="0.25">
      <c r="E442" s="3"/>
    </row>
    <row r="443" spans="5:5" ht="15.75" customHeight="1" x14ac:dyDescent="0.25">
      <c r="E443" s="3"/>
    </row>
    <row r="444" spans="5:5" ht="15.75" customHeight="1" x14ac:dyDescent="0.25">
      <c r="E444" s="3"/>
    </row>
    <row r="445" spans="5:5" ht="15.75" customHeight="1" x14ac:dyDescent="0.25">
      <c r="E445" s="3"/>
    </row>
    <row r="446" spans="5:5" ht="15.75" customHeight="1" x14ac:dyDescent="0.25">
      <c r="E446" s="3"/>
    </row>
    <row r="447" spans="5:5" ht="15.75" customHeight="1" x14ac:dyDescent="0.25">
      <c r="E447" s="3"/>
    </row>
    <row r="448" spans="5:5" ht="15.75" customHeight="1" x14ac:dyDescent="0.25">
      <c r="E448" s="3"/>
    </row>
    <row r="449" spans="5:5" ht="15.75" customHeight="1" x14ac:dyDescent="0.25">
      <c r="E449" s="3"/>
    </row>
    <row r="450" spans="5:5" ht="15.75" customHeight="1" x14ac:dyDescent="0.25">
      <c r="E450" s="3"/>
    </row>
    <row r="451" spans="5:5" ht="15.75" customHeight="1" x14ac:dyDescent="0.25">
      <c r="E451" s="3"/>
    </row>
    <row r="452" spans="5:5" ht="15.75" customHeight="1" x14ac:dyDescent="0.25">
      <c r="E452" s="3"/>
    </row>
    <row r="453" spans="5:5" ht="15.75" customHeight="1" x14ac:dyDescent="0.25">
      <c r="E453" s="3"/>
    </row>
    <row r="454" spans="5:5" ht="15.75" customHeight="1" x14ac:dyDescent="0.25">
      <c r="E454" s="3"/>
    </row>
    <row r="455" spans="5:5" ht="15.75" customHeight="1" x14ac:dyDescent="0.25">
      <c r="E455" s="3"/>
    </row>
    <row r="456" spans="5:5" ht="15.75" customHeight="1" x14ac:dyDescent="0.25">
      <c r="E456" s="3"/>
    </row>
    <row r="457" spans="5:5" ht="15.75" customHeight="1" x14ac:dyDescent="0.25">
      <c r="E457" s="3"/>
    </row>
    <row r="458" spans="5:5" ht="15.75" customHeight="1" x14ac:dyDescent="0.25">
      <c r="E458" s="3"/>
    </row>
    <row r="459" spans="5:5" ht="15.75" customHeight="1" x14ac:dyDescent="0.25">
      <c r="E459" s="3"/>
    </row>
    <row r="460" spans="5:5" ht="15.75" customHeight="1" x14ac:dyDescent="0.25">
      <c r="E460" s="3"/>
    </row>
    <row r="461" spans="5:5" ht="15.75" customHeight="1" x14ac:dyDescent="0.25">
      <c r="E461" s="3"/>
    </row>
    <row r="462" spans="5:5" ht="15.75" customHeight="1" x14ac:dyDescent="0.25">
      <c r="E462" s="3"/>
    </row>
    <row r="463" spans="5:5" ht="15.75" customHeight="1" x14ac:dyDescent="0.25">
      <c r="E463" s="3"/>
    </row>
    <row r="464" spans="5:5" ht="15.75" customHeight="1" x14ac:dyDescent="0.25">
      <c r="E464" s="3"/>
    </row>
    <row r="465" spans="5:5" ht="15.75" customHeight="1" x14ac:dyDescent="0.25">
      <c r="E465" s="3"/>
    </row>
    <row r="466" spans="5:5" ht="15.75" customHeight="1" x14ac:dyDescent="0.25">
      <c r="E466" s="3"/>
    </row>
    <row r="467" spans="5:5" ht="15.75" customHeight="1" x14ac:dyDescent="0.25">
      <c r="E467" s="3"/>
    </row>
    <row r="468" spans="5:5" ht="15.75" customHeight="1" x14ac:dyDescent="0.25">
      <c r="E468" s="3"/>
    </row>
    <row r="469" spans="5:5" ht="15.75" customHeight="1" x14ac:dyDescent="0.25">
      <c r="E469" s="3"/>
    </row>
    <row r="470" spans="5:5" ht="15.75" customHeight="1" x14ac:dyDescent="0.25">
      <c r="E470" s="3"/>
    </row>
    <row r="471" spans="5:5" ht="15.75" customHeight="1" x14ac:dyDescent="0.25">
      <c r="E471" s="3"/>
    </row>
    <row r="472" spans="5:5" ht="15.75" customHeight="1" x14ac:dyDescent="0.25">
      <c r="E472" s="3"/>
    </row>
    <row r="473" spans="5:5" ht="15.75" customHeight="1" x14ac:dyDescent="0.25">
      <c r="E473" s="3"/>
    </row>
    <row r="474" spans="5:5" ht="15.75" customHeight="1" x14ac:dyDescent="0.25">
      <c r="E474" s="3"/>
    </row>
    <row r="475" spans="5:5" ht="15.75" customHeight="1" x14ac:dyDescent="0.25">
      <c r="E475" s="3"/>
    </row>
    <row r="476" spans="5:5" ht="15.75" customHeight="1" x14ac:dyDescent="0.25">
      <c r="E476" s="3"/>
    </row>
    <row r="477" spans="5:5" ht="15.75" customHeight="1" x14ac:dyDescent="0.25">
      <c r="E477" s="3"/>
    </row>
    <row r="478" spans="5:5" ht="15.75" customHeight="1" x14ac:dyDescent="0.25">
      <c r="E478" s="3"/>
    </row>
    <row r="479" spans="5:5" ht="15.75" customHeight="1" x14ac:dyDescent="0.25">
      <c r="E479" s="3"/>
    </row>
    <row r="480" spans="5:5" ht="15.75" customHeight="1" x14ac:dyDescent="0.25">
      <c r="E480" s="3"/>
    </row>
    <row r="481" spans="5:5" ht="15.75" customHeight="1" x14ac:dyDescent="0.25">
      <c r="E481" s="3"/>
    </row>
    <row r="482" spans="5:5" ht="15.75" customHeight="1" x14ac:dyDescent="0.25">
      <c r="E482" s="3"/>
    </row>
    <row r="483" spans="5:5" ht="15.75" customHeight="1" x14ac:dyDescent="0.25">
      <c r="E483" s="3"/>
    </row>
    <row r="484" spans="5:5" ht="15.75" customHeight="1" x14ac:dyDescent="0.25">
      <c r="E484" s="3"/>
    </row>
    <row r="485" spans="5:5" ht="15.75" customHeight="1" x14ac:dyDescent="0.25">
      <c r="E485" s="3"/>
    </row>
    <row r="486" spans="5:5" ht="15.75" customHeight="1" x14ac:dyDescent="0.25">
      <c r="E486" s="3"/>
    </row>
    <row r="487" spans="5:5" ht="15.75" customHeight="1" x14ac:dyDescent="0.25">
      <c r="E487" s="3"/>
    </row>
    <row r="488" spans="5:5" ht="15.75" customHeight="1" x14ac:dyDescent="0.25">
      <c r="E488" s="3"/>
    </row>
    <row r="489" spans="5:5" ht="15.75" customHeight="1" x14ac:dyDescent="0.25">
      <c r="E489" s="3"/>
    </row>
    <row r="490" spans="5:5" ht="15.75" customHeight="1" x14ac:dyDescent="0.25">
      <c r="E490" s="3"/>
    </row>
    <row r="491" spans="5:5" ht="15.75" customHeight="1" x14ac:dyDescent="0.25">
      <c r="E491" s="3"/>
    </row>
    <row r="492" spans="5:5" ht="15.75" customHeight="1" x14ac:dyDescent="0.25">
      <c r="E492" s="3"/>
    </row>
    <row r="493" spans="5:5" ht="15.75" customHeight="1" x14ac:dyDescent="0.25">
      <c r="E493" s="3"/>
    </row>
    <row r="494" spans="5:5" ht="15.75" customHeight="1" x14ac:dyDescent="0.25">
      <c r="E494" s="3"/>
    </row>
    <row r="495" spans="5:5" ht="15.75" customHeight="1" x14ac:dyDescent="0.25">
      <c r="E495" s="3"/>
    </row>
    <row r="496" spans="5:5" ht="15.75" customHeight="1" x14ac:dyDescent="0.25">
      <c r="E496" s="3"/>
    </row>
    <row r="497" spans="5:5" ht="15.75" customHeight="1" x14ac:dyDescent="0.25">
      <c r="E497" s="3"/>
    </row>
    <row r="498" spans="5:5" ht="15.75" customHeight="1" x14ac:dyDescent="0.25">
      <c r="E498" s="3"/>
    </row>
    <row r="499" spans="5:5" ht="15.75" customHeight="1" x14ac:dyDescent="0.25">
      <c r="E499" s="3"/>
    </row>
    <row r="500" spans="5:5" ht="15.75" customHeight="1" x14ac:dyDescent="0.25">
      <c r="E500" s="3"/>
    </row>
    <row r="501" spans="5:5" ht="15.75" customHeight="1" x14ac:dyDescent="0.25">
      <c r="E501" s="3"/>
    </row>
    <row r="502" spans="5:5" ht="15.75" customHeight="1" x14ac:dyDescent="0.25">
      <c r="E502" s="3"/>
    </row>
    <row r="503" spans="5:5" ht="15.75" customHeight="1" x14ac:dyDescent="0.25">
      <c r="E503" s="3"/>
    </row>
    <row r="504" spans="5:5" ht="15.75" customHeight="1" x14ac:dyDescent="0.25">
      <c r="E504" s="3"/>
    </row>
    <row r="505" spans="5:5" ht="15.75" customHeight="1" x14ac:dyDescent="0.25">
      <c r="E505" s="3"/>
    </row>
    <row r="506" spans="5:5" ht="15.75" customHeight="1" x14ac:dyDescent="0.25">
      <c r="E506" s="3"/>
    </row>
    <row r="507" spans="5:5" ht="15.75" customHeight="1" x14ac:dyDescent="0.25">
      <c r="E507" s="3"/>
    </row>
    <row r="508" spans="5:5" ht="15.75" customHeight="1" x14ac:dyDescent="0.25">
      <c r="E508" s="3"/>
    </row>
    <row r="509" spans="5:5" ht="15.75" customHeight="1" x14ac:dyDescent="0.25">
      <c r="E509" s="3"/>
    </row>
    <row r="510" spans="5:5" ht="15.75" customHeight="1" x14ac:dyDescent="0.25">
      <c r="E510" s="3"/>
    </row>
    <row r="511" spans="5:5" ht="15.75" customHeight="1" x14ac:dyDescent="0.25">
      <c r="E511" s="3"/>
    </row>
    <row r="512" spans="5:5" ht="15.75" customHeight="1" x14ac:dyDescent="0.25">
      <c r="E512" s="3"/>
    </row>
    <row r="513" spans="5:5" ht="15.75" customHeight="1" x14ac:dyDescent="0.25">
      <c r="E513" s="3"/>
    </row>
    <row r="514" spans="5:5" ht="15.75" customHeight="1" x14ac:dyDescent="0.25">
      <c r="E514" s="3"/>
    </row>
    <row r="515" spans="5:5" ht="15.75" customHeight="1" x14ac:dyDescent="0.25">
      <c r="E515" s="3"/>
    </row>
    <row r="516" spans="5:5" ht="15.75" customHeight="1" x14ac:dyDescent="0.25">
      <c r="E516" s="3"/>
    </row>
    <row r="517" spans="5:5" ht="15.75" customHeight="1" x14ac:dyDescent="0.25">
      <c r="E517" s="3"/>
    </row>
    <row r="518" spans="5:5" ht="15.75" customHeight="1" x14ac:dyDescent="0.25">
      <c r="E518" s="3"/>
    </row>
    <row r="519" spans="5:5" ht="15.75" customHeight="1" x14ac:dyDescent="0.25">
      <c r="E519" s="3"/>
    </row>
    <row r="520" spans="5:5" ht="15.75" customHeight="1" x14ac:dyDescent="0.25">
      <c r="E520" s="3"/>
    </row>
    <row r="521" spans="5:5" ht="15.75" customHeight="1" x14ac:dyDescent="0.25">
      <c r="E521" s="3"/>
    </row>
    <row r="522" spans="5:5" ht="15.75" customHeight="1" x14ac:dyDescent="0.25">
      <c r="E522" s="3"/>
    </row>
    <row r="523" spans="5:5" ht="15.75" customHeight="1" x14ac:dyDescent="0.25">
      <c r="E523" s="3"/>
    </row>
    <row r="524" spans="5:5" ht="15.75" customHeight="1" x14ac:dyDescent="0.25">
      <c r="E524" s="3"/>
    </row>
    <row r="525" spans="5:5" ht="15.75" customHeight="1" x14ac:dyDescent="0.25">
      <c r="E525" s="3"/>
    </row>
    <row r="526" spans="5:5" ht="15.75" customHeight="1" x14ac:dyDescent="0.25">
      <c r="E526" s="3"/>
    </row>
    <row r="527" spans="5:5" ht="15.75" customHeight="1" x14ac:dyDescent="0.25">
      <c r="E527" s="3"/>
    </row>
    <row r="528" spans="5:5" ht="15.75" customHeight="1" x14ac:dyDescent="0.25">
      <c r="E528" s="3"/>
    </row>
    <row r="529" spans="5:5" ht="15.75" customHeight="1" x14ac:dyDescent="0.25">
      <c r="E529" s="3"/>
    </row>
    <row r="530" spans="5:5" ht="15.75" customHeight="1" x14ac:dyDescent="0.25">
      <c r="E530" s="3"/>
    </row>
    <row r="531" spans="5:5" ht="15.75" customHeight="1" x14ac:dyDescent="0.25">
      <c r="E531" s="3"/>
    </row>
    <row r="532" spans="5:5" ht="15.75" customHeight="1" x14ac:dyDescent="0.25">
      <c r="E532" s="3"/>
    </row>
    <row r="533" spans="5:5" ht="15.75" customHeight="1" x14ac:dyDescent="0.25">
      <c r="E533" s="3"/>
    </row>
    <row r="534" spans="5:5" ht="15.75" customHeight="1" x14ac:dyDescent="0.25">
      <c r="E534" s="3"/>
    </row>
    <row r="535" spans="5:5" ht="15.75" customHeight="1" x14ac:dyDescent="0.25">
      <c r="E535" s="3"/>
    </row>
    <row r="536" spans="5:5" ht="15.75" customHeight="1" x14ac:dyDescent="0.25">
      <c r="E536" s="3"/>
    </row>
    <row r="537" spans="5:5" ht="15.75" customHeight="1" x14ac:dyDescent="0.25">
      <c r="E537" s="3"/>
    </row>
    <row r="538" spans="5:5" ht="15.75" customHeight="1" x14ac:dyDescent="0.25">
      <c r="E538" s="3"/>
    </row>
    <row r="539" spans="5:5" ht="15.75" customHeight="1" x14ac:dyDescent="0.25">
      <c r="E539" s="3"/>
    </row>
    <row r="540" spans="5:5" ht="15.75" customHeight="1" x14ac:dyDescent="0.25">
      <c r="E540" s="3"/>
    </row>
    <row r="541" spans="5:5" ht="15.75" customHeight="1" x14ac:dyDescent="0.25">
      <c r="E541" s="3"/>
    </row>
    <row r="542" spans="5:5" ht="15.75" customHeight="1" x14ac:dyDescent="0.25">
      <c r="E542" s="3"/>
    </row>
    <row r="543" spans="5:5" ht="15.75" customHeight="1" x14ac:dyDescent="0.25">
      <c r="E543" s="3"/>
    </row>
    <row r="544" spans="5:5" ht="15.75" customHeight="1" x14ac:dyDescent="0.25">
      <c r="E544" s="3"/>
    </row>
    <row r="545" spans="5:5" ht="15.75" customHeight="1" x14ac:dyDescent="0.25">
      <c r="E545" s="3"/>
    </row>
    <row r="546" spans="5:5" ht="15.75" customHeight="1" x14ac:dyDescent="0.25">
      <c r="E546" s="3"/>
    </row>
    <row r="547" spans="5:5" ht="15.75" customHeight="1" x14ac:dyDescent="0.25">
      <c r="E547" s="3"/>
    </row>
    <row r="548" spans="5:5" ht="15.75" customHeight="1" x14ac:dyDescent="0.25">
      <c r="E548" s="3"/>
    </row>
    <row r="549" spans="5:5" ht="15.75" customHeight="1" x14ac:dyDescent="0.25">
      <c r="E549" s="3"/>
    </row>
    <row r="550" spans="5:5" ht="15.75" customHeight="1" x14ac:dyDescent="0.25">
      <c r="E550" s="3"/>
    </row>
    <row r="551" spans="5:5" ht="15.75" customHeight="1" x14ac:dyDescent="0.25">
      <c r="E551" s="3"/>
    </row>
    <row r="552" spans="5:5" ht="15.75" customHeight="1" x14ac:dyDescent="0.25">
      <c r="E552" s="3"/>
    </row>
    <row r="553" spans="5:5" ht="15.75" customHeight="1" x14ac:dyDescent="0.25">
      <c r="E553" s="3"/>
    </row>
    <row r="554" spans="5:5" ht="15.75" customHeight="1" x14ac:dyDescent="0.25">
      <c r="E554" s="3"/>
    </row>
    <row r="555" spans="5:5" ht="15.75" customHeight="1" x14ac:dyDescent="0.25">
      <c r="E555" s="3"/>
    </row>
    <row r="556" spans="5:5" ht="15.75" customHeight="1" x14ac:dyDescent="0.25">
      <c r="E556" s="3"/>
    </row>
    <row r="557" spans="5:5" ht="15.75" customHeight="1" x14ac:dyDescent="0.25">
      <c r="E557" s="3"/>
    </row>
    <row r="558" spans="5:5" ht="15.75" customHeight="1" x14ac:dyDescent="0.25">
      <c r="E558" s="3"/>
    </row>
    <row r="559" spans="5:5" ht="15.75" customHeight="1" x14ac:dyDescent="0.25">
      <c r="E559" s="3"/>
    </row>
    <row r="560" spans="5:5" ht="15.75" customHeight="1" x14ac:dyDescent="0.25">
      <c r="E560" s="3"/>
    </row>
    <row r="561" spans="5:5" ht="15.75" customHeight="1" x14ac:dyDescent="0.25">
      <c r="E561" s="3"/>
    </row>
    <row r="562" spans="5:5" ht="15.75" customHeight="1" x14ac:dyDescent="0.25">
      <c r="E562" s="3"/>
    </row>
    <row r="563" spans="5:5" ht="15.75" customHeight="1" x14ac:dyDescent="0.25">
      <c r="E563" s="3"/>
    </row>
    <row r="564" spans="5:5" ht="15.75" customHeight="1" x14ac:dyDescent="0.25">
      <c r="E564" s="3"/>
    </row>
    <row r="565" spans="5:5" ht="15.75" customHeight="1" x14ac:dyDescent="0.25">
      <c r="E565" s="3"/>
    </row>
    <row r="566" spans="5:5" ht="15.75" customHeight="1" x14ac:dyDescent="0.25">
      <c r="E566" s="3"/>
    </row>
    <row r="567" spans="5:5" ht="15.75" customHeight="1" x14ac:dyDescent="0.25">
      <c r="E567" s="3"/>
    </row>
    <row r="568" spans="5:5" ht="15.75" customHeight="1" x14ac:dyDescent="0.25">
      <c r="E568" s="3"/>
    </row>
    <row r="569" spans="5:5" ht="15.75" customHeight="1" x14ac:dyDescent="0.25">
      <c r="E569" s="3"/>
    </row>
    <row r="570" spans="5:5" ht="15.75" customHeight="1" x14ac:dyDescent="0.25">
      <c r="E570" s="3"/>
    </row>
    <row r="571" spans="5:5" ht="15.75" customHeight="1" x14ac:dyDescent="0.25">
      <c r="E571" s="3"/>
    </row>
    <row r="572" spans="5:5" ht="15.75" customHeight="1" x14ac:dyDescent="0.25">
      <c r="E572" s="3"/>
    </row>
    <row r="573" spans="5:5" ht="15.75" customHeight="1" x14ac:dyDescent="0.25">
      <c r="E573" s="3"/>
    </row>
    <row r="574" spans="5:5" ht="15.75" customHeight="1" x14ac:dyDescent="0.25">
      <c r="E574" s="3"/>
    </row>
    <row r="575" spans="5:5" ht="15.75" customHeight="1" x14ac:dyDescent="0.25">
      <c r="E575" s="3"/>
    </row>
    <row r="576" spans="5:5" ht="15.75" customHeight="1" x14ac:dyDescent="0.25">
      <c r="E576" s="3"/>
    </row>
    <row r="577" spans="5:5" ht="15.75" customHeight="1" x14ac:dyDescent="0.25">
      <c r="E577" s="3"/>
    </row>
    <row r="578" spans="5:5" ht="15.75" customHeight="1" x14ac:dyDescent="0.25">
      <c r="E578" s="3"/>
    </row>
    <row r="579" spans="5:5" ht="15.75" customHeight="1" x14ac:dyDescent="0.25">
      <c r="E579" s="3"/>
    </row>
    <row r="580" spans="5:5" ht="15.75" customHeight="1" x14ac:dyDescent="0.25">
      <c r="E580" s="3"/>
    </row>
    <row r="581" spans="5:5" ht="15.75" customHeight="1" x14ac:dyDescent="0.25">
      <c r="E581" s="3"/>
    </row>
    <row r="582" spans="5:5" ht="15.75" customHeight="1" x14ac:dyDescent="0.25">
      <c r="E582" s="3"/>
    </row>
    <row r="583" spans="5:5" ht="15.75" customHeight="1" x14ac:dyDescent="0.25">
      <c r="E583" s="3"/>
    </row>
    <row r="584" spans="5:5" ht="15.75" customHeight="1" x14ac:dyDescent="0.25">
      <c r="E584" s="3"/>
    </row>
    <row r="585" spans="5:5" ht="15.75" customHeight="1" x14ac:dyDescent="0.25">
      <c r="E585" s="3"/>
    </row>
    <row r="586" spans="5:5" ht="15.75" customHeight="1" x14ac:dyDescent="0.25">
      <c r="E586" s="3"/>
    </row>
    <row r="587" spans="5:5" ht="15.75" customHeight="1" x14ac:dyDescent="0.25">
      <c r="E587" s="3"/>
    </row>
    <row r="588" spans="5:5" ht="15.75" customHeight="1" x14ac:dyDescent="0.25">
      <c r="E588" s="3"/>
    </row>
    <row r="589" spans="5:5" ht="15.75" customHeight="1" x14ac:dyDescent="0.25">
      <c r="E589" s="3"/>
    </row>
    <row r="590" spans="5:5" ht="15.75" customHeight="1" x14ac:dyDescent="0.25">
      <c r="E590" s="3"/>
    </row>
    <row r="591" spans="5:5" ht="15.75" customHeight="1" x14ac:dyDescent="0.25">
      <c r="E591" s="3"/>
    </row>
    <row r="592" spans="5:5" ht="15.75" customHeight="1" x14ac:dyDescent="0.25">
      <c r="E592" s="3"/>
    </row>
    <row r="593" spans="5:5" ht="15.75" customHeight="1" x14ac:dyDescent="0.25">
      <c r="E593" s="3"/>
    </row>
    <row r="594" spans="5:5" ht="15.75" customHeight="1" x14ac:dyDescent="0.25">
      <c r="E594" s="3"/>
    </row>
    <row r="595" spans="5:5" ht="15.75" customHeight="1" x14ac:dyDescent="0.25">
      <c r="E595" s="3"/>
    </row>
    <row r="596" spans="5:5" ht="15.75" customHeight="1" x14ac:dyDescent="0.25">
      <c r="E596" s="3"/>
    </row>
    <row r="597" spans="5:5" ht="15.75" customHeight="1" x14ac:dyDescent="0.25">
      <c r="E597" s="3"/>
    </row>
    <row r="598" spans="5:5" ht="15.75" customHeight="1" x14ac:dyDescent="0.25">
      <c r="E598" s="3"/>
    </row>
    <row r="599" spans="5:5" ht="15.75" customHeight="1" x14ac:dyDescent="0.25">
      <c r="E599" s="3"/>
    </row>
    <row r="600" spans="5:5" ht="15.75" customHeight="1" x14ac:dyDescent="0.25">
      <c r="E600" s="3"/>
    </row>
    <row r="601" spans="5:5" ht="15.75" customHeight="1" x14ac:dyDescent="0.25">
      <c r="E601" s="3"/>
    </row>
    <row r="602" spans="5:5" ht="15.75" customHeight="1" x14ac:dyDescent="0.25">
      <c r="E602" s="3"/>
    </row>
    <row r="603" spans="5:5" ht="15.75" customHeight="1" x14ac:dyDescent="0.25">
      <c r="E603" s="3"/>
    </row>
    <row r="604" spans="5:5" ht="15.75" customHeight="1" x14ac:dyDescent="0.25">
      <c r="E604" s="3"/>
    </row>
    <row r="605" spans="5:5" ht="15.75" customHeight="1" x14ac:dyDescent="0.25">
      <c r="E605" s="3"/>
    </row>
    <row r="606" spans="5:5" ht="15.75" customHeight="1" x14ac:dyDescent="0.25">
      <c r="E606" s="3"/>
    </row>
    <row r="607" spans="5:5" ht="15.75" customHeight="1" x14ac:dyDescent="0.25">
      <c r="E607" s="3"/>
    </row>
    <row r="608" spans="5:5" ht="15.75" customHeight="1" x14ac:dyDescent="0.25">
      <c r="E608" s="3"/>
    </row>
    <row r="609" spans="5:5" ht="15.75" customHeight="1" x14ac:dyDescent="0.25">
      <c r="E609" s="3"/>
    </row>
    <row r="610" spans="5:5" ht="15.75" customHeight="1" x14ac:dyDescent="0.25">
      <c r="E610" s="3"/>
    </row>
    <row r="611" spans="5:5" ht="15.75" customHeight="1" x14ac:dyDescent="0.25">
      <c r="E611" s="3"/>
    </row>
    <row r="612" spans="5:5" ht="15.75" customHeight="1" x14ac:dyDescent="0.25">
      <c r="E612" s="3"/>
    </row>
    <row r="613" spans="5:5" ht="15.75" customHeight="1" x14ac:dyDescent="0.25">
      <c r="E613" s="3"/>
    </row>
    <row r="614" spans="5:5" ht="15.75" customHeight="1" x14ac:dyDescent="0.25">
      <c r="E614" s="3"/>
    </row>
    <row r="615" spans="5:5" ht="15.75" customHeight="1" x14ac:dyDescent="0.25">
      <c r="E615" s="3"/>
    </row>
    <row r="616" spans="5:5" ht="15.75" customHeight="1" x14ac:dyDescent="0.25">
      <c r="E616" s="3"/>
    </row>
    <row r="617" spans="5:5" ht="15.75" customHeight="1" x14ac:dyDescent="0.25">
      <c r="E617" s="3"/>
    </row>
    <row r="618" spans="5:5" ht="15.75" customHeight="1" x14ac:dyDescent="0.25">
      <c r="E618" s="3"/>
    </row>
    <row r="619" spans="5:5" ht="15.75" customHeight="1" x14ac:dyDescent="0.25">
      <c r="E619" s="3"/>
    </row>
    <row r="620" spans="5:5" ht="15.75" customHeight="1" x14ac:dyDescent="0.25">
      <c r="E620" s="3"/>
    </row>
    <row r="621" spans="5:5" ht="15.75" customHeight="1" x14ac:dyDescent="0.25">
      <c r="E621" s="3"/>
    </row>
    <row r="622" spans="5:5" ht="15.75" customHeight="1" x14ac:dyDescent="0.25">
      <c r="E622" s="3"/>
    </row>
    <row r="623" spans="5:5" ht="15.75" customHeight="1" x14ac:dyDescent="0.25">
      <c r="E623" s="3"/>
    </row>
    <row r="624" spans="5:5" ht="15.75" customHeight="1" x14ac:dyDescent="0.25">
      <c r="E624" s="3"/>
    </row>
    <row r="625" spans="5:5" ht="15.75" customHeight="1" x14ac:dyDescent="0.25">
      <c r="E625" s="3"/>
    </row>
    <row r="626" spans="5:5" ht="15.75" customHeight="1" x14ac:dyDescent="0.25">
      <c r="E626" s="3"/>
    </row>
    <row r="627" spans="5:5" ht="15.75" customHeight="1" x14ac:dyDescent="0.25">
      <c r="E627" s="3"/>
    </row>
    <row r="628" spans="5:5" ht="15.75" customHeight="1" x14ac:dyDescent="0.25">
      <c r="E628" s="3"/>
    </row>
    <row r="629" spans="5:5" ht="15.75" customHeight="1" x14ac:dyDescent="0.25">
      <c r="E629" s="3"/>
    </row>
    <row r="630" spans="5:5" ht="15.75" customHeight="1" x14ac:dyDescent="0.25">
      <c r="E630" s="3"/>
    </row>
    <row r="631" spans="5:5" ht="15.75" customHeight="1" x14ac:dyDescent="0.25">
      <c r="E631" s="3"/>
    </row>
    <row r="632" spans="5:5" ht="15.75" customHeight="1" x14ac:dyDescent="0.25">
      <c r="E632" s="3"/>
    </row>
    <row r="633" spans="5:5" ht="15.75" customHeight="1" x14ac:dyDescent="0.25">
      <c r="E633" s="3"/>
    </row>
    <row r="634" spans="5:5" ht="15.75" customHeight="1" x14ac:dyDescent="0.25">
      <c r="E634" s="3"/>
    </row>
    <row r="635" spans="5:5" ht="15.75" customHeight="1" x14ac:dyDescent="0.25">
      <c r="E635" s="3"/>
    </row>
    <row r="636" spans="5:5" ht="15.75" customHeight="1" x14ac:dyDescent="0.25">
      <c r="E636" s="3"/>
    </row>
    <row r="637" spans="5:5" ht="15.75" customHeight="1" x14ac:dyDescent="0.25">
      <c r="E637" s="3"/>
    </row>
    <row r="638" spans="5:5" ht="15.75" customHeight="1" x14ac:dyDescent="0.25">
      <c r="E638" s="3"/>
    </row>
    <row r="639" spans="5:5" ht="15.75" customHeight="1" x14ac:dyDescent="0.25">
      <c r="E639" s="3"/>
    </row>
    <row r="640" spans="5:5" ht="15.75" customHeight="1" x14ac:dyDescent="0.25">
      <c r="E640" s="3"/>
    </row>
    <row r="641" spans="5:5" ht="15.75" customHeight="1" x14ac:dyDescent="0.25">
      <c r="E641" s="3"/>
    </row>
    <row r="642" spans="5:5" ht="15.75" customHeight="1" x14ac:dyDescent="0.25">
      <c r="E642" s="3"/>
    </row>
    <row r="643" spans="5:5" ht="15.75" customHeight="1" x14ac:dyDescent="0.25">
      <c r="E643" s="3"/>
    </row>
    <row r="644" spans="5:5" ht="15.75" customHeight="1" x14ac:dyDescent="0.25">
      <c r="E644" s="3"/>
    </row>
    <row r="645" spans="5:5" ht="15.75" customHeight="1" x14ac:dyDescent="0.25">
      <c r="E645" s="3"/>
    </row>
    <row r="646" spans="5:5" ht="15.75" customHeight="1" x14ac:dyDescent="0.25">
      <c r="E646" s="3"/>
    </row>
    <row r="647" spans="5:5" ht="15.75" customHeight="1" x14ac:dyDescent="0.25">
      <c r="E647" s="3"/>
    </row>
    <row r="648" spans="5:5" ht="15.75" customHeight="1" x14ac:dyDescent="0.25">
      <c r="E648" s="3"/>
    </row>
    <row r="649" spans="5:5" ht="15.75" customHeight="1" x14ac:dyDescent="0.25">
      <c r="E649" s="3"/>
    </row>
    <row r="650" spans="5:5" ht="15.75" customHeight="1" x14ac:dyDescent="0.25">
      <c r="E650" s="3"/>
    </row>
    <row r="651" spans="5:5" ht="15.75" customHeight="1" x14ac:dyDescent="0.25">
      <c r="E651" s="3"/>
    </row>
    <row r="652" spans="5:5" ht="15.75" customHeight="1" x14ac:dyDescent="0.25">
      <c r="E652" s="3"/>
    </row>
    <row r="653" spans="5:5" ht="15.75" customHeight="1" x14ac:dyDescent="0.25">
      <c r="E653" s="3"/>
    </row>
    <row r="654" spans="5:5" ht="15.75" customHeight="1" x14ac:dyDescent="0.25">
      <c r="E654" s="3"/>
    </row>
    <row r="655" spans="5:5" ht="15.75" customHeight="1" x14ac:dyDescent="0.25">
      <c r="E655" s="3"/>
    </row>
    <row r="656" spans="5:5" ht="15.75" customHeight="1" x14ac:dyDescent="0.25">
      <c r="E656" s="3"/>
    </row>
    <row r="657" spans="5:5" ht="15.75" customHeight="1" x14ac:dyDescent="0.25">
      <c r="E657" s="3"/>
    </row>
    <row r="658" spans="5:5" ht="15.75" customHeight="1" x14ac:dyDescent="0.25">
      <c r="E658" s="3"/>
    </row>
    <row r="659" spans="5:5" ht="15.75" customHeight="1" x14ac:dyDescent="0.25">
      <c r="E659" s="3"/>
    </row>
    <row r="660" spans="5:5" ht="15.75" customHeight="1" x14ac:dyDescent="0.25">
      <c r="E660" s="3"/>
    </row>
    <row r="661" spans="5:5" ht="15.75" customHeight="1" x14ac:dyDescent="0.25">
      <c r="E661" s="3"/>
    </row>
    <row r="662" spans="5:5" ht="15.75" customHeight="1" x14ac:dyDescent="0.25">
      <c r="E662" s="3"/>
    </row>
    <row r="663" spans="5:5" ht="15.75" customHeight="1" x14ac:dyDescent="0.25">
      <c r="E663" s="3"/>
    </row>
    <row r="664" spans="5:5" ht="15.75" customHeight="1" x14ac:dyDescent="0.25">
      <c r="E664" s="3"/>
    </row>
    <row r="665" spans="5:5" ht="15.75" customHeight="1" x14ac:dyDescent="0.25">
      <c r="E665" s="3"/>
    </row>
    <row r="666" spans="5:5" ht="15.75" customHeight="1" x14ac:dyDescent="0.25">
      <c r="E666" s="3"/>
    </row>
    <row r="667" spans="5:5" ht="15.75" customHeight="1" x14ac:dyDescent="0.25">
      <c r="E667" s="3"/>
    </row>
    <row r="668" spans="5:5" ht="15.75" customHeight="1" x14ac:dyDescent="0.25">
      <c r="E668" s="3"/>
    </row>
    <row r="669" spans="5:5" ht="15.75" customHeight="1" x14ac:dyDescent="0.25">
      <c r="E669" s="3"/>
    </row>
    <row r="670" spans="5:5" ht="15.75" customHeight="1" x14ac:dyDescent="0.25">
      <c r="E670" s="3"/>
    </row>
    <row r="671" spans="5:5" ht="15.75" customHeight="1" x14ac:dyDescent="0.25">
      <c r="E671" s="3"/>
    </row>
    <row r="672" spans="5:5" ht="15.75" customHeight="1" x14ac:dyDescent="0.25">
      <c r="E672" s="3"/>
    </row>
    <row r="673" spans="5:5" ht="15.75" customHeight="1" x14ac:dyDescent="0.25">
      <c r="E673" s="3"/>
    </row>
    <row r="674" spans="5:5" ht="15.75" customHeight="1" x14ac:dyDescent="0.25">
      <c r="E674" s="3"/>
    </row>
    <row r="675" spans="5:5" ht="15.75" customHeight="1" x14ac:dyDescent="0.25">
      <c r="E675" s="3"/>
    </row>
    <row r="676" spans="5:5" ht="15.75" customHeight="1" x14ac:dyDescent="0.25">
      <c r="E676" s="3"/>
    </row>
    <row r="677" spans="5:5" ht="15.75" customHeight="1" x14ac:dyDescent="0.25">
      <c r="E677" s="3"/>
    </row>
    <row r="678" spans="5:5" ht="15.75" customHeight="1" x14ac:dyDescent="0.25">
      <c r="E678" s="3"/>
    </row>
    <row r="679" spans="5:5" ht="15.75" customHeight="1" x14ac:dyDescent="0.25">
      <c r="E679" s="3"/>
    </row>
    <row r="680" spans="5:5" ht="15.75" customHeight="1" x14ac:dyDescent="0.25">
      <c r="E680" s="3"/>
    </row>
    <row r="681" spans="5:5" ht="15.75" customHeight="1" x14ac:dyDescent="0.25">
      <c r="E681" s="3"/>
    </row>
    <row r="682" spans="5:5" ht="15.75" customHeight="1" x14ac:dyDescent="0.25">
      <c r="E682" s="3"/>
    </row>
    <row r="683" spans="5:5" ht="15.75" customHeight="1" x14ac:dyDescent="0.25">
      <c r="E683" s="3"/>
    </row>
    <row r="684" spans="5:5" ht="15.75" customHeight="1" x14ac:dyDescent="0.25">
      <c r="E684" s="3"/>
    </row>
    <row r="685" spans="5:5" ht="15.75" customHeight="1" x14ac:dyDescent="0.25">
      <c r="E685" s="3"/>
    </row>
    <row r="686" spans="5:5" ht="15.75" customHeight="1" x14ac:dyDescent="0.25">
      <c r="E686" s="3"/>
    </row>
    <row r="687" spans="5:5" ht="15.75" customHeight="1" x14ac:dyDescent="0.25">
      <c r="E687" s="3"/>
    </row>
    <row r="688" spans="5:5" ht="15.75" customHeight="1" x14ac:dyDescent="0.25">
      <c r="E688" s="3"/>
    </row>
    <row r="689" spans="5:5" ht="15.75" customHeight="1" x14ac:dyDescent="0.25">
      <c r="E689" s="3"/>
    </row>
    <row r="690" spans="5:5" ht="15.75" customHeight="1" x14ac:dyDescent="0.25">
      <c r="E690" s="3"/>
    </row>
    <row r="691" spans="5:5" ht="15.75" customHeight="1" x14ac:dyDescent="0.25">
      <c r="E691" s="3"/>
    </row>
    <row r="692" spans="5:5" ht="15.75" customHeight="1" x14ac:dyDescent="0.25">
      <c r="E692" s="3"/>
    </row>
    <row r="693" spans="5:5" ht="15.75" customHeight="1" x14ac:dyDescent="0.25">
      <c r="E693" s="3"/>
    </row>
    <row r="694" spans="5:5" ht="15.75" customHeight="1" x14ac:dyDescent="0.25">
      <c r="E694" s="3"/>
    </row>
    <row r="695" spans="5:5" ht="15.75" customHeight="1" x14ac:dyDescent="0.25">
      <c r="E695" s="3"/>
    </row>
    <row r="696" spans="5:5" ht="15.75" customHeight="1" x14ac:dyDescent="0.25">
      <c r="E696" s="3"/>
    </row>
    <row r="697" spans="5:5" ht="15.75" customHeight="1" x14ac:dyDescent="0.25">
      <c r="E697" s="3"/>
    </row>
    <row r="698" spans="5:5" ht="15.75" customHeight="1" x14ac:dyDescent="0.25">
      <c r="E698" s="3"/>
    </row>
    <row r="699" spans="5:5" ht="15.75" customHeight="1" x14ac:dyDescent="0.25">
      <c r="E699" s="3"/>
    </row>
    <row r="700" spans="5:5" ht="15.75" customHeight="1" x14ac:dyDescent="0.25">
      <c r="E700" s="3"/>
    </row>
    <row r="701" spans="5:5" ht="15.75" customHeight="1" x14ac:dyDescent="0.25">
      <c r="E701" s="3"/>
    </row>
    <row r="702" spans="5:5" ht="15.75" customHeight="1" x14ac:dyDescent="0.25">
      <c r="E702" s="3"/>
    </row>
    <row r="703" spans="5:5" ht="15.75" customHeight="1" x14ac:dyDescent="0.25">
      <c r="E703" s="3"/>
    </row>
    <row r="704" spans="5:5" ht="15.75" customHeight="1" x14ac:dyDescent="0.25">
      <c r="E704" s="3"/>
    </row>
    <row r="705" spans="5:5" ht="15.75" customHeight="1" x14ac:dyDescent="0.25">
      <c r="E705" s="3"/>
    </row>
    <row r="706" spans="5:5" ht="15.75" customHeight="1" x14ac:dyDescent="0.25">
      <c r="E706" s="3"/>
    </row>
    <row r="707" spans="5:5" ht="15.75" customHeight="1" x14ac:dyDescent="0.25">
      <c r="E707" s="3"/>
    </row>
    <row r="708" spans="5:5" ht="15.75" customHeight="1" x14ac:dyDescent="0.25">
      <c r="E708" s="3"/>
    </row>
    <row r="709" spans="5:5" ht="15.75" customHeight="1" x14ac:dyDescent="0.25">
      <c r="E709" s="3"/>
    </row>
    <row r="710" spans="5:5" ht="15.75" customHeight="1" x14ac:dyDescent="0.25">
      <c r="E710" s="3"/>
    </row>
    <row r="711" spans="5:5" ht="15.75" customHeight="1" x14ac:dyDescent="0.25">
      <c r="E711" s="3"/>
    </row>
    <row r="712" spans="5:5" ht="15.75" customHeight="1" x14ac:dyDescent="0.25">
      <c r="E712" s="3"/>
    </row>
    <row r="713" spans="5:5" ht="15.75" customHeight="1" x14ac:dyDescent="0.25">
      <c r="E713" s="3"/>
    </row>
    <row r="714" spans="5:5" ht="15.75" customHeight="1" x14ac:dyDescent="0.25">
      <c r="E714" s="3"/>
    </row>
    <row r="715" spans="5:5" ht="15.75" customHeight="1" x14ac:dyDescent="0.25">
      <c r="E715" s="3"/>
    </row>
    <row r="716" spans="5:5" ht="15.75" customHeight="1" x14ac:dyDescent="0.25">
      <c r="E716" s="3"/>
    </row>
    <row r="717" spans="5:5" ht="15.75" customHeight="1" x14ac:dyDescent="0.25">
      <c r="E717" s="3"/>
    </row>
    <row r="718" spans="5:5" ht="15.75" customHeight="1" x14ac:dyDescent="0.25">
      <c r="E718" s="3"/>
    </row>
    <row r="719" spans="5:5" ht="15.75" customHeight="1" x14ac:dyDescent="0.25">
      <c r="E719" s="3"/>
    </row>
    <row r="720" spans="5:5" ht="15.75" customHeight="1" x14ac:dyDescent="0.25">
      <c r="E720" s="3"/>
    </row>
    <row r="721" spans="5:5" ht="15.75" customHeight="1" x14ac:dyDescent="0.25">
      <c r="E721" s="3"/>
    </row>
    <row r="722" spans="5:5" ht="15.75" customHeight="1" x14ac:dyDescent="0.25">
      <c r="E722" s="3"/>
    </row>
    <row r="723" spans="5:5" ht="15.75" customHeight="1" x14ac:dyDescent="0.25">
      <c r="E723" s="3"/>
    </row>
    <row r="724" spans="5:5" ht="15.75" customHeight="1" x14ac:dyDescent="0.25">
      <c r="E724" s="3"/>
    </row>
    <row r="725" spans="5:5" ht="15.75" customHeight="1" x14ac:dyDescent="0.25">
      <c r="E725" s="3"/>
    </row>
    <row r="726" spans="5:5" ht="15.75" customHeight="1" x14ac:dyDescent="0.25">
      <c r="E726" s="3"/>
    </row>
    <row r="727" spans="5:5" ht="15.75" customHeight="1" x14ac:dyDescent="0.25">
      <c r="E727" s="3"/>
    </row>
    <row r="728" spans="5:5" ht="15.75" customHeight="1" x14ac:dyDescent="0.25">
      <c r="E728" s="3"/>
    </row>
    <row r="729" spans="5:5" ht="15.75" customHeight="1" x14ac:dyDescent="0.25">
      <c r="E729" s="3"/>
    </row>
    <row r="730" spans="5:5" ht="15.75" customHeight="1" x14ac:dyDescent="0.25">
      <c r="E730" s="3"/>
    </row>
    <row r="731" spans="5:5" ht="15.75" customHeight="1" x14ac:dyDescent="0.25">
      <c r="E731" s="3"/>
    </row>
    <row r="732" spans="5:5" ht="15.75" customHeight="1" x14ac:dyDescent="0.25">
      <c r="E732" s="3"/>
    </row>
    <row r="733" spans="5:5" ht="15.75" customHeight="1" x14ac:dyDescent="0.25">
      <c r="E733" s="3"/>
    </row>
    <row r="734" spans="5:5" ht="15.75" customHeight="1" x14ac:dyDescent="0.25">
      <c r="E734" s="3"/>
    </row>
    <row r="735" spans="5:5" ht="15.75" customHeight="1" x14ac:dyDescent="0.25">
      <c r="E735" s="3"/>
    </row>
    <row r="736" spans="5:5" ht="15.75" customHeight="1" x14ac:dyDescent="0.25">
      <c r="E736" s="3"/>
    </row>
    <row r="737" spans="5:5" ht="15.75" customHeight="1" x14ac:dyDescent="0.25">
      <c r="E737" s="3"/>
    </row>
    <row r="738" spans="5:5" ht="15.75" customHeight="1" x14ac:dyDescent="0.25">
      <c r="E738" s="3"/>
    </row>
    <row r="739" spans="5:5" ht="15.75" customHeight="1" x14ac:dyDescent="0.25">
      <c r="E739" s="3"/>
    </row>
    <row r="740" spans="5:5" ht="15.75" customHeight="1" x14ac:dyDescent="0.25">
      <c r="E740" s="3"/>
    </row>
    <row r="741" spans="5:5" ht="15.75" customHeight="1" x14ac:dyDescent="0.25">
      <c r="E741" s="3"/>
    </row>
    <row r="742" spans="5:5" ht="15.75" customHeight="1" x14ac:dyDescent="0.25">
      <c r="E742" s="3"/>
    </row>
    <row r="743" spans="5:5" ht="15.75" customHeight="1" x14ac:dyDescent="0.25">
      <c r="E743" s="3"/>
    </row>
    <row r="744" spans="5:5" ht="15.75" customHeight="1" x14ac:dyDescent="0.25">
      <c r="E744" s="3"/>
    </row>
    <row r="745" spans="5:5" ht="15.75" customHeight="1" x14ac:dyDescent="0.25">
      <c r="E745" s="3"/>
    </row>
    <row r="746" spans="5:5" ht="15.75" customHeight="1" x14ac:dyDescent="0.25">
      <c r="E746" s="3"/>
    </row>
    <row r="747" spans="5:5" ht="15.75" customHeight="1" x14ac:dyDescent="0.25">
      <c r="E747" s="3"/>
    </row>
    <row r="748" spans="5:5" ht="15.75" customHeight="1" x14ac:dyDescent="0.25">
      <c r="E748" s="3"/>
    </row>
    <row r="749" spans="5:5" ht="15.75" customHeight="1" x14ac:dyDescent="0.25">
      <c r="E749" s="3"/>
    </row>
    <row r="750" spans="5:5" ht="15.75" customHeight="1" x14ac:dyDescent="0.25">
      <c r="E750" s="3"/>
    </row>
    <row r="751" spans="5:5" ht="15.75" customHeight="1" x14ac:dyDescent="0.25">
      <c r="E751" s="3"/>
    </row>
    <row r="752" spans="5:5" ht="15.75" customHeight="1" x14ac:dyDescent="0.25">
      <c r="E752" s="3"/>
    </row>
    <row r="753" spans="5:5" ht="15.75" customHeight="1" x14ac:dyDescent="0.25">
      <c r="E753" s="3"/>
    </row>
    <row r="754" spans="5:5" ht="15.75" customHeight="1" x14ac:dyDescent="0.25">
      <c r="E754" s="3"/>
    </row>
    <row r="755" spans="5:5" ht="15.75" customHeight="1" x14ac:dyDescent="0.25">
      <c r="E755" s="3"/>
    </row>
    <row r="756" spans="5:5" ht="15.75" customHeight="1" x14ac:dyDescent="0.25">
      <c r="E756" s="3"/>
    </row>
    <row r="757" spans="5:5" ht="15.75" customHeight="1" x14ac:dyDescent="0.25">
      <c r="E757" s="3"/>
    </row>
    <row r="758" spans="5:5" ht="15.75" customHeight="1" x14ac:dyDescent="0.25">
      <c r="E758" s="3"/>
    </row>
    <row r="759" spans="5:5" ht="15.75" customHeight="1" x14ac:dyDescent="0.25">
      <c r="E759" s="3"/>
    </row>
    <row r="760" spans="5:5" ht="15.75" customHeight="1" x14ac:dyDescent="0.25">
      <c r="E760" s="3"/>
    </row>
    <row r="761" spans="5:5" ht="15.75" customHeight="1" x14ac:dyDescent="0.25">
      <c r="E761" s="3"/>
    </row>
    <row r="762" spans="5:5" ht="15.75" customHeight="1" x14ac:dyDescent="0.25">
      <c r="E762" s="3"/>
    </row>
    <row r="763" spans="5:5" ht="15.75" customHeight="1" x14ac:dyDescent="0.25">
      <c r="E763" s="3"/>
    </row>
    <row r="764" spans="5:5" ht="15.75" customHeight="1" x14ac:dyDescent="0.25">
      <c r="E764" s="3"/>
    </row>
    <row r="765" spans="5:5" ht="15.75" customHeight="1" x14ac:dyDescent="0.25">
      <c r="E765" s="3"/>
    </row>
    <row r="766" spans="5:5" ht="15.75" customHeight="1" x14ac:dyDescent="0.25">
      <c r="E766" s="3"/>
    </row>
    <row r="767" spans="5:5" ht="15.75" customHeight="1" x14ac:dyDescent="0.25">
      <c r="E767" s="3"/>
    </row>
    <row r="768" spans="5:5" ht="15.75" customHeight="1" x14ac:dyDescent="0.25">
      <c r="E768" s="3"/>
    </row>
    <row r="769" spans="5:5" ht="15.75" customHeight="1" x14ac:dyDescent="0.25">
      <c r="E769" s="3"/>
    </row>
    <row r="770" spans="5:5" ht="15.75" customHeight="1" x14ac:dyDescent="0.25">
      <c r="E770" s="3"/>
    </row>
    <row r="771" spans="5:5" ht="15.75" customHeight="1" x14ac:dyDescent="0.25">
      <c r="E771" s="3"/>
    </row>
    <row r="772" spans="5:5" ht="15.75" customHeight="1" x14ac:dyDescent="0.25">
      <c r="E772" s="3"/>
    </row>
    <row r="773" spans="5:5" ht="15.75" customHeight="1" x14ac:dyDescent="0.25">
      <c r="E773" s="3"/>
    </row>
    <row r="774" spans="5:5" ht="15.75" customHeight="1" x14ac:dyDescent="0.25">
      <c r="E774" s="3"/>
    </row>
    <row r="775" spans="5:5" ht="15.75" customHeight="1" x14ac:dyDescent="0.25">
      <c r="E775" s="3"/>
    </row>
    <row r="776" spans="5:5" ht="15.75" customHeight="1" x14ac:dyDescent="0.25">
      <c r="E776" s="3"/>
    </row>
    <row r="777" spans="5:5" ht="15.75" customHeight="1" x14ac:dyDescent="0.25">
      <c r="E777" s="3"/>
    </row>
    <row r="778" spans="5:5" ht="15.75" customHeight="1" x14ac:dyDescent="0.25">
      <c r="E778" s="3"/>
    </row>
    <row r="779" spans="5:5" ht="15.75" customHeight="1" x14ac:dyDescent="0.25">
      <c r="E779" s="3"/>
    </row>
    <row r="780" spans="5:5" ht="15.75" customHeight="1" x14ac:dyDescent="0.25">
      <c r="E780" s="3"/>
    </row>
    <row r="781" spans="5:5" ht="15.75" customHeight="1" x14ac:dyDescent="0.25">
      <c r="E781" s="3"/>
    </row>
    <row r="782" spans="5:5" ht="15.75" customHeight="1" x14ac:dyDescent="0.25">
      <c r="E782" s="3"/>
    </row>
    <row r="783" spans="5:5" ht="15.75" customHeight="1" x14ac:dyDescent="0.25">
      <c r="E783" s="3"/>
    </row>
    <row r="784" spans="5:5" ht="15.75" customHeight="1" x14ac:dyDescent="0.25">
      <c r="E784" s="3"/>
    </row>
    <row r="785" spans="5:5" ht="15.75" customHeight="1" x14ac:dyDescent="0.25">
      <c r="E785" s="3"/>
    </row>
    <row r="786" spans="5:5" ht="15.75" customHeight="1" x14ac:dyDescent="0.25">
      <c r="E786" s="3"/>
    </row>
    <row r="787" spans="5:5" ht="15.75" customHeight="1" x14ac:dyDescent="0.25">
      <c r="E787" s="3"/>
    </row>
    <row r="788" spans="5:5" ht="15.75" customHeight="1" x14ac:dyDescent="0.25">
      <c r="E788" s="3"/>
    </row>
    <row r="789" spans="5:5" ht="15.75" customHeight="1" x14ac:dyDescent="0.25">
      <c r="E789" s="3"/>
    </row>
    <row r="790" spans="5:5" ht="15.75" customHeight="1" x14ac:dyDescent="0.25">
      <c r="E790" s="3"/>
    </row>
    <row r="791" spans="5:5" ht="15.75" customHeight="1" x14ac:dyDescent="0.25">
      <c r="E791" s="3"/>
    </row>
    <row r="792" spans="5:5" ht="15.75" customHeight="1" x14ac:dyDescent="0.25">
      <c r="E792" s="3"/>
    </row>
    <row r="793" spans="5:5" ht="15.75" customHeight="1" x14ac:dyDescent="0.25">
      <c r="E793" s="3"/>
    </row>
    <row r="794" spans="5:5" ht="15.75" customHeight="1" x14ac:dyDescent="0.25">
      <c r="E794" s="3"/>
    </row>
    <row r="795" spans="5:5" ht="15.75" customHeight="1" x14ac:dyDescent="0.25">
      <c r="E795" s="3"/>
    </row>
    <row r="796" spans="5:5" ht="15.75" customHeight="1" x14ac:dyDescent="0.25">
      <c r="E796" s="3"/>
    </row>
    <row r="797" spans="5:5" ht="15.75" customHeight="1" x14ac:dyDescent="0.25">
      <c r="E797" s="3"/>
    </row>
    <row r="798" spans="5:5" ht="15.75" customHeight="1" x14ac:dyDescent="0.25">
      <c r="E798" s="3"/>
    </row>
    <row r="799" spans="5:5" ht="15.75" customHeight="1" x14ac:dyDescent="0.25">
      <c r="E799" s="3"/>
    </row>
    <row r="800" spans="5:5" ht="15.75" customHeight="1" x14ac:dyDescent="0.25">
      <c r="E800" s="3"/>
    </row>
    <row r="801" spans="5:5" ht="15.75" customHeight="1" x14ac:dyDescent="0.25">
      <c r="E801" s="3"/>
    </row>
    <row r="802" spans="5:5" ht="15.75" customHeight="1" x14ac:dyDescent="0.25">
      <c r="E802" s="3"/>
    </row>
    <row r="803" spans="5:5" ht="15.75" customHeight="1" x14ac:dyDescent="0.25">
      <c r="E803" s="3"/>
    </row>
    <row r="804" spans="5:5" ht="15.75" customHeight="1" x14ac:dyDescent="0.25">
      <c r="E804" s="3"/>
    </row>
    <row r="805" spans="5:5" ht="15.75" customHeight="1" x14ac:dyDescent="0.25">
      <c r="E805" s="3"/>
    </row>
    <row r="806" spans="5:5" ht="15.75" customHeight="1" x14ac:dyDescent="0.25">
      <c r="E806" s="3"/>
    </row>
    <row r="807" spans="5:5" ht="15.75" customHeight="1" x14ac:dyDescent="0.25">
      <c r="E807" s="3"/>
    </row>
    <row r="808" spans="5:5" ht="15.75" customHeight="1" x14ac:dyDescent="0.25">
      <c r="E808" s="3"/>
    </row>
    <row r="809" spans="5:5" ht="15.75" customHeight="1" x14ac:dyDescent="0.25">
      <c r="E809" s="3"/>
    </row>
    <row r="810" spans="5:5" ht="15.75" customHeight="1" x14ac:dyDescent="0.25">
      <c r="E810" s="3"/>
    </row>
    <row r="811" spans="5:5" ht="15.75" customHeight="1" x14ac:dyDescent="0.25">
      <c r="E811" s="3"/>
    </row>
    <row r="812" spans="5:5" ht="15.75" customHeight="1" x14ac:dyDescent="0.25">
      <c r="E812" s="3"/>
    </row>
    <row r="813" spans="5:5" ht="15.75" customHeight="1" x14ac:dyDescent="0.25">
      <c r="E813" s="3"/>
    </row>
    <row r="814" spans="5:5" ht="15.75" customHeight="1" x14ac:dyDescent="0.25">
      <c r="E814" s="3"/>
    </row>
    <row r="815" spans="5:5" ht="15.75" customHeight="1" x14ac:dyDescent="0.25">
      <c r="E815" s="3"/>
    </row>
    <row r="816" spans="5:5" ht="15.75" customHeight="1" x14ac:dyDescent="0.25">
      <c r="E816" s="3"/>
    </row>
    <row r="817" spans="5:5" ht="15.75" customHeight="1" x14ac:dyDescent="0.25">
      <c r="E817" s="3"/>
    </row>
    <row r="818" spans="5:5" ht="15.75" customHeight="1" x14ac:dyDescent="0.25">
      <c r="E818" s="3"/>
    </row>
    <row r="819" spans="5:5" ht="15.75" customHeight="1" x14ac:dyDescent="0.25">
      <c r="E819" s="3"/>
    </row>
    <row r="820" spans="5:5" ht="15.75" customHeight="1" x14ac:dyDescent="0.25">
      <c r="E820" s="3"/>
    </row>
    <row r="821" spans="5:5" ht="15.75" customHeight="1" x14ac:dyDescent="0.25">
      <c r="E821" s="3"/>
    </row>
    <row r="822" spans="5:5" ht="15.75" customHeight="1" x14ac:dyDescent="0.25">
      <c r="E822" s="3"/>
    </row>
    <row r="823" spans="5:5" ht="15.75" customHeight="1" x14ac:dyDescent="0.25">
      <c r="E823" s="3"/>
    </row>
    <row r="824" spans="5:5" ht="15.75" customHeight="1" x14ac:dyDescent="0.25">
      <c r="E824" s="3"/>
    </row>
    <row r="825" spans="5:5" ht="15.75" customHeight="1" x14ac:dyDescent="0.25">
      <c r="E825" s="3"/>
    </row>
    <row r="826" spans="5:5" ht="15.75" customHeight="1" x14ac:dyDescent="0.25">
      <c r="E826" s="3"/>
    </row>
    <row r="827" spans="5:5" ht="15.75" customHeight="1" x14ac:dyDescent="0.25">
      <c r="E827" s="3"/>
    </row>
    <row r="828" spans="5:5" ht="15.75" customHeight="1" x14ac:dyDescent="0.25">
      <c r="E828" s="3"/>
    </row>
    <row r="829" spans="5:5" ht="15.75" customHeight="1" x14ac:dyDescent="0.25">
      <c r="E829" s="3"/>
    </row>
    <row r="830" spans="5:5" ht="15.75" customHeight="1" x14ac:dyDescent="0.25">
      <c r="E830" s="3"/>
    </row>
    <row r="831" spans="5:5" ht="15.75" customHeight="1" x14ac:dyDescent="0.25">
      <c r="E831" s="3"/>
    </row>
    <row r="832" spans="5:5" ht="15.75" customHeight="1" x14ac:dyDescent="0.25">
      <c r="E832" s="3"/>
    </row>
    <row r="833" spans="5:5" ht="15.75" customHeight="1" x14ac:dyDescent="0.25">
      <c r="E833" s="3"/>
    </row>
    <row r="834" spans="5:5" ht="15.75" customHeight="1" x14ac:dyDescent="0.25">
      <c r="E834" s="3"/>
    </row>
    <row r="835" spans="5:5" ht="15.75" customHeight="1" x14ac:dyDescent="0.25">
      <c r="E835" s="3"/>
    </row>
    <row r="836" spans="5:5" ht="15.75" customHeight="1" x14ac:dyDescent="0.25">
      <c r="E836" s="3"/>
    </row>
    <row r="837" spans="5:5" ht="15.75" customHeight="1" x14ac:dyDescent="0.25">
      <c r="E837" s="3"/>
    </row>
    <row r="838" spans="5:5" ht="15.75" customHeight="1" x14ac:dyDescent="0.25">
      <c r="E838" s="3"/>
    </row>
    <row r="839" spans="5:5" ht="15.75" customHeight="1" x14ac:dyDescent="0.25">
      <c r="E839" s="3"/>
    </row>
    <row r="840" spans="5:5" ht="15.75" customHeight="1" x14ac:dyDescent="0.25">
      <c r="E840" s="3"/>
    </row>
    <row r="841" spans="5:5" ht="15.75" customHeight="1" x14ac:dyDescent="0.25">
      <c r="E841" s="3"/>
    </row>
    <row r="842" spans="5:5" ht="15.75" customHeight="1" x14ac:dyDescent="0.25">
      <c r="E842" s="3"/>
    </row>
    <row r="843" spans="5:5" ht="15.75" customHeight="1" x14ac:dyDescent="0.25">
      <c r="E843" s="3"/>
    </row>
    <row r="844" spans="5:5" ht="15.75" customHeight="1" x14ac:dyDescent="0.25">
      <c r="E844" s="3"/>
    </row>
    <row r="845" spans="5:5" ht="15.75" customHeight="1" x14ac:dyDescent="0.25">
      <c r="E845" s="3"/>
    </row>
    <row r="846" spans="5:5" ht="15.75" customHeight="1" x14ac:dyDescent="0.25">
      <c r="E846" s="3"/>
    </row>
    <row r="847" spans="5:5" ht="15.75" customHeight="1" x14ac:dyDescent="0.25">
      <c r="E847" s="3"/>
    </row>
    <row r="848" spans="5:5" ht="15.75" customHeight="1" x14ac:dyDescent="0.25">
      <c r="E848" s="3"/>
    </row>
    <row r="849" spans="5:5" ht="15.75" customHeight="1" x14ac:dyDescent="0.25">
      <c r="E849" s="3"/>
    </row>
    <row r="850" spans="5:5" ht="15.75" customHeight="1" x14ac:dyDescent="0.25">
      <c r="E850" s="3"/>
    </row>
    <row r="851" spans="5:5" ht="15.75" customHeight="1" x14ac:dyDescent="0.25">
      <c r="E851" s="3"/>
    </row>
    <row r="852" spans="5:5" ht="15.75" customHeight="1" x14ac:dyDescent="0.25">
      <c r="E852" s="3"/>
    </row>
    <row r="853" spans="5:5" ht="15.75" customHeight="1" x14ac:dyDescent="0.25">
      <c r="E853" s="3"/>
    </row>
    <row r="854" spans="5:5" ht="15.75" customHeight="1" x14ac:dyDescent="0.25">
      <c r="E854" s="3"/>
    </row>
    <row r="855" spans="5:5" ht="15.75" customHeight="1" x14ac:dyDescent="0.25">
      <c r="E855" s="3"/>
    </row>
    <row r="856" spans="5:5" ht="15.75" customHeight="1" x14ac:dyDescent="0.25">
      <c r="E856" s="3"/>
    </row>
    <row r="857" spans="5:5" ht="15.75" customHeight="1" x14ac:dyDescent="0.25">
      <c r="E857" s="3"/>
    </row>
    <row r="858" spans="5:5" ht="15.75" customHeight="1" x14ac:dyDescent="0.25">
      <c r="E858" s="3"/>
    </row>
    <row r="859" spans="5:5" ht="15.75" customHeight="1" x14ac:dyDescent="0.25">
      <c r="E859" s="3"/>
    </row>
    <row r="860" spans="5:5" ht="15.75" customHeight="1" x14ac:dyDescent="0.25">
      <c r="E860" s="3"/>
    </row>
    <row r="861" spans="5:5" ht="15.75" customHeight="1" x14ac:dyDescent="0.25">
      <c r="E861" s="3"/>
    </row>
    <row r="862" spans="5:5" ht="15.75" customHeight="1" x14ac:dyDescent="0.25">
      <c r="E862" s="3"/>
    </row>
    <row r="863" spans="5:5" ht="15.75" customHeight="1" x14ac:dyDescent="0.25">
      <c r="E863" s="3"/>
    </row>
    <row r="864" spans="5:5" ht="15.75" customHeight="1" x14ac:dyDescent="0.25">
      <c r="E864" s="3"/>
    </row>
    <row r="865" spans="5:5" ht="15.75" customHeight="1" x14ac:dyDescent="0.25">
      <c r="E865" s="3"/>
    </row>
    <row r="866" spans="5:5" ht="15.75" customHeight="1" x14ac:dyDescent="0.25">
      <c r="E866" s="3"/>
    </row>
    <row r="867" spans="5:5" ht="15.75" customHeight="1" x14ac:dyDescent="0.25">
      <c r="E867" s="3"/>
    </row>
    <row r="868" spans="5:5" ht="15.75" customHeight="1" x14ac:dyDescent="0.25">
      <c r="E868" s="3"/>
    </row>
    <row r="869" spans="5:5" ht="15.75" customHeight="1" x14ac:dyDescent="0.25">
      <c r="E869" s="3"/>
    </row>
    <row r="870" spans="5:5" ht="15.75" customHeight="1" x14ac:dyDescent="0.25">
      <c r="E870" s="3"/>
    </row>
    <row r="871" spans="5:5" ht="15.75" customHeight="1" x14ac:dyDescent="0.25">
      <c r="E871" s="3"/>
    </row>
    <row r="872" spans="5:5" ht="15.75" customHeight="1" x14ac:dyDescent="0.25">
      <c r="E872" s="3"/>
    </row>
    <row r="873" spans="5:5" ht="15.75" customHeight="1" x14ac:dyDescent="0.25">
      <c r="E873" s="3"/>
    </row>
    <row r="874" spans="5:5" ht="15.75" customHeight="1" x14ac:dyDescent="0.25">
      <c r="E874" s="3"/>
    </row>
    <row r="875" spans="5:5" ht="15.75" customHeight="1" x14ac:dyDescent="0.25">
      <c r="E875" s="3"/>
    </row>
    <row r="876" spans="5:5" ht="15.75" customHeight="1" x14ac:dyDescent="0.25">
      <c r="E876" s="3"/>
    </row>
    <row r="877" spans="5:5" ht="15.75" customHeight="1" x14ac:dyDescent="0.25">
      <c r="E877" s="3"/>
    </row>
    <row r="878" spans="5:5" ht="15.75" customHeight="1" x14ac:dyDescent="0.25">
      <c r="E878" s="3"/>
    </row>
    <row r="879" spans="5:5" ht="15.75" customHeight="1" x14ac:dyDescent="0.25">
      <c r="E879" s="3"/>
    </row>
    <row r="880" spans="5:5" ht="15.75" customHeight="1" x14ac:dyDescent="0.25">
      <c r="E880" s="3"/>
    </row>
    <row r="881" spans="5:5" ht="15.75" customHeight="1" x14ac:dyDescent="0.25">
      <c r="E881" s="3"/>
    </row>
    <row r="882" spans="5:5" ht="15.75" customHeight="1" x14ac:dyDescent="0.25">
      <c r="E882" s="3"/>
    </row>
    <row r="883" spans="5:5" ht="15.75" customHeight="1" x14ac:dyDescent="0.25">
      <c r="E883" s="3"/>
    </row>
    <row r="884" spans="5:5" ht="15.75" customHeight="1" x14ac:dyDescent="0.25">
      <c r="E884" s="3"/>
    </row>
    <row r="885" spans="5:5" ht="15.75" customHeight="1" x14ac:dyDescent="0.25">
      <c r="E885" s="3"/>
    </row>
    <row r="886" spans="5:5" ht="15.75" customHeight="1" x14ac:dyDescent="0.25">
      <c r="E886" s="3"/>
    </row>
    <row r="887" spans="5:5" ht="15.75" customHeight="1" x14ac:dyDescent="0.25">
      <c r="E887" s="3"/>
    </row>
    <row r="888" spans="5:5" ht="15.75" customHeight="1" x14ac:dyDescent="0.25">
      <c r="E888" s="3"/>
    </row>
    <row r="889" spans="5:5" ht="15.75" customHeight="1" x14ac:dyDescent="0.25">
      <c r="E889" s="3"/>
    </row>
    <row r="890" spans="5:5" ht="15.75" customHeight="1" x14ac:dyDescent="0.25">
      <c r="E890" s="3"/>
    </row>
    <row r="891" spans="5:5" ht="15.75" customHeight="1" x14ac:dyDescent="0.25">
      <c r="E891" s="3"/>
    </row>
    <row r="892" spans="5:5" ht="15.75" customHeight="1" x14ac:dyDescent="0.25">
      <c r="E892" s="3"/>
    </row>
    <row r="893" spans="5:5" ht="15.75" customHeight="1" x14ac:dyDescent="0.25">
      <c r="E893" s="3"/>
    </row>
    <row r="894" spans="5:5" ht="15.75" customHeight="1" x14ac:dyDescent="0.25">
      <c r="E894" s="3"/>
    </row>
    <row r="895" spans="5:5" ht="15.75" customHeight="1" x14ac:dyDescent="0.25">
      <c r="E895" s="3"/>
    </row>
    <row r="896" spans="5:5" ht="15.75" customHeight="1" x14ac:dyDescent="0.25">
      <c r="E896" s="3"/>
    </row>
    <row r="897" spans="5:5" ht="15.75" customHeight="1" x14ac:dyDescent="0.25">
      <c r="E897" s="3"/>
    </row>
    <row r="898" spans="5:5" ht="15.75" customHeight="1" x14ac:dyDescent="0.25">
      <c r="E898" s="3"/>
    </row>
    <row r="899" spans="5:5" ht="15.75" customHeight="1" x14ac:dyDescent="0.25">
      <c r="E899" s="3"/>
    </row>
    <row r="900" spans="5:5" ht="15.75" customHeight="1" x14ac:dyDescent="0.25">
      <c r="E900" s="3"/>
    </row>
    <row r="901" spans="5:5" ht="15.75" customHeight="1" x14ac:dyDescent="0.25">
      <c r="E901" s="3"/>
    </row>
    <row r="902" spans="5:5" ht="15.75" customHeight="1" x14ac:dyDescent="0.25">
      <c r="E902" s="3"/>
    </row>
    <row r="903" spans="5:5" ht="15.75" customHeight="1" x14ac:dyDescent="0.25">
      <c r="E903" s="3"/>
    </row>
    <row r="904" spans="5:5" ht="15.75" customHeight="1" x14ac:dyDescent="0.25">
      <c r="E904" s="3"/>
    </row>
    <row r="905" spans="5:5" ht="15.75" customHeight="1" x14ac:dyDescent="0.25">
      <c r="E905" s="3"/>
    </row>
    <row r="906" spans="5:5" ht="15.75" customHeight="1" x14ac:dyDescent="0.25">
      <c r="E906" s="3"/>
    </row>
    <row r="907" spans="5:5" ht="15.75" customHeight="1" x14ac:dyDescent="0.25">
      <c r="E907" s="3"/>
    </row>
    <row r="908" spans="5:5" ht="15.75" customHeight="1" x14ac:dyDescent="0.25">
      <c r="E908" s="3"/>
    </row>
    <row r="909" spans="5:5" ht="15.75" customHeight="1" x14ac:dyDescent="0.25">
      <c r="E909" s="3"/>
    </row>
    <row r="910" spans="5:5" ht="15.75" customHeight="1" x14ac:dyDescent="0.25">
      <c r="E910" s="3"/>
    </row>
    <row r="911" spans="5:5" ht="15.75" customHeight="1" x14ac:dyDescent="0.25">
      <c r="E911" s="3"/>
    </row>
    <row r="912" spans="5:5" ht="15.75" customHeight="1" x14ac:dyDescent="0.25">
      <c r="E912" s="3"/>
    </row>
    <row r="913" spans="5:5" ht="15.75" customHeight="1" x14ac:dyDescent="0.25">
      <c r="E913" s="3"/>
    </row>
    <row r="914" spans="5:5" ht="15.75" customHeight="1" x14ac:dyDescent="0.25">
      <c r="E914" s="3"/>
    </row>
    <row r="915" spans="5:5" ht="15.75" customHeight="1" x14ac:dyDescent="0.25">
      <c r="E915" s="3"/>
    </row>
    <row r="916" spans="5:5" ht="15.75" customHeight="1" x14ac:dyDescent="0.25">
      <c r="E916" s="3"/>
    </row>
    <row r="917" spans="5:5" ht="15.75" customHeight="1" x14ac:dyDescent="0.25">
      <c r="E917" s="3"/>
    </row>
    <row r="918" spans="5:5" ht="15.75" customHeight="1" x14ac:dyDescent="0.25">
      <c r="E918" s="3"/>
    </row>
    <row r="919" spans="5:5" ht="15.75" customHeight="1" x14ac:dyDescent="0.25">
      <c r="E919" s="3"/>
    </row>
    <row r="920" spans="5:5" ht="15.75" customHeight="1" x14ac:dyDescent="0.25">
      <c r="E920" s="3"/>
    </row>
    <row r="921" spans="5:5" ht="15.75" customHeight="1" x14ac:dyDescent="0.25">
      <c r="E921" s="3"/>
    </row>
    <row r="922" spans="5:5" ht="15.75" customHeight="1" x14ac:dyDescent="0.25">
      <c r="E922" s="3"/>
    </row>
    <row r="923" spans="5:5" ht="15.75" customHeight="1" x14ac:dyDescent="0.25">
      <c r="E923" s="3"/>
    </row>
    <row r="924" spans="5:5" ht="15.75" customHeight="1" x14ac:dyDescent="0.25">
      <c r="E924" s="3"/>
    </row>
    <row r="925" spans="5:5" ht="15.75" customHeight="1" x14ac:dyDescent="0.25">
      <c r="E925" s="3"/>
    </row>
    <row r="926" spans="5:5" ht="15.75" customHeight="1" x14ac:dyDescent="0.25">
      <c r="E926" s="3"/>
    </row>
    <row r="927" spans="5:5" ht="15.75" customHeight="1" x14ac:dyDescent="0.25">
      <c r="E927" s="3"/>
    </row>
    <row r="928" spans="5:5" ht="15.75" customHeight="1" x14ac:dyDescent="0.25">
      <c r="E928" s="3"/>
    </row>
    <row r="929" spans="5:5" ht="15.75" customHeight="1" x14ac:dyDescent="0.25">
      <c r="E929" s="3"/>
    </row>
    <row r="930" spans="5:5" ht="15.75" customHeight="1" x14ac:dyDescent="0.25">
      <c r="E930" s="3"/>
    </row>
    <row r="931" spans="5:5" ht="15.75" customHeight="1" x14ac:dyDescent="0.25">
      <c r="E931" s="3"/>
    </row>
    <row r="932" spans="5:5" ht="15.75" customHeight="1" x14ac:dyDescent="0.25">
      <c r="E932" s="3"/>
    </row>
    <row r="933" spans="5:5" ht="15.75" customHeight="1" x14ac:dyDescent="0.25">
      <c r="E933" s="3"/>
    </row>
    <row r="934" spans="5:5" ht="15.75" customHeight="1" x14ac:dyDescent="0.25">
      <c r="E934" s="3"/>
    </row>
    <row r="935" spans="5:5" ht="15.75" customHeight="1" x14ac:dyDescent="0.25">
      <c r="E935" s="3"/>
    </row>
    <row r="936" spans="5:5" ht="15.75" customHeight="1" x14ac:dyDescent="0.25">
      <c r="E936" s="3"/>
    </row>
    <row r="937" spans="5:5" ht="15.75" customHeight="1" x14ac:dyDescent="0.25">
      <c r="E937" s="3"/>
    </row>
    <row r="938" spans="5:5" ht="15.75" customHeight="1" x14ac:dyDescent="0.25">
      <c r="E938" s="3"/>
    </row>
    <row r="939" spans="5:5" ht="15.75" customHeight="1" x14ac:dyDescent="0.25">
      <c r="E939" s="3"/>
    </row>
    <row r="940" spans="5:5" ht="15.75" customHeight="1" x14ac:dyDescent="0.25">
      <c r="E940" s="3"/>
    </row>
    <row r="941" spans="5:5" ht="15.75" customHeight="1" x14ac:dyDescent="0.25">
      <c r="E941" s="3"/>
    </row>
    <row r="942" spans="5:5" ht="15.75" customHeight="1" x14ac:dyDescent="0.25">
      <c r="E942" s="3"/>
    </row>
    <row r="943" spans="5:5" ht="15.75" customHeight="1" x14ac:dyDescent="0.25">
      <c r="E943" s="3"/>
    </row>
    <row r="944" spans="5:5" ht="15.75" customHeight="1" x14ac:dyDescent="0.25">
      <c r="E944" s="3"/>
    </row>
    <row r="945" spans="5:5" ht="15.75" customHeight="1" x14ac:dyDescent="0.25">
      <c r="E945" s="3"/>
    </row>
    <row r="946" spans="5:5" ht="15.75" customHeight="1" x14ac:dyDescent="0.25">
      <c r="E946" s="3"/>
    </row>
    <row r="947" spans="5:5" ht="15.75" customHeight="1" x14ac:dyDescent="0.25">
      <c r="E947" s="3"/>
    </row>
    <row r="948" spans="5:5" ht="15.75" customHeight="1" x14ac:dyDescent="0.25">
      <c r="E948" s="3"/>
    </row>
    <row r="949" spans="5:5" ht="15.75" customHeight="1" x14ac:dyDescent="0.25">
      <c r="E949" s="3"/>
    </row>
    <row r="950" spans="5:5" ht="15.75" customHeight="1" x14ac:dyDescent="0.25">
      <c r="E950" s="3"/>
    </row>
    <row r="951" spans="5:5" ht="15.75" customHeight="1" x14ac:dyDescent="0.25">
      <c r="E951" s="3"/>
    </row>
    <row r="952" spans="5:5" ht="15.75" customHeight="1" x14ac:dyDescent="0.25">
      <c r="E952" s="3"/>
    </row>
    <row r="953" spans="5:5" ht="15.75" customHeight="1" x14ac:dyDescent="0.25">
      <c r="E953" s="3"/>
    </row>
    <row r="954" spans="5:5" ht="15.75" customHeight="1" x14ac:dyDescent="0.25">
      <c r="E954" s="3"/>
    </row>
    <row r="955" spans="5:5" ht="15.75" customHeight="1" x14ac:dyDescent="0.25">
      <c r="E955" s="3"/>
    </row>
    <row r="956" spans="5:5" ht="15.75" customHeight="1" x14ac:dyDescent="0.25">
      <c r="E956" s="3"/>
    </row>
    <row r="957" spans="5:5" ht="15.75" customHeight="1" x14ac:dyDescent="0.25">
      <c r="E957" s="3"/>
    </row>
    <row r="958" spans="5:5" ht="15.75" customHeight="1" x14ac:dyDescent="0.25">
      <c r="E958" s="3"/>
    </row>
    <row r="959" spans="5:5" ht="15.75" customHeight="1" x14ac:dyDescent="0.25">
      <c r="E959" s="3"/>
    </row>
    <row r="960" spans="5:5" ht="15.75" customHeight="1" x14ac:dyDescent="0.25">
      <c r="E960" s="3"/>
    </row>
    <row r="961" spans="5:5" ht="15.75" customHeight="1" x14ac:dyDescent="0.25">
      <c r="E961" s="3"/>
    </row>
    <row r="962" spans="5:5" ht="15.75" customHeight="1" x14ac:dyDescent="0.25">
      <c r="E962" s="3"/>
    </row>
    <row r="963" spans="5:5" ht="15.75" customHeight="1" x14ac:dyDescent="0.25">
      <c r="E963" s="3"/>
    </row>
    <row r="964" spans="5:5" ht="15.75" customHeight="1" x14ac:dyDescent="0.25">
      <c r="E964" s="3"/>
    </row>
    <row r="965" spans="5:5" ht="15.75" customHeight="1" x14ac:dyDescent="0.25">
      <c r="E965" s="3"/>
    </row>
    <row r="966" spans="5:5" ht="15.75" customHeight="1" x14ac:dyDescent="0.25">
      <c r="E966" s="3"/>
    </row>
    <row r="967" spans="5:5" ht="15.75" customHeight="1" x14ac:dyDescent="0.25">
      <c r="E967" s="3"/>
    </row>
    <row r="968" spans="5:5" ht="15.75" customHeight="1" x14ac:dyDescent="0.25">
      <c r="E968" s="3"/>
    </row>
    <row r="969" spans="5:5" ht="15.75" customHeight="1" x14ac:dyDescent="0.25">
      <c r="E969" s="3"/>
    </row>
    <row r="970" spans="5:5" ht="15.75" customHeight="1" x14ac:dyDescent="0.25">
      <c r="E970" s="3"/>
    </row>
    <row r="971" spans="5:5" ht="15.75" customHeight="1" x14ac:dyDescent="0.25">
      <c r="E971" s="3"/>
    </row>
    <row r="972" spans="5:5" ht="15.75" customHeight="1" x14ac:dyDescent="0.25">
      <c r="E972" s="3"/>
    </row>
    <row r="973" spans="5:5" ht="15.75" customHeight="1" x14ac:dyDescent="0.25">
      <c r="E973" s="3"/>
    </row>
    <row r="974" spans="5:5" ht="15.75" customHeight="1" x14ac:dyDescent="0.25">
      <c r="E974" s="3"/>
    </row>
    <row r="975" spans="5:5" ht="15.75" customHeight="1" x14ac:dyDescent="0.25">
      <c r="E975" s="3"/>
    </row>
    <row r="976" spans="5:5" ht="15.75" customHeight="1" x14ac:dyDescent="0.25">
      <c r="E976" s="3"/>
    </row>
    <row r="977" spans="5:5" ht="15.75" customHeight="1" x14ac:dyDescent="0.25">
      <c r="E977" s="3"/>
    </row>
    <row r="978" spans="5:5" ht="15.75" customHeight="1" x14ac:dyDescent="0.25">
      <c r="E978" s="3"/>
    </row>
    <row r="979" spans="5:5" ht="15.75" customHeight="1" x14ac:dyDescent="0.25">
      <c r="E979" s="3"/>
    </row>
    <row r="980" spans="5:5" ht="15.75" customHeight="1" x14ac:dyDescent="0.25">
      <c r="E980" s="3"/>
    </row>
    <row r="981" spans="5:5" ht="15.75" customHeight="1" x14ac:dyDescent="0.25">
      <c r="E981" s="3"/>
    </row>
    <row r="982" spans="5:5" ht="15.75" customHeight="1" x14ac:dyDescent="0.25">
      <c r="E982" s="3"/>
    </row>
    <row r="983" spans="5:5" ht="15.75" customHeight="1" x14ac:dyDescent="0.25">
      <c r="E983" s="3"/>
    </row>
    <row r="984" spans="5:5" ht="15.75" customHeight="1" x14ac:dyDescent="0.25">
      <c r="E984" s="3"/>
    </row>
    <row r="985" spans="5:5" ht="15.75" customHeight="1" x14ac:dyDescent="0.25">
      <c r="E985" s="3"/>
    </row>
    <row r="986" spans="5:5" ht="15.75" customHeight="1" x14ac:dyDescent="0.25">
      <c r="E986" s="3"/>
    </row>
    <row r="987" spans="5:5" ht="15.75" customHeight="1" x14ac:dyDescent="0.25">
      <c r="E987" s="3"/>
    </row>
    <row r="988" spans="5:5" ht="15.75" customHeight="1" x14ac:dyDescent="0.25">
      <c r="E988" s="3"/>
    </row>
    <row r="989" spans="5:5" ht="15.75" customHeight="1" x14ac:dyDescent="0.25">
      <c r="E989" s="3"/>
    </row>
    <row r="990" spans="5:5" ht="15.75" customHeight="1" x14ac:dyDescent="0.25">
      <c r="E990" s="3"/>
    </row>
    <row r="991" spans="5:5" ht="15.75" customHeight="1" x14ac:dyDescent="0.25">
      <c r="E991" s="3"/>
    </row>
    <row r="992" spans="5:5" ht="15.75" customHeight="1" x14ac:dyDescent="0.25">
      <c r="E992" s="3"/>
    </row>
    <row r="993" spans="5:5" ht="15.75" customHeight="1" x14ac:dyDescent="0.25">
      <c r="E993" s="3"/>
    </row>
    <row r="994" spans="5:5" ht="15.75" customHeight="1" x14ac:dyDescent="0.25">
      <c r="E994" s="3"/>
    </row>
    <row r="995" spans="5:5" ht="15.75" customHeight="1" x14ac:dyDescent="0.25">
      <c r="E995" s="3"/>
    </row>
    <row r="996" spans="5:5" ht="15.75" customHeight="1" x14ac:dyDescent="0.25">
      <c r="E996" s="3"/>
    </row>
    <row r="997" spans="5:5" ht="15.75" customHeight="1" x14ac:dyDescent="0.25">
      <c r="E997" s="3"/>
    </row>
    <row r="998" spans="5:5" ht="15.75" customHeight="1" x14ac:dyDescent="0.25">
      <c r="E998" s="3"/>
    </row>
    <row r="999" spans="5:5" ht="15.75" customHeight="1" x14ac:dyDescent="0.25">
      <c r="E999" s="3"/>
    </row>
    <row r="1000" spans="5:5" ht="15.75" customHeight="1" x14ac:dyDescent="0.25">
      <c r="E1000" s="3"/>
    </row>
  </sheetData>
  <mergeCells count="112">
    <mergeCell ref="G171:I171"/>
    <mergeCell ref="J171:L171"/>
    <mergeCell ref="A79:Y79"/>
    <mergeCell ref="Y80:Y101"/>
    <mergeCell ref="L83:Q84"/>
    <mergeCell ref="A102:Y102"/>
    <mergeCell ref="A106:E106"/>
    <mergeCell ref="G107:L107"/>
    <mergeCell ref="B108:B112"/>
    <mergeCell ref="G108:I108"/>
    <mergeCell ref="J108:L108"/>
    <mergeCell ref="S82:W82"/>
    <mergeCell ref="S83:W83"/>
    <mergeCell ref="A84:E84"/>
    <mergeCell ref="G84:J84"/>
    <mergeCell ref="B277:B279"/>
    <mergeCell ref="B281:B285"/>
    <mergeCell ref="S291:W291"/>
    <mergeCell ref="G292:J292"/>
    <mergeCell ref="S292:W292"/>
    <mergeCell ref="G301:H301"/>
    <mergeCell ref="I301:K301"/>
    <mergeCell ref="L301:Q302"/>
    <mergeCell ref="L291:Q291"/>
    <mergeCell ref="L292:Q293"/>
    <mergeCell ref="A293:E293"/>
    <mergeCell ref="G293:J293"/>
    <mergeCell ref="G297:J297"/>
    <mergeCell ref="A299:E299"/>
    <mergeCell ref="S299:W301"/>
    <mergeCell ref="B239:B243"/>
    <mergeCell ref="B245:B246"/>
    <mergeCell ref="B248:B252"/>
    <mergeCell ref="B254:B256"/>
    <mergeCell ref="B258:B259"/>
    <mergeCell ref="B261:B263"/>
    <mergeCell ref="B265:B268"/>
    <mergeCell ref="B270:B272"/>
    <mergeCell ref="B274:B275"/>
    <mergeCell ref="B186:B190"/>
    <mergeCell ref="B192:B194"/>
    <mergeCell ref="A227:Y227"/>
    <mergeCell ref="G232:L232"/>
    <mergeCell ref="G233:I233"/>
    <mergeCell ref="J233:L233"/>
    <mergeCell ref="G238:I238"/>
    <mergeCell ref="J238:L238"/>
    <mergeCell ref="B196:B197"/>
    <mergeCell ref="B199:B201"/>
    <mergeCell ref="B203:B206"/>
    <mergeCell ref="B208:B210"/>
    <mergeCell ref="B212:B213"/>
    <mergeCell ref="B215:B217"/>
    <mergeCell ref="B219:B223"/>
    <mergeCell ref="B233:B237"/>
    <mergeCell ref="B177:B181"/>
    <mergeCell ref="B183:B184"/>
    <mergeCell ref="L82:Q82"/>
    <mergeCell ref="G83:J83"/>
    <mergeCell ref="G88:J88"/>
    <mergeCell ref="A89:E89"/>
    <mergeCell ref="S90:W92"/>
    <mergeCell ref="L92:Q93"/>
    <mergeCell ref="B114:B118"/>
    <mergeCell ref="B120:B121"/>
    <mergeCell ref="B123:B127"/>
    <mergeCell ref="B129:B131"/>
    <mergeCell ref="A132:D132"/>
    <mergeCell ref="B133:B134"/>
    <mergeCell ref="B136:B138"/>
    <mergeCell ref="B140:B143"/>
    <mergeCell ref="B145:B147"/>
    <mergeCell ref="B149:B150"/>
    <mergeCell ref="B152:B154"/>
    <mergeCell ref="B156:B160"/>
    <mergeCell ref="A165:Y165"/>
    <mergeCell ref="A169:E169"/>
    <mergeCell ref="B171:B175"/>
    <mergeCell ref="G170:L170"/>
    <mergeCell ref="C70:C71"/>
    <mergeCell ref="C73:C77"/>
    <mergeCell ref="C41:C45"/>
    <mergeCell ref="B46:F46"/>
    <mergeCell ref="C47:C49"/>
    <mergeCell ref="B50:E50"/>
    <mergeCell ref="C51:C52"/>
    <mergeCell ref="B53:F53"/>
    <mergeCell ref="B57:E57"/>
    <mergeCell ref="B62:F62"/>
    <mergeCell ref="B66:E66"/>
    <mergeCell ref="B69:F69"/>
    <mergeCell ref="B72:F72"/>
    <mergeCell ref="B31:E31"/>
    <mergeCell ref="C32:C36"/>
    <mergeCell ref="B37:F37"/>
    <mergeCell ref="C38:C39"/>
    <mergeCell ref="B40:E40"/>
    <mergeCell ref="C54:C56"/>
    <mergeCell ref="C58:C61"/>
    <mergeCell ref="C63:C65"/>
    <mergeCell ref="C67:C68"/>
    <mergeCell ref="H26:J26"/>
    <mergeCell ref="K26:M26"/>
    <mergeCell ref="B5:G5"/>
    <mergeCell ref="I6:L6"/>
    <mergeCell ref="B7:G7"/>
    <mergeCell ref="I7:L7"/>
    <mergeCell ref="I11:L11"/>
    <mergeCell ref="B12:G12"/>
    <mergeCell ref="H25:M25"/>
    <mergeCell ref="B24:E24"/>
    <mergeCell ref="C26:C30"/>
  </mergeCell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L1000"/>
  <sheetViews>
    <sheetView workbookViewId="0"/>
  </sheetViews>
  <sheetFormatPr baseColWidth="10" defaultColWidth="12.625" defaultRowHeight="15" customHeight="1" x14ac:dyDescent="0.2"/>
  <cols>
    <col min="1" max="26" width="10" customWidth="1"/>
  </cols>
  <sheetData>
    <row r="1" spans="2:12" x14ac:dyDescent="0.25">
      <c r="G1" s="123"/>
    </row>
    <row r="3" spans="2:12" x14ac:dyDescent="0.25">
      <c r="B3" s="28" t="s">
        <v>785</v>
      </c>
      <c r="C3" s="28"/>
      <c r="D3" s="28"/>
      <c r="E3" s="28"/>
      <c r="F3" s="28"/>
      <c r="G3" s="28"/>
      <c r="H3" s="28"/>
      <c r="I3" s="28"/>
      <c r="J3" s="28"/>
      <c r="K3" s="28"/>
      <c r="L3" s="28"/>
    </row>
    <row r="4" spans="2:12" x14ac:dyDescent="0.25">
      <c r="B4" s="28"/>
      <c r="C4" s="23"/>
      <c r="D4" s="23"/>
      <c r="E4" s="23"/>
      <c r="F4" s="23"/>
      <c r="G4" s="23"/>
      <c r="H4" s="28"/>
      <c r="I4" s="28"/>
      <c r="J4" s="28"/>
      <c r="K4" s="28"/>
      <c r="L4" s="28"/>
    </row>
    <row r="5" spans="2:12" x14ac:dyDescent="0.25">
      <c r="B5" s="332" t="s">
        <v>787</v>
      </c>
      <c r="C5" s="297"/>
      <c r="D5" s="297"/>
      <c r="E5" s="297"/>
      <c r="F5" s="297"/>
      <c r="G5" s="298"/>
    </row>
    <row r="6" spans="2:12" ht="36" x14ac:dyDescent="0.2">
      <c r="B6" s="4" t="s">
        <v>0</v>
      </c>
      <c r="C6" s="5" t="s">
        <v>1</v>
      </c>
      <c r="D6" s="5" t="s">
        <v>42</v>
      </c>
      <c r="E6" s="5" t="s">
        <v>43</v>
      </c>
      <c r="F6" s="5" t="s">
        <v>44</v>
      </c>
      <c r="G6" s="7" t="s">
        <v>206</v>
      </c>
      <c r="I6" s="296" t="s">
        <v>45</v>
      </c>
      <c r="J6" s="297"/>
      <c r="K6" s="297"/>
      <c r="L6" s="298"/>
    </row>
    <row r="7" spans="2:12" ht="14.25" x14ac:dyDescent="0.2">
      <c r="B7" s="310" t="s">
        <v>275</v>
      </c>
      <c r="C7" s="297"/>
      <c r="D7" s="297"/>
      <c r="E7" s="297"/>
      <c r="F7" s="297"/>
      <c r="G7" s="298"/>
      <c r="I7" s="305" t="s">
        <v>275</v>
      </c>
      <c r="J7" s="297"/>
      <c r="K7" s="297"/>
      <c r="L7" s="298"/>
    </row>
    <row r="8" spans="2:12" ht="14.25" x14ac:dyDescent="0.2">
      <c r="B8" s="9" t="s">
        <v>11</v>
      </c>
      <c r="C8" s="12" t="s">
        <v>12</v>
      </c>
      <c r="D8" s="17">
        <v>600</v>
      </c>
      <c r="E8" s="22">
        <v>600</v>
      </c>
      <c r="F8" s="11">
        <v>730</v>
      </c>
      <c r="G8" s="110"/>
      <c r="I8" s="12"/>
      <c r="J8" s="12" t="s">
        <v>52</v>
      </c>
      <c r="K8" s="12" t="s">
        <v>53</v>
      </c>
      <c r="L8" s="12"/>
    </row>
    <row r="9" spans="2:12" ht="14.25" x14ac:dyDescent="0.2">
      <c r="B9" s="9" t="s">
        <v>11</v>
      </c>
      <c r="C9" s="12" t="s">
        <v>18</v>
      </c>
      <c r="D9" s="17">
        <v>0</v>
      </c>
      <c r="E9" s="22">
        <v>0</v>
      </c>
      <c r="F9" s="11">
        <v>0</v>
      </c>
      <c r="G9" s="110"/>
      <c r="I9" s="12" t="s">
        <v>12</v>
      </c>
      <c r="J9" s="17">
        <v>600</v>
      </c>
      <c r="K9" s="11">
        <v>730</v>
      </c>
      <c r="L9" s="17" t="s">
        <v>796</v>
      </c>
    </row>
    <row r="10" spans="2:12" ht="25.5" x14ac:dyDescent="0.2">
      <c r="B10" s="9" t="s">
        <v>21</v>
      </c>
      <c r="C10" s="12" t="s">
        <v>59</v>
      </c>
      <c r="D10" s="17">
        <v>440</v>
      </c>
      <c r="E10" s="22">
        <v>399</v>
      </c>
      <c r="F10" s="11">
        <v>437</v>
      </c>
      <c r="G10" s="110"/>
      <c r="I10" s="12" t="s">
        <v>18</v>
      </c>
      <c r="J10" s="17"/>
      <c r="K10" s="11">
        <v>0</v>
      </c>
      <c r="L10" s="17" t="s">
        <v>798</v>
      </c>
    </row>
    <row r="11" spans="2:12" ht="25.5" x14ac:dyDescent="0.2">
      <c r="B11" s="9" t="s">
        <v>21</v>
      </c>
      <c r="C11" s="12" t="s">
        <v>63</v>
      </c>
      <c r="D11" s="17">
        <v>160</v>
      </c>
      <c r="E11" s="22"/>
      <c r="F11" s="11"/>
      <c r="G11" s="110"/>
      <c r="I11" s="305" t="s">
        <v>313</v>
      </c>
      <c r="J11" s="297"/>
      <c r="K11" s="297"/>
      <c r="L11" s="298"/>
    </row>
    <row r="12" spans="2:12" ht="14.25" x14ac:dyDescent="0.2">
      <c r="B12" s="310" t="s">
        <v>313</v>
      </c>
      <c r="C12" s="297"/>
      <c r="D12" s="297"/>
      <c r="E12" s="297"/>
      <c r="F12" s="297"/>
      <c r="G12" s="298"/>
      <c r="I12" s="12" t="s">
        <v>12</v>
      </c>
      <c r="J12" s="17">
        <v>580</v>
      </c>
      <c r="K12" s="11">
        <v>710</v>
      </c>
      <c r="L12" s="17" t="s">
        <v>805</v>
      </c>
    </row>
    <row r="13" spans="2:12" ht="14.25" x14ac:dyDescent="0.2">
      <c r="B13" s="9" t="s">
        <v>11</v>
      </c>
      <c r="C13" s="12" t="s">
        <v>12</v>
      </c>
      <c r="D13" s="17">
        <v>580</v>
      </c>
      <c r="E13" s="22">
        <v>580</v>
      </c>
      <c r="F13" s="22">
        <v>710</v>
      </c>
      <c r="G13" s="110"/>
      <c r="I13" s="12" t="s">
        <v>18</v>
      </c>
      <c r="J13" s="17"/>
      <c r="K13" s="11">
        <v>0</v>
      </c>
      <c r="L13" s="17" t="s">
        <v>808</v>
      </c>
    </row>
    <row r="14" spans="2:12" ht="14.25" x14ac:dyDescent="0.2">
      <c r="B14" s="9" t="s">
        <v>11</v>
      </c>
      <c r="C14" s="12" t="s">
        <v>18</v>
      </c>
      <c r="D14" s="17">
        <v>0</v>
      </c>
      <c r="E14" s="22">
        <v>0</v>
      </c>
      <c r="F14" s="22">
        <v>0</v>
      </c>
      <c r="G14" s="110"/>
    </row>
    <row r="15" spans="2:12" ht="25.5" x14ac:dyDescent="0.2">
      <c r="B15" s="9" t="s">
        <v>21</v>
      </c>
      <c r="C15" s="12" t="s">
        <v>59</v>
      </c>
      <c r="D15" s="17">
        <v>430</v>
      </c>
      <c r="E15" s="22">
        <v>350</v>
      </c>
      <c r="F15" s="22">
        <v>430</v>
      </c>
      <c r="G15" s="110"/>
    </row>
    <row r="16" spans="2:12" ht="25.5" x14ac:dyDescent="0.2">
      <c r="B16" s="9" t="s">
        <v>21</v>
      </c>
      <c r="C16" s="12" t="s">
        <v>63</v>
      </c>
      <c r="D16" s="17">
        <v>150</v>
      </c>
      <c r="E16" s="22"/>
      <c r="F16" s="22">
        <v>155</v>
      </c>
      <c r="G16" s="110"/>
    </row>
    <row r="17" spans="2:12" x14ac:dyDescent="0.25">
      <c r="C17" s="2"/>
      <c r="D17" s="1"/>
      <c r="L17" s="21" t="s">
        <v>661</v>
      </c>
    </row>
    <row r="18" spans="2:12" x14ac:dyDescent="0.2">
      <c r="C18" s="2"/>
      <c r="D18" s="2"/>
    </row>
    <row r="21" spans="2:12" ht="15.75" customHeight="1" x14ac:dyDescent="0.2"/>
    <row r="22" spans="2:12" ht="15.75" customHeight="1" x14ac:dyDescent="0.2"/>
    <row r="23" spans="2:12" ht="15.75" customHeight="1" x14ac:dyDescent="0.2"/>
    <row r="24" spans="2:12" ht="15.75" customHeight="1" x14ac:dyDescent="0.2"/>
    <row r="25" spans="2:12" ht="15.75" customHeight="1" x14ac:dyDescent="0.25">
      <c r="G25" s="123"/>
    </row>
    <row r="26" spans="2:12" ht="15.75" customHeight="1" x14ac:dyDescent="0.2"/>
    <row r="27" spans="2:12" ht="15.75" customHeight="1" x14ac:dyDescent="0.25">
      <c r="B27" s="28" t="s">
        <v>785</v>
      </c>
      <c r="C27" s="28"/>
      <c r="D27" s="28"/>
      <c r="E27" s="28"/>
      <c r="F27" s="28"/>
      <c r="G27" s="28"/>
      <c r="H27" s="28"/>
      <c r="I27" s="28"/>
      <c r="J27" s="28"/>
      <c r="K27" s="28"/>
      <c r="L27" s="28"/>
    </row>
    <row r="28" spans="2:12" ht="15.75" customHeight="1" x14ac:dyDescent="0.25">
      <c r="B28" s="28"/>
      <c r="C28" s="23"/>
      <c r="D28" s="23"/>
      <c r="E28" s="23"/>
      <c r="F28" s="23"/>
      <c r="G28" s="23"/>
      <c r="H28" s="28"/>
      <c r="I28" s="28"/>
      <c r="J28" s="28"/>
      <c r="K28" s="28"/>
      <c r="L28" s="28"/>
    </row>
    <row r="29" spans="2:12" ht="15.75" customHeight="1" x14ac:dyDescent="0.25">
      <c r="B29" s="332" t="s">
        <v>809</v>
      </c>
      <c r="C29" s="297"/>
      <c r="D29" s="297"/>
      <c r="E29" s="297"/>
      <c r="F29" s="297"/>
      <c r="G29" s="298"/>
    </row>
    <row r="30" spans="2:12" ht="15.75" customHeight="1" x14ac:dyDescent="0.2">
      <c r="B30" s="4" t="s">
        <v>0</v>
      </c>
      <c r="C30" s="5" t="s">
        <v>1</v>
      </c>
      <c r="D30" s="5" t="s">
        <v>42</v>
      </c>
      <c r="E30" s="5" t="s">
        <v>43</v>
      </c>
      <c r="F30" s="5" t="s">
        <v>44</v>
      </c>
      <c r="G30" s="7" t="s">
        <v>206</v>
      </c>
      <c r="I30" s="296" t="s">
        <v>45</v>
      </c>
      <c r="J30" s="297"/>
      <c r="K30" s="297"/>
      <c r="L30" s="298"/>
    </row>
    <row r="31" spans="2:12" ht="15.75" customHeight="1" x14ac:dyDescent="0.2">
      <c r="B31" s="310" t="s">
        <v>275</v>
      </c>
      <c r="C31" s="297"/>
      <c r="D31" s="297"/>
      <c r="E31" s="297"/>
      <c r="F31" s="297"/>
      <c r="G31" s="298"/>
      <c r="I31" s="305" t="s">
        <v>275</v>
      </c>
      <c r="J31" s="297"/>
      <c r="K31" s="297"/>
      <c r="L31" s="298"/>
    </row>
    <row r="32" spans="2:12" ht="15.75" customHeight="1" x14ac:dyDescent="0.2">
      <c r="B32" s="9" t="s">
        <v>11</v>
      </c>
      <c r="C32" s="12" t="s">
        <v>12</v>
      </c>
      <c r="D32" s="17">
        <v>730</v>
      </c>
      <c r="E32" s="22">
        <v>730</v>
      </c>
      <c r="F32" s="11">
        <v>580</v>
      </c>
      <c r="G32" s="110"/>
      <c r="I32" s="12"/>
      <c r="J32" s="12" t="s">
        <v>52</v>
      </c>
      <c r="K32" s="12" t="s">
        <v>53</v>
      </c>
      <c r="L32" s="12"/>
    </row>
    <row r="33" spans="2:12" ht="15.75" customHeight="1" x14ac:dyDescent="0.2">
      <c r="B33" s="9" t="s">
        <v>11</v>
      </c>
      <c r="C33" s="12" t="s">
        <v>18</v>
      </c>
      <c r="D33" s="17">
        <v>0</v>
      </c>
      <c r="E33" s="22">
        <v>0</v>
      </c>
      <c r="F33" s="11">
        <v>0</v>
      </c>
      <c r="G33" s="110"/>
      <c r="I33" s="12" t="s">
        <v>12</v>
      </c>
      <c r="J33" s="17">
        <v>730</v>
      </c>
      <c r="K33" s="11">
        <v>580</v>
      </c>
      <c r="L33" s="17" t="s">
        <v>810</v>
      </c>
    </row>
    <row r="34" spans="2:12" ht="15.75" customHeight="1" x14ac:dyDescent="0.25">
      <c r="B34" s="9" t="s">
        <v>21</v>
      </c>
      <c r="C34" s="12" t="s">
        <v>59</v>
      </c>
      <c r="D34" s="17">
        <v>440</v>
      </c>
      <c r="E34" s="208" t="s">
        <v>811</v>
      </c>
      <c r="F34" s="11">
        <v>437</v>
      </c>
      <c r="G34" s="110"/>
      <c r="I34" s="12" t="s">
        <v>18</v>
      </c>
      <c r="J34" s="17"/>
      <c r="K34" s="11">
        <v>0</v>
      </c>
      <c r="L34" s="17" t="s">
        <v>812</v>
      </c>
    </row>
    <row r="35" spans="2:12" ht="15.75" customHeight="1" x14ac:dyDescent="0.25">
      <c r="B35" s="9" t="s">
        <v>21</v>
      </c>
      <c r="C35" s="12" t="s">
        <v>63</v>
      </c>
      <c r="D35" s="17">
        <v>160</v>
      </c>
      <c r="E35" s="209" t="s">
        <v>811</v>
      </c>
      <c r="F35" s="11">
        <v>159</v>
      </c>
      <c r="G35" s="110"/>
      <c r="I35" s="305" t="s">
        <v>313</v>
      </c>
      <c r="J35" s="297"/>
      <c r="K35" s="297"/>
      <c r="L35" s="298"/>
    </row>
    <row r="36" spans="2:12" ht="15.75" customHeight="1" x14ac:dyDescent="0.2">
      <c r="B36" s="310" t="s">
        <v>313</v>
      </c>
      <c r="C36" s="297"/>
      <c r="D36" s="297"/>
      <c r="E36" s="297"/>
      <c r="F36" s="297"/>
      <c r="G36" s="298"/>
      <c r="I36" s="12" t="s">
        <v>12</v>
      </c>
      <c r="J36" s="17">
        <v>710</v>
      </c>
      <c r="K36" s="11">
        <v>550</v>
      </c>
      <c r="L36" s="17" t="s">
        <v>814</v>
      </c>
    </row>
    <row r="37" spans="2:12" ht="15.75" customHeight="1" x14ac:dyDescent="0.2">
      <c r="B37" s="9" t="s">
        <v>11</v>
      </c>
      <c r="C37" s="12" t="s">
        <v>12</v>
      </c>
      <c r="D37" s="17">
        <v>710</v>
      </c>
      <c r="E37" s="22">
        <v>710</v>
      </c>
      <c r="F37" s="22">
        <v>550</v>
      </c>
      <c r="G37" s="110"/>
      <c r="I37" s="12" t="s">
        <v>18</v>
      </c>
      <c r="J37" s="17"/>
      <c r="K37" s="11">
        <v>0</v>
      </c>
      <c r="L37" s="17" t="s">
        <v>815</v>
      </c>
    </row>
    <row r="38" spans="2:12" ht="15.75" customHeight="1" x14ac:dyDescent="0.2">
      <c r="B38" s="9" t="s">
        <v>11</v>
      </c>
      <c r="C38" s="12" t="s">
        <v>18</v>
      </c>
      <c r="D38" s="17">
        <v>0</v>
      </c>
      <c r="E38" s="22">
        <v>0</v>
      </c>
      <c r="F38" s="22">
        <v>0</v>
      </c>
      <c r="G38" s="110"/>
    </row>
    <row r="39" spans="2:12" ht="15.75" customHeight="1" x14ac:dyDescent="0.25">
      <c r="B39" s="9" t="s">
        <v>21</v>
      </c>
      <c r="C39" s="12" t="s">
        <v>59</v>
      </c>
      <c r="D39" s="17">
        <v>430</v>
      </c>
      <c r="E39" s="208" t="s">
        <v>811</v>
      </c>
      <c r="F39" s="22">
        <v>427</v>
      </c>
      <c r="G39" s="110"/>
    </row>
    <row r="40" spans="2:12" ht="15.75" customHeight="1" x14ac:dyDescent="0.25">
      <c r="B40" s="9" t="s">
        <v>21</v>
      </c>
      <c r="C40" s="12" t="s">
        <v>63</v>
      </c>
      <c r="D40" s="17">
        <v>150</v>
      </c>
      <c r="E40" s="208" t="s">
        <v>811</v>
      </c>
      <c r="F40" s="22">
        <v>148</v>
      </c>
      <c r="G40" s="110"/>
    </row>
    <row r="41" spans="2:12" ht="15.75" customHeight="1" x14ac:dyDescent="0.25">
      <c r="C41" s="2"/>
      <c r="D41" s="1"/>
      <c r="L41" s="21" t="s">
        <v>661</v>
      </c>
    </row>
    <row r="42" spans="2:12" ht="15.75" customHeight="1" x14ac:dyDescent="0.2">
      <c r="C42" s="2"/>
      <c r="D42" s="2"/>
    </row>
    <row r="43" spans="2:12" ht="15.75" customHeight="1" x14ac:dyDescent="0.2"/>
    <row r="44" spans="2:12" ht="15.75" customHeight="1" x14ac:dyDescent="0.25">
      <c r="B44" s="28" t="s">
        <v>785</v>
      </c>
      <c r="C44" s="28"/>
      <c r="D44" s="28"/>
      <c r="E44" s="28"/>
      <c r="F44" s="28"/>
      <c r="G44" s="28"/>
      <c r="H44" s="28"/>
      <c r="I44" s="28"/>
      <c r="J44" s="28"/>
      <c r="K44" s="28"/>
      <c r="L44" s="28"/>
    </row>
    <row r="45" spans="2:12" ht="15.75" customHeight="1" x14ac:dyDescent="0.25">
      <c r="B45" s="28"/>
      <c r="C45" s="23"/>
      <c r="D45" s="23"/>
      <c r="E45" s="23"/>
      <c r="F45" s="23"/>
      <c r="G45" s="23"/>
      <c r="H45" s="28"/>
      <c r="I45" s="28"/>
      <c r="J45" s="28"/>
      <c r="K45" s="28"/>
      <c r="L45" s="28"/>
    </row>
    <row r="46" spans="2:12" ht="15.75" customHeight="1" x14ac:dyDescent="0.25">
      <c r="B46" s="332" t="s">
        <v>818</v>
      </c>
      <c r="C46" s="297"/>
      <c r="D46" s="297"/>
      <c r="E46" s="297"/>
      <c r="F46" s="297"/>
      <c r="G46" s="298"/>
    </row>
    <row r="47" spans="2:12" ht="15.75" customHeight="1" x14ac:dyDescent="0.2">
      <c r="B47" s="4" t="s">
        <v>0</v>
      </c>
      <c r="C47" s="5" t="s">
        <v>1</v>
      </c>
      <c r="D47" s="5" t="s">
        <v>42</v>
      </c>
      <c r="E47" s="5" t="s">
        <v>43</v>
      </c>
      <c r="F47" s="5" t="s">
        <v>44</v>
      </c>
      <c r="G47" s="7" t="s">
        <v>206</v>
      </c>
      <c r="I47" s="296" t="s">
        <v>45</v>
      </c>
      <c r="J47" s="297"/>
      <c r="K47" s="297"/>
      <c r="L47" s="298"/>
    </row>
    <row r="48" spans="2:12" ht="15.75" customHeight="1" x14ac:dyDescent="0.2">
      <c r="B48" s="310" t="s">
        <v>275</v>
      </c>
      <c r="C48" s="297"/>
      <c r="D48" s="297"/>
      <c r="E48" s="297"/>
      <c r="F48" s="297"/>
      <c r="G48" s="298"/>
      <c r="I48" s="305" t="s">
        <v>275</v>
      </c>
      <c r="J48" s="297"/>
      <c r="K48" s="297"/>
      <c r="L48" s="298"/>
    </row>
    <row r="49" spans="2:12" ht="15.75" customHeight="1" x14ac:dyDescent="0.2">
      <c r="B49" s="9" t="s">
        <v>11</v>
      </c>
      <c r="C49" s="12" t="s">
        <v>12</v>
      </c>
      <c r="D49" s="17"/>
      <c r="E49" s="22">
        <v>580</v>
      </c>
      <c r="F49" s="11">
        <v>625</v>
      </c>
      <c r="G49" s="110"/>
      <c r="I49" s="12"/>
      <c r="J49" s="12" t="s">
        <v>52</v>
      </c>
      <c r="K49" s="12" t="s">
        <v>53</v>
      </c>
      <c r="L49" s="12"/>
    </row>
    <row r="50" spans="2:12" ht="15.75" customHeight="1" x14ac:dyDescent="0.2">
      <c r="B50" s="9" t="s">
        <v>11</v>
      </c>
      <c r="C50" s="12" t="s">
        <v>18</v>
      </c>
      <c r="D50" s="17">
        <v>0</v>
      </c>
      <c r="E50" s="22">
        <v>0</v>
      </c>
      <c r="F50" s="11">
        <v>0</v>
      </c>
      <c r="G50" s="110"/>
      <c r="I50" s="12" t="s">
        <v>12</v>
      </c>
      <c r="J50" s="17">
        <v>580</v>
      </c>
      <c r="K50" s="11">
        <v>625</v>
      </c>
      <c r="L50" s="17" t="s">
        <v>825</v>
      </c>
    </row>
    <row r="51" spans="2:12" ht="15.75" customHeight="1" x14ac:dyDescent="0.2">
      <c r="B51" s="9" t="s">
        <v>21</v>
      </c>
      <c r="C51" s="12" t="s">
        <v>59</v>
      </c>
      <c r="D51" s="17">
        <v>440</v>
      </c>
      <c r="E51" s="210">
        <v>394</v>
      </c>
      <c r="F51" s="11">
        <v>437</v>
      </c>
      <c r="G51" s="110"/>
      <c r="I51" s="12" t="s">
        <v>18</v>
      </c>
      <c r="J51" s="17"/>
      <c r="K51" s="11">
        <v>0</v>
      </c>
      <c r="L51" s="17" t="s">
        <v>826</v>
      </c>
    </row>
    <row r="52" spans="2:12" ht="15.75" customHeight="1" x14ac:dyDescent="0.2">
      <c r="B52" s="9" t="s">
        <v>21</v>
      </c>
      <c r="C52" s="12" t="s">
        <v>63</v>
      </c>
      <c r="D52" s="17">
        <v>160</v>
      </c>
      <c r="E52" s="211">
        <v>133</v>
      </c>
      <c r="F52" s="11">
        <v>159</v>
      </c>
      <c r="G52" s="110"/>
      <c r="I52" s="305" t="s">
        <v>313</v>
      </c>
      <c r="J52" s="297"/>
      <c r="K52" s="297"/>
      <c r="L52" s="298"/>
    </row>
    <row r="53" spans="2:12" ht="15.75" customHeight="1" x14ac:dyDescent="0.2">
      <c r="B53" s="310" t="s">
        <v>313</v>
      </c>
      <c r="C53" s="297"/>
      <c r="D53" s="297"/>
      <c r="E53" s="297"/>
      <c r="F53" s="297"/>
      <c r="G53" s="298"/>
      <c r="I53" s="12" t="s">
        <v>12</v>
      </c>
      <c r="J53" s="17">
        <v>550</v>
      </c>
      <c r="K53" s="11">
        <v>590</v>
      </c>
      <c r="L53" s="17" t="s">
        <v>827</v>
      </c>
    </row>
    <row r="54" spans="2:12" ht="15.75" customHeight="1" x14ac:dyDescent="0.2">
      <c r="B54" s="9" t="s">
        <v>11</v>
      </c>
      <c r="C54" s="12" t="s">
        <v>12</v>
      </c>
      <c r="D54" s="17"/>
      <c r="E54" s="22">
        <v>550</v>
      </c>
      <c r="F54" s="22">
        <v>590</v>
      </c>
      <c r="G54" s="110"/>
      <c r="I54" s="12" t="s">
        <v>18</v>
      </c>
      <c r="J54" s="17"/>
      <c r="K54" s="11">
        <v>0</v>
      </c>
      <c r="L54" s="17" t="s">
        <v>828</v>
      </c>
    </row>
    <row r="55" spans="2:12" ht="15.75" customHeight="1" x14ac:dyDescent="0.2">
      <c r="B55" s="9" t="s">
        <v>11</v>
      </c>
      <c r="C55" s="12" t="s">
        <v>18</v>
      </c>
      <c r="D55" s="17">
        <v>0</v>
      </c>
      <c r="E55" s="22">
        <v>0</v>
      </c>
      <c r="F55" s="22">
        <v>0</v>
      </c>
      <c r="G55" s="110"/>
    </row>
    <row r="56" spans="2:12" ht="15.75" customHeight="1" x14ac:dyDescent="0.2">
      <c r="B56" s="9" t="s">
        <v>21</v>
      </c>
      <c r="C56" s="12" t="s">
        <v>59</v>
      </c>
      <c r="D56" s="17">
        <v>430</v>
      </c>
      <c r="E56" s="210">
        <v>373</v>
      </c>
      <c r="F56" s="22">
        <v>415</v>
      </c>
      <c r="G56" s="110"/>
    </row>
    <row r="57" spans="2:12" ht="15.75" customHeight="1" x14ac:dyDescent="0.2">
      <c r="B57" s="9" t="s">
        <v>21</v>
      </c>
      <c r="C57" s="12" t="s">
        <v>63</v>
      </c>
      <c r="D57" s="17">
        <v>150</v>
      </c>
      <c r="E57" s="210">
        <v>117</v>
      </c>
      <c r="F57" s="22">
        <v>143</v>
      </c>
      <c r="G57" s="110"/>
    </row>
    <row r="58" spans="2:12" ht="15.75" customHeight="1" x14ac:dyDescent="0.25">
      <c r="C58" s="2"/>
      <c r="D58" s="1"/>
      <c r="L58" s="21" t="s">
        <v>661</v>
      </c>
    </row>
    <row r="59" spans="2:12" ht="15.75" customHeight="1" x14ac:dyDescent="0.2"/>
    <row r="60" spans="2:12" ht="15.75" customHeight="1" x14ac:dyDescent="0.2"/>
    <row r="61" spans="2:12" ht="15.75" customHeight="1" x14ac:dyDescent="0.2"/>
    <row r="62" spans="2:12" ht="15.75" customHeight="1" x14ac:dyDescent="0.2"/>
    <row r="63" spans="2:12" ht="15.75" customHeight="1" x14ac:dyDescent="0.2"/>
    <row r="64" spans="2: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8">
    <mergeCell ref="B12:G12"/>
    <mergeCell ref="I30:L30"/>
    <mergeCell ref="B5:G5"/>
    <mergeCell ref="I6:L6"/>
    <mergeCell ref="B7:G7"/>
    <mergeCell ref="I7:L7"/>
    <mergeCell ref="I11:L11"/>
    <mergeCell ref="B29:G29"/>
    <mergeCell ref="B53:G53"/>
    <mergeCell ref="I31:L31"/>
    <mergeCell ref="I35:L35"/>
    <mergeCell ref="I47:L47"/>
    <mergeCell ref="I48:L48"/>
    <mergeCell ref="I52:L52"/>
    <mergeCell ref="B31:G31"/>
    <mergeCell ref="B36:G36"/>
    <mergeCell ref="B46:G46"/>
    <mergeCell ref="B48:G48"/>
  </mergeCells>
  <pageMargins left="0.7" right="0.7" top="0.75" bottom="0.75" header="0" footer="0"/>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M1000"/>
  <sheetViews>
    <sheetView workbookViewId="0"/>
  </sheetViews>
  <sheetFormatPr baseColWidth="10" defaultColWidth="12.625" defaultRowHeight="15" customHeight="1" x14ac:dyDescent="0.2"/>
  <cols>
    <col min="1" max="5" width="10" customWidth="1"/>
    <col min="6" max="6" width="11" customWidth="1"/>
    <col min="7" max="26" width="10" customWidth="1"/>
  </cols>
  <sheetData>
    <row r="2" spans="1:13" x14ac:dyDescent="0.25">
      <c r="B2" s="28" t="s">
        <v>829</v>
      </c>
      <c r="C2" s="28"/>
      <c r="D2" s="28"/>
      <c r="E2" s="28"/>
      <c r="F2" s="28"/>
      <c r="G2" s="28"/>
      <c r="H2" s="28"/>
      <c r="I2" s="28"/>
      <c r="J2" s="28"/>
      <c r="K2" s="28"/>
      <c r="L2" s="28"/>
    </row>
    <row r="3" spans="1:13" x14ac:dyDescent="0.25">
      <c r="B3" s="28"/>
      <c r="C3" s="23"/>
      <c r="D3" s="23"/>
      <c r="E3" s="23"/>
      <c r="F3" s="23"/>
      <c r="G3" s="23"/>
      <c r="H3" s="28"/>
      <c r="I3" s="28"/>
      <c r="J3" s="28"/>
      <c r="K3" s="28"/>
      <c r="L3" s="28"/>
    </row>
    <row r="4" spans="1:13" x14ac:dyDescent="0.25">
      <c r="B4" s="332" t="s">
        <v>830</v>
      </c>
      <c r="C4" s="297"/>
      <c r="D4" s="297"/>
      <c r="E4" s="297"/>
      <c r="F4" s="297"/>
      <c r="G4" s="298"/>
    </row>
    <row r="5" spans="1:13" ht="24" x14ac:dyDescent="0.2">
      <c r="B5" s="4" t="s">
        <v>0</v>
      </c>
      <c r="C5" s="5" t="s">
        <v>1</v>
      </c>
      <c r="D5" s="5" t="s">
        <v>42</v>
      </c>
      <c r="E5" s="5" t="s">
        <v>43</v>
      </c>
      <c r="F5" s="5" t="s">
        <v>44</v>
      </c>
      <c r="G5" s="7" t="s">
        <v>206</v>
      </c>
      <c r="I5" s="296" t="s">
        <v>45</v>
      </c>
      <c r="J5" s="297"/>
      <c r="K5" s="297"/>
      <c r="L5" s="298"/>
    </row>
    <row r="6" spans="1:13" ht="14.25" x14ac:dyDescent="0.2">
      <c r="B6" s="310" t="s">
        <v>275</v>
      </c>
      <c r="C6" s="297"/>
      <c r="D6" s="297"/>
      <c r="E6" s="297"/>
      <c r="F6" s="297"/>
      <c r="G6" s="298"/>
      <c r="I6" s="305" t="s">
        <v>275</v>
      </c>
      <c r="J6" s="297"/>
      <c r="K6" s="297"/>
      <c r="L6" s="298"/>
    </row>
    <row r="7" spans="1:13" ht="14.25" x14ac:dyDescent="0.2">
      <c r="B7" s="9" t="s">
        <v>11</v>
      </c>
      <c r="C7" s="12" t="s">
        <v>12</v>
      </c>
      <c r="D7" s="17">
        <v>754</v>
      </c>
      <c r="E7" s="22">
        <v>756</v>
      </c>
      <c r="F7" s="11">
        <v>740</v>
      </c>
      <c r="G7" s="110">
        <f>((E7-F7)/E7)</f>
        <v>2.1164021164021163E-2</v>
      </c>
      <c r="I7" s="12"/>
      <c r="J7" s="12" t="s">
        <v>52</v>
      </c>
      <c r="K7" s="12" t="s">
        <v>53</v>
      </c>
      <c r="L7" s="12"/>
    </row>
    <row r="8" spans="1:13" ht="14.25" x14ac:dyDescent="0.2">
      <c r="B8" s="9" t="s">
        <v>11</v>
      </c>
      <c r="C8" s="12" t="s">
        <v>18</v>
      </c>
      <c r="D8" s="17">
        <v>0</v>
      </c>
      <c r="E8" s="22">
        <v>0</v>
      </c>
      <c r="F8" s="11">
        <v>0</v>
      </c>
      <c r="G8" s="110">
        <v>0</v>
      </c>
      <c r="I8" s="12" t="s">
        <v>12</v>
      </c>
      <c r="J8" s="17">
        <v>754</v>
      </c>
      <c r="K8" s="11">
        <v>740</v>
      </c>
      <c r="L8" s="17" t="s">
        <v>831</v>
      </c>
    </row>
    <row r="9" spans="1:13" ht="25.5" x14ac:dyDescent="0.2">
      <c r="B9" s="9" t="s">
        <v>21</v>
      </c>
      <c r="C9" s="12" t="s">
        <v>59</v>
      </c>
      <c r="D9" s="17">
        <v>440</v>
      </c>
      <c r="E9" s="22">
        <v>484</v>
      </c>
      <c r="F9" s="11">
        <v>450</v>
      </c>
      <c r="G9" s="110">
        <f t="shared" ref="G9:G10" si="0">((E9-F9)/E9)</f>
        <v>7.0247933884297523E-2</v>
      </c>
      <c r="I9" s="12" t="s">
        <v>18</v>
      </c>
      <c r="J9" s="24">
        <v>0</v>
      </c>
      <c r="K9" s="25">
        <v>0</v>
      </c>
      <c r="L9" s="24" t="s">
        <v>832</v>
      </c>
    </row>
    <row r="10" spans="1:13" ht="25.5" x14ac:dyDescent="0.2">
      <c r="B10" s="12" t="s">
        <v>21</v>
      </c>
      <c r="C10" s="12" t="s">
        <v>63</v>
      </c>
      <c r="D10" s="24">
        <v>160</v>
      </c>
      <c r="E10" s="26">
        <v>175</v>
      </c>
      <c r="F10" s="25">
        <v>165</v>
      </c>
      <c r="G10" s="148">
        <f t="shared" si="0"/>
        <v>5.7142857142857141E-2</v>
      </c>
      <c r="I10" s="330"/>
      <c r="J10" s="315"/>
      <c r="K10" s="315"/>
      <c r="L10" s="315"/>
    </row>
    <row r="11" spans="1:13" x14ac:dyDescent="0.25">
      <c r="A11" s="28"/>
      <c r="B11" s="329"/>
      <c r="C11" s="315"/>
      <c r="D11" s="315"/>
      <c r="E11" s="315"/>
      <c r="F11" s="315"/>
      <c r="G11" s="315"/>
      <c r="H11" s="28"/>
      <c r="I11" s="27"/>
      <c r="J11" s="27"/>
      <c r="K11" s="31"/>
      <c r="L11" s="27"/>
      <c r="M11" s="28"/>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B11:G11"/>
    <mergeCell ref="B4:G4"/>
    <mergeCell ref="I5:L5"/>
    <mergeCell ref="B6:G6"/>
    <mergeCell ref="I6:L6"/>
    <mergeCell ref="I10:L10"/>
  </mergeCell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5:M1000"/>
  <sheetViews>
    <sheetView workbookViewId="0"/>
  </sheetViews>
  <sheetFormatPr baseColWidth="10" defaultColWidth="12.625" defaultRowHeight="15" customHeight="1" x14ac:dyDescent="0.2"/>
  <cols>
    <col min="1" max="26" width="10" customWidth="1"/>
  </cols>
  <sheetData>
    <row r="5" spans="2:13" x14ac:dyDescent="0.25">
      <c r="B5" s="304" t="s">
        <v>834</v>
      </c>
      <c r="C5" s="297"/>
      <c r="D5" s="297"/>
      <c r="E5" s="297"/>
      <c r="F5" s="154"/>
      <c r="I5" s="3"/>
    </row>
    <row r="6" spans="2:13" ht="24" x14ac:dyDescent="0.2">
      <c r="B6" s="4" t="s">
        <v>0</v>
      </c>
      <c r="C6" s="5" t="s">
        <v>1</v>
      </c>
      <c r="D6" s="5" t="s">
        <v>2</v>
      </c>
      <c r="E6" s="5" t="s">
        <v>43</v>
      </c>
      <c r="F6" s="45" t="s">
        <v>125</v>
      </c>
      <c r="H6" s="296" t="s">
        <v>6</v>
      </c>
      <c r="I6" s="297"/>
      <c r="J6" s="297"/>
      <c r="K6" s="297"/>
      <c r="L6" s="297"/>
      <c r="M6" s="298"/>
    </row>
    <row r="7" spans="2:13" ht="14.25" x14ac:dyDescent="0.2">
      <c r="B7" s="9" t="s">
        <v>7</v>
      </c>
      <c r="C7" s="302" t="s">
        <v>9</v>
      </c>
      <c r="D7" s="11">
        <v>28.1</v>
      </c>
      <c r="E7" s="11">
        <v>15</v>
      </c>
      <c r="F7" s="11">
        <v>35</v>
      </c>
      <c r="H7" s="296" t="s">
        <v>106</v>
      </c>
      <c r="I7" s="297"/>
      <c r="J7" s="298"/>
      <c r="K7" s="296" t="s">
        <v>107</v>
      </c>
      <c r="L7" s="297"/>
      <c r="M7" s="298"/>
    </row>
    <row r="8" spans="2:13" ht="14.25" x14ac:dyDescent="0.2">
      <c r="B8" s="9" t="s">
        <v>17</v>
      </c>
      <c r="C8" s="300"/>
      <c r="D8" s="11">
        <v>63.911000000000001</v>
      </c>
      <c r="E8" s="11">
        <v>27</v>
      </c>
      <c r="F8" s="11">
        <v>51</v>
      </c>
      <c r="H8" s="13" t="s">
        <v>13</v>
      </c>
      <c r="I8" s="14">
        <v>680</v>
      </c>
      <c r="J8" s="17" t="s">
        <v>840</v>
      </c>
      <c r="K8" s="13" t="s">
        <v>13</v>
      </c>
      <c r="L8" s="14">
        <f>L10+L10*0.05</f>
        <v>644.70000000000005</v>
      </c>
      <c r="M8" s="17" t="s">
        <v>843</v>
      </c>
    </row>
    <row r="9" spans="2:13" ht="14.25" x14ac:dyDescent="0.2">
      <c r="B9" s="9" t="s">
        <v>26</v>
      </c>
      <c r="C9" s="300"/>
      <c r="D9" s="11">
        <v>69.921999999999997</v>
      </c>
      <c r="E9" s="11">
        <v>28</v>
      </c>
      <c r="F9" s="11">
        <v>51</v>
      </c>
      <c r="H9" s="13" t="s">
        <v>19</v>
      </c>
      <c r="I9" s="18">
        <v>616</v>
      </c>
      <c r="J9" s="17" t="s">
        <v>844</v>
      </c>
      <c r="K9" s="13" t="s">
        <v>19</v>
      </c>
      <c r="L9" s="18">
        <f>L10-L10*0.05</f>
        <v>583.29999999999995</v>
      </c>
      <c r="M9" s="17" t="s">
        <v>845</v>
      </c>
    </row>
    <row r="10" spans="2:13" ht="14.25" x14ac:dyDescent="0.2">
      <c r="B10" s="9" t="s">
        <v>32</v>
      </c>
      <c r="C10" s="300"/>
      <c r="D10" s="11">
        <v>96.744</v>
      </c>
      <c r="E10" s="11">
        <v>55</v>
      </c>
      <c r="F10" s="11">
        <v>96</v>
      </c>
      <c r="H10" s="13" t="s">
        <v>27</v>
      </c>
      <c r="I10" s="20">
        <v>648</v>
      </c>
      <c r="J10" s="17" t="s">
        <v>846</v>
      </c>
      <c r="K10" s="13" t="s">
        <v>27</v>
      </c>
      <c r="L10" s="20">
        <v>614</v>
      </c>
      <c r="M10" s="17" t="s">
        <v>847</v>
      </c>
    </row>
    <row r="11" spans="2:13" ht="14.25" x14ac:dyDescent="0.2">
      <c r="B11" s="9" t="s">
        <v>33</v>
      </c>
      <c r="C11" s="301"/>
      <c r="D11" s="11">
        <v>128.11000000000001</v>
      </c>
      <c r="E11" s="11">
        <v>112</v>
      </c>
      <c r="F11" s="11">
        <v>128</v>
      </c>
      <c r="H11" s="13" t="s">
        <v>121</v>
      </c>
      <c r="I11" s="20">
        <v>572</v>
      </c>
      <c r="J11" s="17" t="s">
        <v>848</v>
      </c>
      <c r="K11" s="13" t="s">
        <v>121</v>
      </c>
      <c r="L11" s="20">
        <v>627</v>
      </c>
      <c r="M11" s="17" t="s">
        <v>849</v>
      </c>
    </row>
    <row r="12" spans="2:13" x14ac:dyDescent="0.25">
      <c r="B12" s="296"/>
      <c r="C12" s="297"/>
      <c r="D12" s="297"/>
      <c r="E12" s="297"/>
      <c r="F12" s="11"/>
      <c r="I12" s="3"/>
    </row>
    <row r="13" spans="2:13" x14ac:dyDescent="0.25">
      <c r="B13" s="9" t="s">
        <v>35</v>
      </c>
      <c r="C13" s="302" t="s">
        <v>36</v>
      </c>
      <c r="D13" s="11">
        <v>207.78</v>
      </c>
      <c r="E13" s="11">
        <v>160</v>
      </c>
      <c r="F13" s="11">
        <v>210</v>
      </c>
      <c r="I13" s="3"/>
    </row>
    <row r="14" spans="2:13" x14ac:dyDescent="0.25">
      <c r="B14" s="9" t="s">
        <v>37</v>
      </c>
      <c r="C14" s="300"/>
      <c r="D14" s="11">
        <v>444.11</v>
      </c>
      <c r="E14" s="11">
        <v>190</v>
      </c>
      <c r="F14" s="11">
        <v>250</v>
      </c>
      <c r="G14" s="51">
        <v>214</v>
      </c>
      <c r="I14" s="3"/>
    </row>
    <row r="15" spans="2:13" x14ac:dyDescent="0.25">
      <c r="B15" s="9" t="s">
        <v>38</v>
      </c>
      <c r="C15" s="300"/>
      <c r="D15" s="11">
        <v>579.55999999999995</v>
      </c>
      <c r="E15" s="11">
        <v>267</v>
      </c>
      <c r="F15" s="11">
        <v>518</v>
      </c>
      <c r="I15" s="3"/>
    </row>
    <row r="16" spans="2:13" x14ac:dyDescent="0.25">
      <c r="B16" s="9" t="s">
        <v>39</v>
      </c>
      <c r="C16" s="300"/>
      <c r="D16" s="11">
        <v>746.22</v>
      </c>
      <c r="E16" s="11">
        <v>594</v>
      </c>
      <c r="F16" s="11">
        <v>660</v>
      </c>
      <c r="G16" s="51">
        <v>618</v>
      </c>
      <c r="I16" s="3"/>
    </row>
    <row r="17" spans="2:9" x14ac:dyDescent="0.25">
      <c r="B17" s="49" t="s">
        <v>41</v>
      </c>
      <c r="C17" s="300"/>
      <c r="D17" s="51">
        <v>869.5</v>
      </c>
      <c r="E17" s="51">
        <v>645</v>
      </c>
      <c r="F17" s="51">
        <v>710</v>
      </c>
      <c r="G17" s="51">
        <v>671</v>
      </c>
      <c r="I17" s="3"/>
    </row>
    <row r="18" spans="2:9" x14ac:dyDescent="0.25">
      <c r="B18" s="308"/>
      <c r="C18" s="297"/>
      <c r="D18" s="297"/>
      <c r="E18" s="297"/>
      <c r="F18" s="306"/>
      <c r="I18" s="3"/>
    </row>
    <row r="19" spans="2:9" x14ac:dyDescent="0.25">
      <c r="B19" s="9" t="s">
        <v>46</v>
      </c>
      <c r="C19" s="299" t="s">
        <v>47</v>
      </c>
      <c r="D19" s="11">
        <v>88.4</v>
      </c>
      <c r="E19" s="11">
        <v>77</v>
      </c>
      <c r="F19" s="11">
        <v>97</v>
      </c>
      <c r="I19" s="3"/>
    </row>
    <row r="20" spans="2:9" x14ac:dyDescent="0.25">
      <c r="B20" s="9" t="s">
        <v>48</v>
      </c>
      <c r="C20" s="300"/>
      <c r="D20" s="11">
        <v>94.6</v>
      </c>
      <c r="E20" s="11">
        <v>78</v>
      </c>
      <c r="F20" s="11">
        <v>98</v>
      </c>
      <c r="I20" s="3"/>
    </row>
    <row r="21" spans="2:9" ht="15.75" customHeight="1" x14ac:dyDescent="0.25">
      <c r="B21" s="296"/>
      <c r="C21" s="297"/>
      <c r="D21" s="297"/>
      <c r="E21" s="297"/>
      <c r="F21" s="11"/>
      <c r="I21" s="3"/>
    </row>
    <row r="22" spans="2:9" ht="15.75" customHeight="1" x14ac:dyDescent="0.25">
      <c r="B22" s="9" t="s">
        <v>50</v>
      </c>
      <c r="C22" s="302" t="s">
        <v>51</v>
      </c>
      <c r="D22" s="11">
        <v>271.44400000000002</v>
      </c>
      <c r="E22" s="11">
        <v>210</v>
      </c>
      <c r="F22" s="11">
        <v>271</v>
      </c>
      <c r="I22" s="3"/>
    </row>
    <row r="23" spans="2:9" ht="15.75" customHeight="1" x14ac:dyDescent="0.25">
      <c r="B23" s="9" t="s">
        <v>54</v>
      </c>
      <c r="C23" s="300"/>
      <c r="D23" s="11">
        <v>550.22199999999998</v>
      </c>
      <c r="E23" s="11">
        <v>230</v>
      </c>
      <c r="F23" s="11">
        <v>288</v>
      </c>
      <c r="I23" s="3"/>
    </row>
    <row r="24" spans="2:9" ht="15.75" customHeight="1" x14ac:dyDescent="0.25">
      <c r="B24" s="9" t="s">
        <v>55</v>
      </c>
      <c r="C24" s="300"/>
      <c r="D24" s="11">
        <v>609</v>
      </c>
      <c r="E24" s="11">
        <v>635</v>
      </c>
      <c r="F24" s="11">
        <v>680</v>
      </c>
      <c r="I24" s="3"/>
    </row>
    <row r="25" spans="2:9" ht="15.75" customHeight="1" x14ac:dyDescent="0.25">
      <c r="B25" s="9" t="s">
        <v>56</v>
      </c>
      <c r="C25" s="300"/>
      <c r="D25" s="11">
        <v>739.11099999999999</v>
      </c>
      <c r="E25" s="11">
        <v>676</v>
      </c>
      <c r="F25" s="11">
        <v>729</v>
      </c>
      <c r="I25" s="3"/>
    </row>
    <row r="26" spans="2:9" ht="15.75" customHeight="1" x14ac:dyDescent="0.25">
      <c r="B26" s="49" t="s">
        <v>57</v>
      </c>
      <c r="C26" s="300"/>
      <c r="D26" s="51">
        <v>746.88900000000001</v>
      </c>
      <c r="E26" s="51">
        <v>326</v>
      </c>
      <c r="F26" s="51">
        <v>633</v>
      </c>
      <c r="I26" s="3"/>
    </row>
    <row r="27" spans="2:9" ht="15.75" customHeight="1" x14ac:dyDescent="0.25">
      <c r="B27" s="308"/>
      <c r="C27" s="297"/>
      <c r="D27" s="297"/>
      <c r="E27" s="297"/>
      <c r="F27" s="306"/>
      <c r="I27" s="3"/>
    </row>
    <row r="28" spans="2:9" ht="15.75" customHeight="1" x14ac:dyDescent="0.25">
      <c r="B28" s="9" t="s">
        <v>60</v>
      </c>
      <c r="C28" s="299" t="s">
        <v>62</v>
      </c>
      <c r="D28" s="11">
        <v>19.36</v>
      </c>
      <c r="E28" s="11">
        <v>14</v>
      </c>
      <c r="F28" s="11">
        <v>19</v>
      </c>
      <c r="I28" s="3"/>
    </row>
    <row r="29" spans="2:9" ht="15.75" customHeight="1" x14ac:dyDescent="0.25">
      <c r="B29" s="9" t="s">
        <v>64</v>
      </c>
      <c r="C29" s="300"/>
      <c r="D29" s="11">
        <v>33.31</v>
      </c>
      <c r="E29" s="11">
        <v>20</v>
      </c>
      <c r="F29" s="11">
        <v>37</v>
      </c>
      <c r="I29" s="3"/>
    </row>
    <row r="30" spans="2:9" ht="15.75" customHeight="1" x14ac:dyDescent="0.25">
      <c r="B30" s="9" t="s">
        <v>65</v>
      </c>
      <c r="C30" s="301"/>
      <c r="D30" s="11">
        <v>41.74</v>
      </c>
      <c r="E30" s="11">
        <v>17</v>
      </c>
      <c r="F30" s="11">
        <v>33</v>
      </c>
      <c r="I30" s="3"/>
    </row>
    <row r="31" spans="2:9" ht="15.75" customHeight="1" x14ac:dyDescent="0.25">
      <c r="B31" s="296"/>
      <c r="C31" s="297"/>
      <c r="D31" s="297"/>
      <c r="E31" s="297"/>
      <c r="F31" s="11"/>
      <c r="I31" s="3"/>
    </row>
    <row r="32" spans="2:9" ht="15.75" customHeight="1" x14ac:dyDescent="0.25">
      <c r="B32" s="9" t="s">
        <v>66</v>
      </c>
      <c r="C32" s="302" t="s">
        <v>68</v>
      </c>
      <c r="D32" s="11">
        <v>204.5</v>
      </c>
      <c r="E32" s="11">
        <v>188</v>
      </c>
      <c r="F32" s="11">
        <v>222</v>
      </c>
      <c r="I32" s="3"/>
    </row>
    <row r="33" spans="2:9" ht="15.75" customHeight="1" x14ac:dyDescent="0.25">
      <c r="B33" s="49" t="s">
        <v>69</v>
      </c>
      <c r="C33" s="300"/>
      <c r="D33" s="51">
        <v>277.7</v>
      </c>
      <c r="E33" s="51">
        <v>230</v>
      </c>
      <c r="F33" s="51">
        <v>275</v>
      </c>
      <c r="I33" s="3"/>
    </row>
    <row r="34" spans="2:9" ht="15.75" customHeight="1" x14ac:dyDescent="0.25">
      <c r="B34" s="305"/>
      <c r="C34" s="297"/>
      <c r="D34" s="297"/>
      <c r="E34" s="297"/>
      <c r="F34" s="306"/>
      <c r="I34" s="3"/>
    </row>
    <row r="35" spans="2:9" ht="15.75" customHeight="1" x14ac:dyDescent="0.25">
      <c r="B35" s="9" t="s">
        <v>69</v>
      </c>
      <c r="C35" s="299" t="s">
        <v>71</v>
      </c>
      <c r="D35" s="11">
        <v>10.283300000000001</v>
      </c>
      <c r="E35" s="11">
        <v>2</v>
      </c>
      <c r="F35" s="11">
        <v>9</v>
      </c>
      <c r="I35" s="3"/>
    </row>
    <row r="36" spans="2:9" ht="15.75" customHeight="1" x14ac:dyDescent="0.25">
      <c r="B36" s="9" t="s">
        <v>72</v>
      </c>
      <c r="C36" s="300"/>
      <c r="D36" s="11">
        <v>11.8833</v>
      </c>
      <c r="E36" s="11">
        <v>4</v>
      </c>
      <c r="F36" s="11">
        <v>10</v>
      </c>
      <c r="I36" s="3"/>
    </row>
    <row r="37" spans="2:9" ht="15.75" customHeight="1" x14ac:dyDescent="0.25">
      <c r="B37" s="9" t="s">
        <v>73</v>
      </c>
      <c r="C37" s="301"/>
      <c r="D37" s="11">
        <v>17.433299999999999</v>
      </c>
      <c r="E37" s="11">
        <v>7</v>
      </c>
      <c r="F37" s="11">
        <v>11</v>
      </c>
      <c r="I37" s="3"/>
    </row>
    <row r="38" spans="2:9" ht="15.75" customHeight="1" x14ac:dyDescent="0.25">
      <c r="B38" s="296"/>
      <c r="C38" s="297"/>
      <c r="D38" s="297"/>
      <c r="E38" s="297"/>
      <c r="F38" s="11"/>
      <c r="I38" s="3"/>
    </row>
    <row r="39" spans="2:9" ht="15.75" customHeight="1" x14ac:dyDescent="0.25">
      <c r="B39" s="9" t="s">
        <v>76</v>
      </c>
      <c r="C39" s="302" t="s">
        <v>77</v>
      </c>
      <c r="D39" s="11">
        <v>117.467</v>
      </c>
      <c r="E39" s="11">
        <v>151</v>
      </c>
      <c r="F39" s="11">
        <v>185</v>
      </c>
      <c r="I39" s="3"/>
    </row>
    <row r="40" spans="2:9" ht="15.75" customHeight="1" x14ac:dyDescent="0.25">
      <c r="B40" s="9" t="s">
        <v>78</v>
      </c>
      <c r="C40" s="300"/>
      <c r="D40" s="11">
        <v>187.833</v>
      </c>
      <c r="E40" s="11">
        <v>114</v>
      </c>
      <c r="F40" s="11">
        <v>142</v>
      </c>
      <c r="I40" s="3"/>
    </row>
    <row r="41" spans="2:9" ht="15.75" customHeight="1" x14ac:dyDescent="0.25">
      <c r="B41" s="9" t="s">
        <v>79</v>
      </c>
      <c r="C41" s="300"/>
      <c r="D41" s="11">
        <v>218.333</v>
      </c>
      <c r="E41" s="11">
        <v>200</v>
      </c>
      <c r="F41" s="11">
        <v>232</v>
      </c>
      <c r="I41" s="3"/>
    </row>
    <row r="42" spans="2:9" ht="15.75" customHeight="1" x14ac:dyDescent="0.25">
      <c r="B42" s="49" t="s">
        <v>80</v>
      </c>
      <c r="C42" s="300"/>
      <c r="D42" s="51">
        <v>238.5</v>
      </c>
      <c r="E42" s="51">
        <v>86</v>
      </c>
      <c r="F42" s="51">
        <v>108</v>
      </c>
      <c r="I42" s="3"/>
    </row>
    <row r="43" spans="2:9" ht="15.75" customHeight="1" x14ac:dyDescent="0.25">
      <c r="B43" s="305"/>
      <c r="C43" s="297"/>
      <c r="D43" s="297"/>
      <c r="E43" s="297"/>
      <c r="F43" s="306"/>
      <c r="I43" s="3"/>
    </row>
    <row r="44" spans="2:9" ht="15.75" customHeight="1" x14ac:dyDescent="0.25">
      <c r="B44" s="9" t="s">
        <v>81</v>
      </c>
      <c r="C44" s="299" t="s">
        <v>82</v>
      </c>
      <c r="D44" s="11">
        <v>2</v>
      </c>
      <c r="E44" s="11">
        <v>1</v>
      </c>
      <c r="F44" s="11">
        <v>2</v>
      </c>
      <c r="I44" s="3"/>
    </row>
    <row r="45" spans="2:9" ht="15.75" customHeight="1" x14ac:dyDescent="0.25">
      <c r="B45" s="9" t="s">
        <v>83</v>
      </c>
      <c r="C45" s="300"/>
      <c r="D45" s="11">
        <v>7.133</v>
      </c>
      <c r="E45" s="11">
        <v>2</v>
      </c>
      <c r="F45" s="11">
        <v>2</v>
      </c>
      <c r="I45" s="3"/>
    </row>
    <row r="46" spans="2:9" ht="15.75" customHeight="1" x14ac:dyDescent="0.25">
      <c r="B46" s="9" t="s">
        <v>84</v>
      </c>
      <c r="C46" s="301"/>
      <c r="D46" s="11">
        <v>10.72</v>
      </c>
      <c r="E46" s="11">
        <v>1</v>
      </c>
      <c r="F46" s="11">
        <v>2</v>
      </c>
      <c r="I46" s="3"/>
    </row>
    <row r="47" spans="2:9" ht="15.75" customHeight="1" x14ac:dyDescent="0.25">
      <c r="B47" s="296"/>
      <c r="C47" s="297"/>
      <c r="D47" s="297"/>
      <c r="E47" s="297"/>
      <c r="F47" s="11"/>
      <c r="I47" s="3"/>
    </row>
    <row r="48" spans="2:9" ht="15.75" customHeight="1" x14ac:dyDescent="0.25">
      <c r="B48" s="9" t="s">
        <v>86</v>
      </c>
      <c r="C48" s="302" t="s">
        <v>87</v>
      </c>
      <c r="D48" s="11">
        <v>20.466999999999999</v>
      </c>
      <c r="E48" s="11">
        <v>18</v>
      </c>
      <c r="F48" s="11">
        <v>21</v>
      </c>
      <c r="I48" s="3"/>
    </row>
    <row r="49" spans="2:9" ht="15.75" customHeight="1" x14ac:dyDescent="0.25">
      <c r="B49" s="49" t="s">
        <v>88</v>
      </c>
      <c r="C49" s="300"/>
      <c r="D49" s="51">
        <v>20.367000000000001</v>
      </c>
      <c r="E49" s="51">
        <v>18</v>
      </c>
      <c r="F49" s="51">
        <v>21</v>
      </c>
      <c r="I49" s="3"/>
    </row>
    <row r="50" spans="2:9" ht="15.75" customHeight="1" x14ac:dyDescent="0.25">
      <c r="B50" s="305"/>
      <c r="C50" s="297"/>
      <c r="D50" s="297"/>
      <c r="E50" s="297"/>
      <c r="F50" s="306"/>
      <c r="I50" s="3"/>
    </row>
    <row r="51" spans="2:9" ht="15.75" customHeight="1" x14ac:dyDescent="0.25">
      <c r="B51" s="9" t="s">
        <v>89</v>
      </c>
      <c r="C51" s="299" t="s">
        <v>90</v>
      </c>
      <c r="D51" s="11">
        <v>5.15</v>
      </c>
      <c r="E51" s="11">
        <v>16</v>
      </c>
      <c r="F51" s="11">
        <v>18</v>
      </c>
      <c r="I51" s="3"/>
    </row>
    <row r="52" spans="2:9" ht="15.75" customHeight="1" x14ac:dyDescent="0.25">
      <c r="B52" s="49" t="s">
        <v>91</v>
      </c>
      <c r="C52" s="300"/>
      <c r="D52" s="51">
        <v>16.2</v>
      </c>
      <c r="E52" s="51">
        <v>16</v>
      </c>
      <c r="F52" s="51">
        <v>18</v>
      </c>
      <c r="I52" s="3"/>
    </row>
    <row r="53" spans="2:9" ht="15.75" customHeight="1" x14ac:dyDescent="0.25">
      <c r="B53" s="296"/>
      <c r="C53" s="297"/>
      <c r="D53" s="297"/>
      <c r="E53" s="297"/>
      <c r="F53" s="298"/>
      <c r="I53" s="3"/>
    </row>
    <row r="54" spans="2:9" ht="15.75" customHeight="1" x14ac:dyDescent="0.25">
      <c r="B54" s="9" t="s">
        <v>94</v>
      </c>
      <c r="C54" s="299" t="s">
        <v>95</v>
      </c>
      <c r="D54" s="11">
        <v>50.082999999999998</v>
      </c>
      <c r="E54" s="11">
        <v>44</v>
      </c>
      <c r="F54" s="11">
        <v>60</v>
      </c>
      <c r="I54" s="3"/>
    </row>
    <row r="55" spans="2:9" ht="15.75" customHeight="1" x14ac:dyDescent="0.25">
      <c r="B55" s="9" t="s">
        <v>96</v>
      </c>
      <c r="C55" s="300"/>
      <c r="D55" s="11">
        <v>93.992999999999995</v>
      </c>
      <c r="E55" s="11">
        <v>60</v>
      </c>
      <c r="F55" s="11">
        <v>118</v>
      </c>
      <c r="I55" s="3"/>
    </row>
    <row r="56" spans="2:9" ht="15.75" customHeight="1" x14ac:dyDescent="0.25">
      <c r="B56" s="9" t="s">
        <v>97</v>
      </c>
      <c r="C56" s="300"/>
      <c r="D56" s="11">
        <v>95.516999999999996</v>
      </c>
      <c r="E56" s="11">
        <v>44</v>
      </c>
      <c r="F56" s="11">
        <v>61</v>
      </c>
      <c r="I56" s="3"/>
    </row>
    <row r="57" spans="2:9" ht="15.75" customHeight="1" x14ac:dyDescent="0.25">
      <c r="B57" s="9" t="s">
        <v>98</v>
      </c>
      <c r="C57" s="300"/>
      <c r="D57" s="11">
        <v>100.92</v>
      </c>
      <c r="E57" s="11">
        <v>62</v>
      </c>
      <c r="F57" s="11">
        <v>118</v>
      </c>
      <c r="I57" s="3"/>
    </row>
    <row r="58" spans="2:9" ht="15.75" customHeight="1" x14ac:dyDescent="0.25">
      <c r="B58" s="9" t="s">
        <v>99</v>
      </c>
      <c r="C58" s="301"/>
      <c r="D58" s="11">
        <v>115.37</v>
      </c>
      <c r="E58" s="11">
        <v>58</v>
      </c>
      <c r="F58" s="11">
        <v>117</v>
      </c>
      <c r="I58" s="3"/>
    </row>
    <row r="59" spans="2:9" ht="15.75" customHeight="1" x14ac:dyDescent="0.25">
      <c r="B59" s="1"/>
      <c r="C59" s="1"/>
      <c r="D59" s="2"/>
      <c r="E59" s="2"/>
      <c r="F59" s="146"/>
      <c r="I59" s="3"/>
    </row>
    <row r="60" spans="2:9" ht="15.75" customHeight="1" x14ac:dyDescent="0.25">
      <c r="B60" s="1"/>
      <c r="C60" s="1"/>
      <c r="D60" s="2"/>
      <c r="E60" s="2"/>
      <c r="F60" s="146"/>
      <c r="I60" s="3"/>
    </row>
    <row r="61" spans="2:9" ht="15.75" customHeight="1" x14ac:dyDescent="0.2"/>
    <row r="62" spans="2:9" ht="15.75" customHeight="1" x14ac:dyDescent="0.2"/>
    <row r="63" spans="2:9" ht="15.75" customHeight="1" x14ac:dyDescent="0.2"/>
    <row r="64" spans="2:9"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B47:E47"/>
    <mergeCell ref="C48:C49"/>
    <mergeCell ref="C51:C52"/>
    <mergeCell ref="C54:C58"/>
    <mergeCell ref="B50:F50"/>
    <mergeCell ref="B53:F53"/>
    <mergeCell ref="C22:C26"/>
    <mergeCell ref="B27:F27"/>
    <mergeCell ref="C28:C30"/>
    <mergeCell ref="B31:E31"/>
    <mergeCell ref="C44:C46"/>
    <mergeCell ref="C32:C33"/>
    <mergeCell ref="B34:F34"/>
    <mergeCell ref="C35:C37"/>
    <mergeCell ref="B38:E38"/>
    <mergeCell ref="C39:C42"/>
    <mergeCell ref="B43:F43"/>
    <mergeCell ref="B12:E12"/>
    <mergeCell ref="B18:F18"/>
    <mergeCell ref="C13:C17"/>
    <mergeCell ref="C19:C20"/>
    <mergeCell ref="B21:E21"/>
    <mergeCell ref="B5:E5"/>
    <mergeCell ref="H6:M6"/>
    <mergeCell ref="C7:C11"/>
    <mergeCell ref="H7:J7"/>
    <mergeCell ref="K7:M7"/>
  </mergeCell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AB1000"/>
  <sheetViews>
    <sheetView workbookViewId="0"/>
  </sheetViews>
  <sheetFormatPr baseColWidth="10" defaultColWidth="12.625" defaultRowHeight="15" customHeight="1" x14ac:dyDescent="0.2"/>
  <cols>
    <col min="1" max="1" width="10" customWidth="1"/>
    <col min="2" max="2" width="12.875" customWidth="1"/>
    <col min="3" max="4" width="10" customWidth="1"/>
    <col min="5" max="5" width="12.875" customWidth="1"/>
    <col min="6" max="6" width="12.5" customWidth="1"/>
    <col min="7" max="18" width="10" customWidth="1"/>
    <col min="19" max="19" width="11" customWidth="1"/>
    <col min="20" max="28" width="10" customWidth="1"/>
  </cols>
  <sheetData>
    <row r="2" spans="2:11" x14ac:dyDescent="0.25">
      <c r="B2" s="28" t="s">
        <v>860</v>
      </c>
      <c r="C2" s="28"/>
      <c r="D2" s="28"/>
      <c r="E2" s="28"/>
      <c r="F2" s="28"/>
      <c r="G2" s="28"/>
      <c r="H2" s="28"/>
      <c r="I2" s="28"/>
      <c r="J2" s="28"/>
      <c r="K2" s="28"/>
    </row>
    <row r="3" spans="2:11" x14ac:dyDescent="0.25">
      <c r="B3" s="28"/>
      <c r="C3" s="23"/>
      <c r="D3" s="23"/>
      <c r="E3" s="23"/>
      <c r="F3" s="23"/>
      <c r="G3" s="28"/>
      <c r="H3" s="28"/>
      <c r="I3" s="28"/>
      <c r="J3" s="28"/>
      <c r="K3" s="28"/>
    </row>
    <row r="4" spans="2:11" x14ac:dyDescent="0.25">
      <c r="B4" s="332" t="s">
        <v>861</v>
      </c>
      <c r="C4" s="297"/>
      <c r="D4" s="297"/>
      <c r="E4" s="297"/>
      <c r="F4" s="297"/>
    </row>
    <row r="5" spans="2:11" ht="24" x14ac:dyDescent="0.2">
      <c r="B5" s="4" t="s">
        <v>0</v>
      </c>
      <c r="C5" s="5" t="s">
        <v>1</v>
      </c>
      <c r="D5" s="5" t="s">
        <v>42</v>
      </c>
      <c r="E5" s="5" t="s">
        <v>43</v>
      </c>
      <c r="F5" s="5" t="s">
        <v>44</v>
      </c>
      <c r="H5" s="296" t="s">
        <v>45</v>
      </c>
      <c r="I5" s="297"/>
      <c r="J5" s="297"/>
      <c r="K5" s="298"/>
    </row>
    <row r="6" spans="2:11" ht="14.25" x14ac:dyDescent="0.2">
      <c r="B6" s="310" t="s">
        <v>275</v>
      </c>
      <c r="C6" s="297"/>
      <c r="D6" s="297"/>
      <c r="E6" s="297"/>
      <c r="F6" s="306"/>
      <c r="H6" s="305" t="s">
        <v>275</v>
      </c>
      <c r="I6" s="297"/>
      <c r="J6" s="297"/>
      <c r="K6" s="298"/>
    </row>
    <row r="7" spans="2:11" ht="14.25" x14ac:dyDescent="0.2">
      <c r="B7" s="9" t="s">
        <v>11</v>
      </c>
      <c r="C7" s="12" t="s">
        <v>12</v>
      </c>
      <c r="D7" s="17">
        <v>750</v>
      </c>
      <c r="E7" s="22">
        <v>747</v>
      </c>
      <c r="F7" s="11">
        <v>750</v>
      </c>
      <c r="H7" s="12"/>
      <c r="I7" s="12" t="s">
        <v>52</v>
      </c>
      <c r="J7" s="12" t="s">
        <v>53</v>
      </c>
      <c r="K7" s="12"/>
    </row>
    <row r="8" spans="2:11" ht="14.25" x14ac:dyDescent="0.2">
      <c r="B8" s="9" t="s">
        <v>11</v>
      </c>
      <c r="C8" s="12" t="s">
        <v>18</v>
      </c>
      <c r="D8" s="17">
        <v>0</v>
      </c>
      <c r="E8" s="22">
        <v>0</v>
      </c>
      <c r="F8" s="11">
        <v>0</v>
      </c>
      <c r="H8" s="12" t="s">
        <v>12</v>
      </c>
      <c r="I8" s="17">
        <v>750</v>
      </c>
      <c r="J8" s="11">
        <v>750</v>
      </c>
      <c r="K8" s="17" t="s">
        <v>862</v>
      </c>
    </row>
    <row r="9" spans="2:11" ht="25.5" x14ac:dyDescent="0.2">
      <c r="B9" s="9" t="s">
        <v>21</v>
      </c>
      <c r="C9" s="12" t="s">
        <v>59</v>
      </c>
      <c r="D9" s="17">
        <v>440</v>
      </c>
      <c r="E9" s="22">
        <v>437</v>
      </c>
      <c r="F9" s="11">
        <v>444</v>
      </c>
      <c r="H9" s="12" t="s">
        <v>18</v>
      </c>
      <c r="I9" s="17">
        <v>0</v>
      </c>
      <c r="J9" s="11">
        <v>0</v>
      </c>
      <c r="K9" s="17" t="s">
        <v>863</v>
      </c>
    </row>
    <row r="10" spans="2:11" ht="25.5" x14ac:dyDescent="0.2">
      <c r="B10" s="9" t="s">
        <v>21</v>
      </c>
      <c r="C10" s="12" t="s">
        <v>63</v>
      </c>
      <c r="D10" s="17">
        <v>160</v>
      </c>
      <c r="E10" s="22">
        <v>165</v>
      </c>
      <c r="F10" s="11">
        <v>160</v>
      </c>
      <c r="H10" s="305" t="s">
        <v>313</v>
      </c>
      <c r="I10" s="297"/>
      <c r="J10" s="297"/>
      <c r="K10" s="298"/>
    </row>
    <row r="11" spans="2:11" ht="14.25" x14ac:dyDescent="0.2">
      <c r="B11" s="310" t="s">
        <v>313</v>
      </c>
      <c r="C11" s="297"/>
      <c r="D11" s="297"/>
      <c r="E11" s="297"/>
      <c r="F11" s="306"/>
      <c r="H11" s="12" t="s">
        <v>12</v>
      </c>
      <c r="I11" s="17">
        <v>700</v>
      </c>
      <c r="J11" s="11">
        <v>700</v>
      </c>
      <c r="K11" s="17" t="s">
        <v>864</v>
      </c>
    </row>
    <row r="12" spans="2:11" ht="14.25" x14ac:dyDescent="0.2">
      <c r="B12" s="9" t="s">
        <v>11</v>
      </c>
      <c r="C12" s="12" t="s">
        <v>12</v>
      </c>
      <c r="D12" s="17">
        <v>700</v>
      </c>
      <c r="E12" s="22">
        <v>698</v>
      </c>
      <c r="F12" s="22">
        <v>698</v>
      </c>
      <c r="H12" s="12" t="s">
        <v>18</v>
      </c>
      <c r="I12" s="17">
        <v>0</v>
      </c>
      <c r="J12" s="11">
        <v>0</v>
      </c>
      <c r="K12" s="17" t="s">
        <v>867</v>
      </c>
    </row>
    <row r="13" spans="2:11" ht="14.25" x14ac:dyDescent="0.2">
      <c r="B13" s="9" t="s">
        <v>11</v>
      </c>
      <c r="C13" s="12" t="s">
        <v>18</v>
      </c>
      <c r="D13" s="17">
        <v>0</v>
      </c>
      <c r="E13" s="22">
        <v>0</v>
      </c>
      <c r="F13" s="22">
        <v>0</v>
      </c>
    </row>
    <row r="14" spans="2:11" ht="25.5" x14ac:dyDescent="0.2">
      <c r="B14" s="9" t="s">
        <v>21</v>
      </c>
      <c r="C14" s="12" t="s">
        <v>59</v>
      </c>
      <c r="D14" s="17">
        <v>430</v>
      </c>
      <c r="E14" s="22">
        <v>425</v>
      </c>
      <c r="F14" s="22">
        <v>420</v>
      </c>
    </row>
    <row r="15" spans="2:11" ht="25.5" x14ac:dyDescent="0.2">
      <c r="B15" s="9" t="s">
        <v>21</v>
      </c>
      <c r="C15" s="12" t="s">
        <v>63</v>
      </c>
      <c r="D15" s="17">
        <v>150</v>
      </c>
      <c r="E15" s="22">
        <v>160</v>
      </c>
      <c r="F15" s="22">
        <v>155</v>
      </c>
    </row>
    <row r="16" spans="2:11" x14ac:dyDescent="0.25">
      <c r="C16" s="2"/>
      <c r="D16" s="1"/>
      <c r="K16" s="21" t="s">
        <v>661</v>
      </c>
    </row>
    <row r="17" spans="1:13" x14ac:dyDescent="0.2">
      <c r="C17" s="2"/>
      <c r="D17" s="2"/>
    </row>
    <row r="18" spans="1:13" x14ac:dyDescent="0.2">
      <c r="C18" s="2"/>
      <c r="D18" s="2"/>
    </row>
    <row r="19" spans="1:13" x14ac:dyDescent="0.25">
      <c r="A19" s="23" t="s">
        <v>868</v>
      </c>
    </row>
    <row r="21" spans="1:13" ht="15.75" customHeight="1" x14ac:dyDescent="0.2"/>
    <row r="22" spans="1:13" ht="15.75" customHeight="1" x14ac:dyDescent="0.25">
      <c r="B22" s="304" t="s">
        <v>869</v>
      </c>
      <c r="C22" s="297"/>
      <c r="D22" s="297"/>
      <c r="E22" s="297"/>
      <c r="F22" s="154"/>
      <c r="I22" s="3"/>
    </row>
    <row r="23" spans="1:13" ht="15.75" customHeight="1" x14ac:dyDescent="0.2">
      <c r="B23" s="4" t="s">
        <v>0</v>
      </c>
      <c r="C23" s="5" t="s">
        <v>1</v>
      </c>
      <c r="D23" s="5" t="s">
        <v>2</v>
      </c>
      <c r="E23" s="5" t="s">
        <v>43</v>
      </c>
      <c r="F23" s="45" t="s">
        <v>125</v>
      </c>
      <c r="H23" s="296" t="s">
        <v>6</v>
      </c>
      <c r="I23" s="297"/>
      <c r="J23" s="297"/>
      <c r="K23" s="297"/>
      <c r="L23" s="297"/>
      <c r="M23" s="298"/>
    </row>
    <row r="24" spans="1:13" ht="15.75" customHeight="1" x14ac:dyDescent="0.2">
      <c r="B24" s="9" t="s">
        <v>7</v>
      </c>
      <c r="C24" s="302" t="s">
        <v>9</v>
      </c>
      <c r="D24" s="47">
        <v>28.1</v>
      </c>
      <c r="E24" s="11">
        <v>17</v>
      </c>
      <c r="F24" s="11">
        <v>77</v>
      </c>
      <c r="H24" s="296" t="s">
        <v>106</v>
      </c>
      <c r="I24" s="297"/>
      <c r="J24" s="298"/>
      <c r="K24" s="296" t="s">
        <v>107</v>
      </c>
      <c r="L24" s="297"/>
      <c r="M24" s="298"/>
    </row>
    <row r="25" spans="1:13" ht="15.75" customHeight="1" x14ac:dyDescent="0.2">
      <c r="B25" s="9" t="s">
        <v>17</v>
      </c>
      <c r="C25" s="300"/>
      <c r="D25" s="47">
        <v>63.911000000000001</v>
      </c>
      <c r="E25" s="11">
        <v>24</v>
      </c>
      <c r="F25" s="11">
        <v>86</v>
      </c>
      <c r="H25" s="13" t="s">
        <v>13</v>
      </c>
      <c r="I25" s="39">
        <f>I27+I27*0.05</f>
        <v>681.45</v>
      </c>
      <c r="J25" s="17" t="s">
        <v>874</v>
      </c>
      <c r="K25" s="13" t="s">
        <v>13</v>
      </c>
      <c r="L25" s="39">
        <v>705</v>
      </c>
      <c r="M25" s="17" t="s">
        <v>875</v>
      </c>
    </row>
    <row r="26" spans="1:13" ht="15.75" customHeight="1" x14ac:dyDescent="0.2">
      <c r="B26" s="9" t="s">
        <v>26</v>
      </c>
      <c r="C26" s="300"/>
      <c r="D26" s="47">
        <v>69.921999999999997</v>
      </c>
      <c r="E26" s="11">
        <v>24</v>
      </c>
      <c r="F26" s="11">
        <v>87</v>
      </c>
      <c r="H26" s="13" t="s">
        <v>19</v>
      </c>
      <c r="I26" s="40">
        <f>I27-I27*0.05</f>
        <v>616.54999999999995</v>
      </c>
      <c r="J26" s="17" t="s">
        <v>879</v>
      </c>
      <c r="K26" s="13" t="s">
        <v>19</v>
      </c>
      <c r="L26" s="40">
        <f>L27-L27*0.05</f>
        <v>0</v>
      </c>
      <c r="M26" s="17" t="s">
        <v>881</v>
      </c>
    </row>
    <row r="27" spans="1:13" ht="15.75" customHeight="1" x14ac:dyDescent="0.2">
      <c r="B27" s="9" t="s">
        <v>32</v>
      </c>
      <c r="C27" s="300"/>
      <c r="D27" s="47">
        <v>96.744</v>
      </c>
      <c r="E27" s="11">
        <v>81</v>
      </c>
      <c r="F27" s="11">
        <v>99</v>
      </c>
      <c r="H27" s="13" t="s">
        <v>27</v>
      </c>
      <c r="I27" s="20">
        <v>649</v>
      </c>
      <c r="J27" s="17" t="s">
        <v>882</v>
      </c>
      <c r="K27" s="13" t="s">
        <v>27</v>
      </c>
      <c r="L27" s="20"/>
      <c r="M27" s="17" t="s">
        <v>883</v>
      </c>
    </row>
    <row r="28" spans="1:13" ht="15.75" customHeight="1" x14ac:dyDescent="0.2">
      <c r="B28" s="9" t="s">
        <v>33</v>
      </c>
      <c r="C28" s="301"/>
      <c r="D28" s="47">
        <v>128.11000000000001</v>
      </c>
      <c r="E28" s="11">
        <v>108</v>
      </c>
      <c r="F28" s="11">
        <v>131</v>
      </c>
      <c r="H28" s="13" t="s">
        <v>121</v>
      </c>
      <c r="I28" s="20">
        <v>618</v>
      </c>
      <c r="J28" s="17" t="s">
        <v>884</v>
      </c>
      <c r="K28" s="13" t="s">
        <v>121</v>
      </c>
      <c r="L28" s="182"/>
      <c r="M28" s="17" t="s">
        <v>885</v>
      </c>
    </row>
    <row r="29" spans="1:13" ht="15.75" customHeight="1" x14ac:dyDescent="0.25">
      <c r="B29" s="296"/>
      <c r="C29" s="297"/>
      <c r="D29" s="297"/>
      <c r="E29" s="297"/>
      <c r="F29" s="11"/>
      <c r="I29" s="3"/>
    </row>
    <row r="30" spans="1:13" ht="15.75" customHeight="1" x14ac:dyDescent="0.25">
      <c r="B30" s="9" t="s">
        <v>35</v>
      </c>
      <c r="C30" s="302" t="s">
        <v>36</v>
      </c>
      <c r="D30" s="47">
        <v>207.78</v>
      </c>
      <c r="E30" s="11">
        <v>180</v>
      </c>
      <c r="F30" s="11">
        <v>232</v>
      </c>
      <c r="I30" s="3"/>
    </row>
    <row r="31" spans="1:13" ht="15.75" customHeight="1" x14ac:dyDescent="0.25">
      <c r="B31" s="9" t="s">
        <v>37</v>
      </c>
      <c r="C31" s="300"/>
      <c r="D31" s="47">
        <v>444.11</v>
      </c>
      <c r="E31" s="11">
        <v>200</v>
      </c>
      <c r="F31" s="11">
        <v>263</v>
      </c>
      <c r="G31" s="23"/>
      <c r="J31" s="217" t="s">
        <v>886</v>
      </c>
    </row>
    <row r="32" spans="1:13" ht="15.75" customHeight="1" x14ac:dyDescent="0.25">
      <c r="B32" s="9" t="s">
        <v>38</v>
      </c>
      <c r="C32" s="300"/>
      <c r="D32" s="47">
        <v>579.55999999999995</v>
      </c>
      <c r="E32" s="11">
        <v>270</v>
      </c>
      <c r="F32" s="11">
        <v>533</v>
      </c>
      <c r="I32" s="3"/>
    </row>
    <row r="33" spans="2:9" ht="15.75" customHeight="1" x14ac:dyDescent="0.25">
      <c r="B33" s="9" t="s">
        <v>39</v>
      </c>
      <c r="C33" s="300"/>
      <c r="D33" s="47">
        <v>746.22</v>
      </c>
      <c r="E33" s="11">
        <v>608</v>
      </c>
      <c r="F33" s="11">
        <v>703</v>
      </c>
      <c r="I33" s="3"/>
    </row>
    <row r="34" spans="2:9" ht="15.75" customHeight="1" x14ac:dyDescent="0.25">
      <c r="B34" s="49" t="s">
        <v>41</v>
      </c>
      <c r="C34" s="300"/>
      <c r="D34" s="50">
        <v>869.5</v>
      </c>
      <c r="E34" s="51">
        <v>643</v>
      </c>
      <c r="F34" s="51">
        <v>747</v>
      </c>
      <c r="I34" s="3"/>
    </row>
    <row r="35" spans="2:9" ht="15.75" customHeight="1" x14ac:dyDescent="0.25">
      <c r="B35" s="308"/>
      <c r="C35" s="297"/>
      <c r="D35" s="297"/>
      <c r="E35" s="297"/>
      <c r="F35" s="306"/>
      <c r="I35" s="3"/>
    </row>
    <row r="36" spans="2:9" ht="15.75" customHeight="1" x14ac:dyDescent="0.25">
      <c r="B36" s="9" t="s">
        <v>46</v>
      </c>
      <c r="C36" s="299" t="s">
        <v>47</v>
      </c>
      <c r="D36" s="47">
        <v>88.4</v>
      </c>
      <c r="E36" s="11">
        <v>75</v>
      </c>
      <c r="F36" s="11">
        <v>97</v>
      </c>
      <c r="H36" s="31"/>
      <c r="I36" s="3"/>
    </row>
    <row r="37" spans="2:9" ht="15.75" customHeight="1" x14ac:dyDescent="0.25">
      <c r="B37" s="9" t="s">
        <v>48</v>
      </c>
      <c r="C37" s="300"/>
      <c r="D37" s="47">
        <v>94.6</v>
      </c>
      <c r="E37" s="11">
        <v>74</v>
      </c>
      <c r="F37" s="11">
        <v>97</v>
      </c>
      <c r="H37" s="31"/>
      <c r="I37" s="3"/>
    </row>
    <row r="38" spans="2:9" ht="15.75" customHeight="1" x14ac:dyDescent="0.25">
      <c r="B38" s="296"/>
      <c r="C38" s="297"/>
      <c r="D38" s="297"/>
      <c r="E38" s="297"/>
      <c r="F38" s="11"/>
      <c r="H38" s="31"/>
      <c r="I38" s="3"/>
    </row>
    <row r="39" spans="2:9" ht="15.75" customHeight="1" x14ac:dyDescent="0.25">
      <c r="B39" s="9" t="s">
        <v>50</v>
      </c>
      <c r="C39" s="302" t="s">
        <v>51</v>
      </c>
      <c r="D39" s="47">
        <v>271.44400000000002</v>
      </c>
      <c r="E39" s="11">
        <v>243</v>
      </c>
      <c r="F39" s="11">
        <v>507</v>
      </c>
      <c r="H39" s="31"/>
      <c r="I39" s="3"/>
    </row>
    <row r="40" spans="2:9" ht="15.75" customHeight="1" x14ac:dyDescent="0.25">
      <c r="B40" s="9" t="s">
        <v>54</v>
      </c>
      <c r="C40" s="300"/>
      <c r="D40" s="47">
        <v>550.22199999999998</v>
      </c>
      <c r="E40" s="11">
        <v>249</v>
      </c>
      <c r="F40" s="11">
        <v>518</v>
      </c>
      <c r="H40" s="31"/>
      <c r="I40" s="3"/>
    </row>
    <row r="41" spans="2:9" ht="15.75" customHeight="1" x14ac:dyDescent="0.25">
      <c r="B41" s="9" t="s">
        <v>55</v>
      </c>
      <c r="C41" s="300"/>
      <c r="D41" s="47">
        <v>609</v>
      </c>
      <c r="E41" s="11">
        <v>621</v>
      </c>
      <c r="F41" s="11">
        <v>726</v>
      </c>
      <c r="H41" s="31"/>
      <c r="I41" s="3"/>
    </row>
    <row r="42" spans="2:9" ht="15.75" customHeight="1" x14ac:dyDescent="0.25">
      <c r="B42" s="9" t="s">
        <v>56</v>
      </c>
      <c r="C42" s="300"/>
      <c r="D42" s="47">
        <v>739.11099999999999</v>
      </c>
      <c r="E42" s="11">
        <v>713</v>
      </c>
      <c r="F42" s="11">
        <v>819</v>
      </c>
      <c r="H42" s="31"/>
      <c r="I42" s="3"/>
    </row>
    <row r="43" spans="2:9" ht="15.75" customHeight="1" x14ac:dyDescent="0.25">
      <c r="B43" s="49" t="s">
        <v>57</v>
      </c>
      <c r="C43" s="300"/>
      <c r="D43" s="50">
        <v>746.88900000000001</v>
      </c>
      <c r="E43" s="51">
        <v>538</v>
      </c>
      <c r="F43" s="51">
        <v>638</v>
      </c>
      <c r="H43" s="31"/>
      <c r="I43" s="3"/>
    </row>
    <row r="44" spans="2:9" ht="15.75" customHeight="1" x14ac:dyDescent="0.25">
      <c r="B44" s="308"/>
      <c r="C44" s="297"/>
      <c r="D44" s="297"/>
      <c r="E44" s="297"/>
      <c r="F44" s="306"/>
      <c r="H44" s="28"/>
      <c r="I44" s="3"/>
    </row>
    <row r="45" spans="2:9" ht="15.75" customHeight="1" x14ac:dyDescent="0.25">
      <c r="B45" s="9" t="s">
        <v>60</v>
      </c>
      <c r="C45" s="299" t="s">
        <v>62</v>
      </c>
      <c r="D45" s="47">
        <v>19.36</v>
      </c>
      <c r="E45" s="11">
        <v>15</v>
      </c>
      <c r="F45" s="11">
        <v>32</v>
      </c>
      <c r="H45" s="31"/>
      <c r="I45" s="3"/>
    </row>
    <row r="46" spans="2:9" ht="15.75" customHeight="1" x14ac:dyDescent="0.25">
      <c r="B46" s="9" t="s">
        <v>64</v>
      </c>
      <c r="C46" s="300"/>
      <c r="D46" s="47">
        <v>33.31</v>
      </c>
      <c r="E46" s="11">
        <v>21</v>
      </c>
      <c r="F46" s="11">
        <v>41</v>
      </c>
      <c r="H46" s="31"/>
      <c r="I46" s="3"/>
    </row>
    <row r="47" spans="2:9" ht="15.75" customHeight="1" x14ac:dyDescent="0.25">
      <c r="B47" s="9" t="s">
        <v>65</v>
      </c>
      <c r="C47" s="301"/>
      <c r="D47" s="47">
        <v>41.74</v>
      </c>
      <c r="E47" s="11">
        <v>18</v>
      </c>
      <c r="F47" s="11">
        <v>36</v>
      </c>
      <c r="H47" s="31"/>
      <c r="I47" s="3"/>
    </row>
    <row r="48" spans="2:9" ht="15.75" customHeight="1" x14ac:dyDescent="0.25">
      <c r="B48" s="296"/>
      <c r="C48" s="297"/>
      <c r="D48" s="297"/>
      <c r="E48" s="297"/>
      <c r="F48" s="11"/>
      <c r="H48" s="31"/>
      <c r="I48" s="3"/>
    </row>
    <row r="49" spans="2:9" ht="15.75" customHeight="1" x14ac:dyDescent="0.25">
      <c r="B49" s="9" t="s">
        <v>66</v>
      </c>
      <c r="C49" s="302" t="s">
        <v>68</v>
      </c>
      <c r="D49" s="47">
        <v>204.5</v>
      </c>
      <c r="E49" s="11">
        <v>191</v>
      </c>
      <c r="F49" s="11">
        <v>241</v>
      </c>
      <c r="H49" s="31"/>
      <c r="I49" s="3"/>
    </row>
    <row r="50" spans="2:9" ht="15.75" customHeight="1" x14ac:dyDescent="0.25">
      <c r="B50" s="49" t="s">
        <v>69</v>
      </c>
      <c r="C50" s="300"/>
      <c r="D50" s="50">
        <v>277.7</v>
      </c>
      <c r="E50" s="51">
        <v>234</v>
      </c>
      <c r="F50" s="51">
        <v>296</v>
      </c>
      <c r="H50" s="31"/>
      <c r="I50" s="3"/>
    </row>
    <row r="51" spans="2:9" ht="15.75" customHeight="1" x14ac:dyDescent="0.25">
      <c r="B51" s="305"/>
      <c r="C51" s="297"/>
      <c r="D51" s="297"/>
      <c r="E51" s="297"/>
      <c r="F51" s="306"/>
      <c r="H51" s="28"/>
      <c r="I51" s="3"/>
    </row>
    <row r="52" spans="2:9" ht="15.75" customHeight="1" x14ac:dyDescent="0.25">
      <c r="B52" s="9" t="s">
        <v>69</v>
      </c>
      <c r="C52" s="299" t="s">
        <v>71</v>
      </c>
      <c r="D52" s="47">
        <v>10.283300000000001</v>
      </c>
      <c r="E52" s="11">
        <v>5</v>
      </c>
      <c r="F52" s="11">
        <v>18</v>
      </c>
      <c r="H52" s="31"/>
      <c r="I52" s="3"/>
    </row>
    <row r="53" spans="2:9" ht="15.75" customHeight="1" x14ac:dyDescent="0.25">
      <c r="B53" s="9" t="s">
        <v>72</v>
      </c>
      <c r="C53" s="300"/>
      <c r="D53" s="47">
        <v>11.8833</v>
      </c>
      <c r="E53" s="11">
        <v>5</v>
      </c>
      <c r="F53" s="11">
        <v>19</v>
      </c>
      <c r="H53" s="31"/>
      <c r="I53" s="3"/>
    </row>
    <row r="54" spans="2:9" ht="15.75" customHeight="1" x14ac:dyDescent="0.25">
      <c r="B54" s="9" t="s">
        <v>73</v>
      </c>
      <c r="C54" s="301"/>
      <c r="D54" s="47">
        <v>17.433299999999999</v>
      </c>
      <c r="E54" s="11">
        <v>9</v>
      </c>
      <c r="F54" s="11">
        <v>20</v>
      </c>
      <c r="H54" s="31"/>
      <c r="I54" s="3"/>
    </row>
    <row r="55" spans="2:9" ht="15.75" customHeight="1" x14ac:dyDescent="0.25">
      <c r="B55" s="296"/>
      <c r="C55" s="297"/>
      <c r="D55" s="297"/>
      <c r="E55" s="297"/>
      <c r="F55" s="11"/>
      <c r="H55" s="31"/>
      <c r="I55" s="3"/>
    </row>
    <row r="56" spans="2:9" ht="15.75" customHeight="1" x14ac:dyDescent="0.25">
      <c r="B56" s="9" t="s">
        <v>76</v>
      </c>
      <c r="C56" s="302" t="s">
        <v>77</v>
      </c>
      <c r="D56" s="47">
        <v>117.467</v>
      </c>
      <c r="E56" s="11">
        <v>142</v>
      </c>
      <c r="F56" s="11">
        <v>193</v>
      </c>
      <c r="H56" s="31"/>
      <c r="I56" s="3"/>
    </row>
    <row r="57" spans="2:9" ht="15.75" customHeight="1" x14ac:dyDescent="0.25">
      <c r="B57" s="9" t="s">
        <v>78</v>
      </c>
      <c r="C57" s="300"/>
      <c r="D57" s="47">
        <v>187.833</v>
      </c>
      <c r="E57" s="11">
        <v>121</v>
      </c>
      <c r="F57" s="11">
        <v>138</v>
      </c>
      <c r="H57" s="31"/>
      <c r="I57" s="3"/>
    </row>
    <row r="58" spans="2:9" ht="15.75" customHeight="1" x14ac:dyDescent="0.25">
      <c r="B58" s="9" t="s">
        <v>79</v>
      </c>
      <c r="C58" s="300"/>
      <c r="D58" s="47">
        <v>218.333</v>
      </c>
      <c r="E58" s="11">
        <v>187</v>
      </c>
      <c r="F58" s="11">
        <v>246</v>
      </c>
      <c r="H58" s="31"/>
      <c r="I58" s="3"/>
    </row>
    <row r="59" spans="2:9" ht="15.75" customHeight="1" x14ac:dyDescent="0.25">
      <c r="B59" s="49" t="s">
        <v>80</v>
      </c>
      <c r="C59" s="300"/>
      <c r="D59" s="50">
        <v>238.5</v>
      </c>
      <c r="E59" s="51">
        <v>91</v>
      </c>
      <c r="F59" s="51">
        <v>128</v>
      </c>
      <c r="H59" s="31"/>
      <c r="I59" s="3"/>
    </row>
    <row r="60" spans="2:9" ht="15.75" customHeight="1" x14ac:dyDescent="0.25">
      <c r="B60" s="305"/>
      <c r="C60" s="297"/>
      <c r="D60" s="297"/>
      <c r="E60" s="297"/>
      <c r="F60" s="306"/>
      <c r="H60" s="28"/>
      <c r="I60" s="3"/>
    </row>
    <row r="61" spans="2:9" ht="15.75" customHeight="1" x14ac:dyDescent="0.25">
      <c r="B61" s="9" t="s">
        <v>81</v>
      </c>
      <c r="C61" s="299" t="s">
        <v>82</v>
      </c>
      <c r="D61" s="47">
        <v>2</v>
      </c>
      <c r="E61" s="11">
        <v>2</v>
      </c>
      <c r="F61" s="11">
        <v>2</v>
      </c>
      <c r="H61" s="31"/>
      <c r="I61" s="3"/>
    </row>
    <row r="62" spans="2:9" ht="15.75" customHeight="1" x14ac:dyDescent="0.25">
      <c r="B62" s="9" t="s">
        <v>83</v>
      </c>
      <c r="C62" s="300"/>
      <c r="D62" s="47">
        <v>7.133</v>
      </c>
      <c r="E62" s="11">
        <v>2</v>
      </c>
      <c r="F62" s="11">
        <v>20</v>
      </c>
      <c r="H62" s="31"/>
      <c r="I62" s="3"/>
    </row>
    <row r="63" spans="2:9" ht="15.75" customHeight="1" x14ac:dyDescent="0.25">
      <c r="B63" s="9" t="s">
        <v>84</v>
      </c>
      <c r="C63" s="301"/>
      <c r="D63" s="47">
        <v>10.72</v>
      </c>
      <c r="E63" s="11">
        <v>2</v>
      </c>
      <c r="F63" s="11">
        <v>18</v>
      </c>
      <c r="H63" s="31"/>
      <c r="I63" s="3"/>
    </row>
    <row r="64" spans="2:9" ht="15.75" customHeight="1" x14ac:dyDescent="0.25">
      <c r="B64" s="296"/>
      <c r="C64" s="297"/>
      <c r="D64" s="297"/>
      <c r="E64" s="297"/>
      <c r="F64" s="11"/>
      <c r="H64" s="31"/>
      <c r="I64" s="3"/>
    </row>
    <row r="65" spans="1:25" ht="15.75" customHeight="1" x14ac:dyDescent="0.25">
      <c r="B65" s="9" t="s">
        <v>86</v>
      </c>
      <c r="C65" s="302" t="s">
        <v>87</v>
      </c>
      <c r="D65" s="47">
        <v>20.466999999999999</v>
      </c>
      <c r="E65" s="11">
        <v>20</v>
      </c>
      <c r="F65" s="11">
        <v>24</v>
      </c>
      <c r="H65" s="31"/>
      <c r="I65" s="3"/>
    </row>
    <row r="66" spans="1:25" ht="15.75" customHeight="1" x14ac:dyDescent="0.25">
      <c r="B66" s="49" t="s">
        <v>88</v>
      </c>
      <c r="C66" s="300"/>
      <c r="D66" s="50">
        <v>20.367000000000001</v>
      </c>
      <c r="E66" s="51">
        <v>20</v>
      </c>
      <c r="F66" s="51">
        <v>24</v>
      </c>
      <c r="H66" s="31"/>
      <c r="I66" s="3"/>
    </row>
    <row r="67" spans="1:25" ht="15.75" customHeight="1" x14ac:dyDescent="0.25">
      <c r="B67" s="305"/>
      <c r="C67" s="297"/>
      <c r="D67" s="297"/>
      <c r="E67" s="297"/>
      <c r="F67" s="306"/>
      <c r="H67" s="28"/>
      <c r="I67" s="3"/>
    </row>
    <row r="68" spans="1:25" ht="15.75" customHeight="1" x14ac:dyDescent="0.25">
      <c r="B68" s="9" t="s">
        <v>89</v>
      </c>
      <c r="C68" s="299" t="s">
        <v>90</v>
      </c>
      <c r="D68" s="47">
        <v>5.15</v>
      </c>
      <c r="E68" s="11">
        <v>16</v>
      </c>
      <c r="F68" s="11">
        <v>18</v>
      </c>
      <c r="H68" s="31"/>
      <c r="I68" s="3"/>
    </row>
    <row r="69" spans="1:25" ht="15.75" customHeight="1" x14ac:dyDescent="0.25">
      <c r="B69" s="49" t="s">
        <v>91</v>
      </c>
      <c r="C69" s="300"/>
      <c r="D69" s="50">
        <v>16.2</v>
      </c>
      <c r="E69" s="51">
        <v>16</v>
      </c>
      <c r="F69" s="51">
        <v>18</v>
      </c>
      <c r="H69" s="31"/>
      <c r="I69" s="3"/>
    </row>
    <row r="70" spans="1:25" ht="15.75" customHeight="1" x14ac:dyDescent="0.25">
      <c r="B70" s="296"/>
      <c r="C70" s="297"/>
      <c r="D70" s="297"/>
      <c r="E70" s="297"/>
      <c r="F70" s="298"/>
      <c r="H70" s="28"/>
      <c r="I70" s="3"/>
    </row>
    <row r="71" spans="1:25" ht="15.75" customHeight="1" x14ac:dyDescent="0.25">
      <c r="B71" s="9" t="s">
        <v>94</v>
      </c>
      <c r="C71" s="299" t="s">
        <v>95</v>
      </c>
      <c r="D71" s="47">
        <v>50.082999999999998</v>
      </c>
      <c r="E71" s="11">
        <v>46</v>
      </c>
      <c r="F71" s="11">
        <v>115</v>
      </c>
      <c r="H71" s="31"/>
      <c r="I71" s="3"/>
    </row>
    <row r="72" spans="1:25" ht="15.75" customHeight="1" x14ac:dyDescent="0.25">
      <c r="B72" s="9" t="s">
        <v>96</v>
      </c>
      <c r="C72" s="300"/>
      <c r="D72" s="47">
        <v>93.992999999999995</v>
      </c>
      <c r="E72" s="11">
        <v>112</v>
      </c>
      <c r="F72" s="11">
        <v>123</v>
      </c>
      <c r="H72" s="31"/>
      <c r="I72" s="3"/>
    </row>
    <row r="73" spans="1:25" ht="15.75" customHeight="1" x14ac:dyDescent="0.25">
      <c r="B73" s="9" t="s">
        <v>97</v>
      </c>
      <c r="C73" s="300"/>
      <c r="D73" s="47">
        <v>95.516999999999996</v>
      </c>
      <c r="E73" s="11">
        <v>48</v>
      </c>
      <c r="F73" s="11">
        <v>115</v>
      </c>
      <c r="H73" s="31"/>
      <c r="I73" s="3"/>
    </row>
    <row r="74" spans="1:25" ht="15.75" customHeight="1" x14ac:dyDescent="0.25">
      <c r="B74" s="9" t="s">
        <v>98</v>
      </c>
      <c r="C74" s="300"/>
      <c r="D74" s="47">
        <v>100.92</v>
      </c>
      <c r="E74" s="11">
        <v>111</v>
      </c>
      <c r="F74" s="11">
        <v>124</v>
      </c>
      <c r="H74" s="31"/>
      <c r="I74" s="3"/>
    </row>
    <row r="75" spans="1:25" ht="15.75" customHeight="1" x14ac:dyDescent="0.25">
      <c r="B75" s="9" t="s">
        <v>99</v>
      </c>
      <c r="C75" s="301"/>
      <c r="D75" s="47">
        <v>115.37</v>
      </c>
      <c r="E75" s="11">
        <v>112</v>
      </c>
      <c r="F75" s="11">
        <v>122</v>
      </c>
      <c r="H75" s="31"/>
      <c r="I75" s="3"/>
    </row>
    <row r="76" spans="1:25" ht="15.75" customHeight="1" x14ac:dyDescent="0.2"/>
    <row r="77" spans="1:25" ht="15.75" customHeight="1" x14ac:dyDescent="0.2"/>
    <row r="78" spans="1:25" ht="15.75" customHeight="1" x14ac:dyDescent="0.25">
      <c r="A78" s="345"/>
      <c r="B78" s="297"/>
      <c r="C78" s="297"/>
      <c r="D78" s="297"/>
      <c r="E78" s="297"/>
      <c r="F78" s="297"/>
      <c r="G78" s="297"/>
      <c r="H78" s="297"/>
      <c r="I78" s="297"/>
      <c r="J78" s="297"/>
      <c r="K78" s="297"/>
      <c r="L78" s="297"/>
      <c r="M78" s="297"/>
      <c r="N78" s="297"/>
      <c r="O78" s="297"/>
      <c r="P78" s="297"/>
      <c r="Q78" s="297"/>
      <c r="R78" s="297"/>
      <c r="S78" s="297"/>
      <c r="T78" s="297"/>
      <c r="U78" s="297"/>
      <c r="V78" s="297"/>
      <c r="W78" s="297"/>
      <c r="X78" s="297"/>
      <c r="Y78" s="298"/>
    </row>
    <row r="79" spans="1:25" ht="15.75" customHeight="1" x14ac:dyDescent="0.3">
      <c r="A79" s="161" t="s">
        <v>353</v>
      </c>
      <c r="B79" s="163" t="s">
        <v>860</v>
      </c>
      <c r="Y79" s="346"/>
    </row>
    <row r="80" spans="1:25" ht="15.75" customHeight="1" x14ac:dyDescent="0.3">
      <c r="A80" s="164" t="s">
        <v>360</v>
      </c>
      <c r="B80" s="165">
        <v>43202</v>
      </c>
      <c r="Y80" s="300"/>
    </row>
    <row r="81" spans="1:25" ht="15.75" customHeight="1" x14ac:dyDescent="0.3">
      <c r="L81" s="320" t="s">
        <v>153</v>
      </c>
      <c r="M81" s="297"/>
      <c r="N81" s="297"/>
      <c r="O81" s="297"/>
      <c r="P81" s="297"/>
      <c r="Q81" s="298"/>
      <c r="S81" s="321" t="s">
        <v>154</v>
      </c>
      <c r="T81" s="322"/>
      <c r="U81" s="322"/>
      <c r="V81" s="322"/>
      <c r="W81" s="323"/>
      <c r="Y81" s="300"/>
    </row>
    <row r="82" spans="1:25" ht="15.75" customHeight="1" x14ac:dyDescent="0.2">
      <c r="A82" s="156" t="s">
        <v>0</v>
      </c>
      <c r="B82" s="157" t="s">
        <v>1</v>
      </c>
      <c r="C82" s="157" t="s">
        <v>42</v>
      </c>
      <c r="D82" s="157" t="s">
        <v>43</v>
      </c>
      <c r="E82" s="157" t="s">
        <v>44</v>
      </c>
      <c r="G82" s="296" t="s">
        <v>45</v>
      </c>
      <c r="H82" s="297"/>
      <c r="I82" s="297"/>
      <c r="J82" s="298"/>
      <c r="L82" s="311" t="s">
        <v>157</v>
      </c>
      <c r="M82" s="312"/>
      <c r="N82" s="312"/>
      <c r="O82" s="312"/>
      <c r="P82" s="312"/>
      <c r="Q82" s="313"/>
      <c r="S82" s="325" t="s">
        <v>157</v>
      </c>
      <c r="T82" s="297"/>
      <c r="U82" s="297"/>
      <c r="V82" s="297"/>
      <c r="W82" s="298"/>
      <c r="Y82" s="300"/>
    </row>
    <row r="83" spans="1:25" ht="15.75" customHeight="1" x14ac:dyDescent="0.2">
      <c r="A83" s="310" t="s">
        <v>8</v>
      </c>
      <c r="B83" s="297"/>
      <c r="C83" s="297"/>
      <c r="D83" s="297"/>
      <c r="E83" s="298"/>
      <c r="G83" s="305" t="s">
        <v>10</v>
      </c>
      <c r="H83" s="297"/>
      <c r="I83" s="297"/>
      <c r="J83" s="298"/>
      <c r="L83" s="317"/>
      <c r="M83" s="318"/>
      <c r="N83" s="318"/>
      <c r="O83" s="318"/>
      <c r="P83" s="318"/>
      <c r="Q83" s="319"/>
      <c r="S83" s="58" t="s">
        <v>160</v>
      </c>
      <c r="T83" s="59" t="s">
        <v>161</v>
      </c>
      <c r="U83" s="59" t="s">
        <v>162</v>
      </c>
      <c r="V83" s="61" t="s">
        <v>163</v>
      </c>
      <c r="W83" s="62" t="s">
        <v>165</v>
      </c>
      <c r="Y83" s="300"/>
    </row>
    <row r="84" spans="1:25" ht="15.75" customHeight="1" x14ac:dyDescent="0.25">
      <c r="A84" s="9" t="s">
        <v>11</v>
      </c>
      <c r="B84" s="9" t="s">
        <v>12</v>
      </c>
      <c r="C84" s="11">
        <v>680</v>
      </c>
      <c r="D84" s="22">
        <v>744</v>
      </c>
      <c r="E84" s="11">
        <v>680</v>
      </c>
      <c r="G84" s="12"/>
      <c r="H84" s="12" t="s">
        <v>52</v>
      </c>
      <c r="I84" s="12" t="s">
        <v>53</v>
      </c>
      <c r="J84" s="12"/>
      <c r="L84" s="63" t="s">
        <v>168</v>
      </c>
      <c r="M84" s="64" t="s">
        <v>169</v>
      </c>
      <c r="N84" s="64" t="s">
        <v>171</v>
      </c>
      <c r="O84" s="64" t="s">
        <v>172</v>
      </c>
      <c r="P84" s="65" t="s">
        <v>173</v>
      </c>
      <c r="Q84" s="66" t="s">
        <v>175</v>
      </c>
      <c r="S84" s="63" t="s">
        <v>176</v>
      </c>
      <c r="T84" s="67">
        <v>0.34799999999999998</v>
      </c>
      <c r="U84" s="68">
        <v>3.88</v>
      </c>
      <c r="V84" s="70">
        <f t="shared" ref="V84:V88" si="0">+U84/T84</f>
        <v>11.149425287356323</v>
      </c>
      <c r="W84" s="72"/>
      <c r="Y84" s="300"/>
    </row>
    <row r="85" spans="1:25" ht="15.75" customHeight="1" x14ac:dyDescent="0.25">
      <c r="A85" s="9" t="s">
        <v>11</v>
      </c>
      <c r="B85" s="12" t="s">
        <v>18</v>
      </c>
      <c r="C85" s="11">
        <v>0</v>
      </c>
      <c r="D85" s="22">
        <v>0</v>
      </c>
      <c r="E85" s="11">
        <v>0</v>
      </c>
      <c r="G85" s="12" t="s">
        <v>12</v>
      </c>
      <c r="H85" s="17">
        <v>750</v>
      </c>
      <c r="I85" s="17">
        <v>680</v>
      </c>
      <c r="J85" s="17" t="s">
        <v>895</v>
      </c>
      <c r="L85" s="73">
        <v>440</v>
      </c>
      <c r="M85" s="74">
        <v>-34</v>
      </c>
      <c r="N85" s="74">
        <f>+U84</f>
        <v>3.88</v>
      </c>
      <c r="O85" s="76">
        <f>+U87</f>
        <v>0.126</v>
      </c>
      <c r="P85" s="77" t="str">
        <f>+U85</f>
        <v xml:space="preserve">            </v>
      </c>
      <c r="Q85" s="78" t="e">
        <f>(L85-M85)*(N85-O85)/(P85-O85)+M85</f>
        <v>#VALUE!</v>
      </c>
      <c r="S85" s="80" t="s">
        <v>188</v>
      </c>
      <c r="T85" s="74">
        <v>0.33900000000000002</v>
      </c>
      <c r="U85" s="82" t="s">
        <v>896</v>
      </c>
      <c r="V85" s="84" t="e">
        <f t="shared" si="0"/>
        <v>#VALUE!</v>
      </c>
      <c r="W85" s="86" t="e">
        <f>(U85-U87)/(U84-U87)</f>
        <v>#VALUE!</v>
      </c>
      <c r="X85" s="21" t="s">
        <v>897</v>
      </c>
      <c r="Y85" s="300"/>
    </row>
    <row r="86" spans="1:25" ht="15.75" customHeight="1" x14ac:dyDescent="0.25">
      <c r="A86" s="9" t="s">
        <v>21</v>
      </c>
      <c r="B86" s="12" t="s">
        <v>59</v>
      </c>
      <c r="C86" s="11">
        <v>440</v>
      </c>
      <c r="D86" s="22">
        <v>543</v>
      </c>
      <c r="E86" s="11">
        <v>439</v>
      </c>
      <c r="G86" s="12" t="s">
        <v>18</v>
      </c>
      <c r="H86" s="17">
        <v>0</v>
      </c>
      <c r="I86" s="17">
        <v>0</v>
      </c>
      <c r="J86" s="17" t="s">
        <v>899</v>
      </c>
      <c r="L86" s="73" t="s">
        <v>168</v>
      </c>
      <c r="M86" s="74" t="s">
        <v>171</v>
      </c>
      <c r="N86" s="74" t="s">
        <v>190</v>
      </c>
      <c r="O86" s="74" t="s">
        <v>191</v>
      </c>
      <c r="P86" s="77" t="s">
        <v>173</v>
      </c>
      <c r="Q86" s="87" t="s">
        <v>192</v>
      </c>
      <c r="S86" s="80" t="s">
        <v>193</v>
      </c>
      <c r="T86" s="74">
        <v>0.26500000000000001</v>
      </c>
      <c r="U86" s="82">
        <v>0.95</v>
      </c>
      <c r="V86" s="84">
        <f t="shared" si="0"/>
        <v>3.5849056603773581</v>
      </c>
      <c r="W86" s="86">
        <f>(U86-U87)/(U84-U87)</f>
        <v>0.21949920085242408</v>
      </c>
      <c r="Y86" s="300"/>
    </row>
    <row r="87" spans="1:25" ht="15.75" customHeight="1" x14ac:dyDescent="0.25">
      <c r="A87" s="49" t="s">
        <v>21</v>
      </c>
      <c r="B87" s="10" t="s">
        <v>63</v>
      </c>
      <c r="C87" s="51">
        <v>160</v>
      </c>
      <c r="D87" s="169">
        <v>175</v>
      </c>
      <c r="E87" s="51">
        <v>151</v>
      </c>
      <c r="G87" s="305" t="s">
        <v>23</v>
      </c>
      <c r="H87" s="297"/>
      <c r="I87" s="297"/>
      <c r="J87" s="298"/>
      <c r="L87" s="73">
        <v>160</v>
      </c>
      <c r="M87" s="74">
        <f>+U84</f>
        <v>3.88</v>
      </c>
      <c r="N87" s="76">
        <f>+U87</f>
        <v>0.126</v>
      </c>
      <c r="O87" s="74" t="e">
        <f>+Q85</f>
        <v>#VALUE!</v>
      </c>
      <c r="P87" s="77">
        <f>+U86</f>
        <v>0.95</v>
      </c>
      <c r="Q87" s="90" t="e">
        <f>(L87*(M87-N87)-O87*(P87-N87))/(M87-P87)</f>
        <v>#VALUE!</v>
      </c>
      <c r="S87" s="80" t="s">
        <v>194</v>
      </c>
      <c r="T87" s="74">
        <v>0.20599999999999999</v>
      </c>
      <c r="U87" s="91">
        <v>0.126</v>
      </c>
      <c r="V87" s="84">
        <f t="shared" si="0"/>
        <v>0.61165048543689327</v>
      </c>
      <c r="W87" s="86"/>
      <c r="Y87" s="300"/>
    </row>
    <row r="88" spans="1:25" ht="15.75" customHeight="1" x14ac:dyDescent="0.25">
      <c r="A88" s="310" t="s">
        <v>29</v>
      </c>
      <c r="B88" s="297"/>
      <c r="C88" s="297"/>
      <c r="D88" s="297"/>
      <c r="E88" s="298"/>
      <c r="G88" s="12" t="s">
        <v>12</v>
      </c>
      <c r="H88" s="17">
        <v>700</v>
      </c>
      <c r="I88" s="17">
        <v>650</v>
      </c>
      <c r="J88" s="17" t="s">
        <v>909</v>
      </c>
      <c r="L88" s="80" t="s">
        <v>196</v>
      </c>
      <c r="M88" s="93"/>
      <c r="N88" s="93"/>
      <c r="O88" s="93"/>
      <c r="P88" s="94"/>
      <c r="Q88" s="95"/>
      <c r="S88" s="96" t="s">
        <v>197</v>
      </c>
      <c r="T88" s="97">
        <v>0.1</v>
      </c>
      <c r="U88" s="99">
        <v>0.46</v>
      </c>
      <c r="V88" s="100">
        <f t="shared" si="0"/>
        <v>4.5999999999999996</v>
      </c>
      <c r="W88" s="101">
        <f>+(U88-U87)/(U84-U87)</f>
        <v>8.897176345231754E-2</v>
      </c>
      <c r="Y88" s="300"/>
    </row>
    <row r="89" spans="1:25" ht="15.75" customHeight="1" x14ac:dyDescent="0.2">
      <c r="A89" s="9" t="s">
        <v>11</v>
      </c>
      <c r="B89" s="9" t="s">
        <v>12</v>
      </c>
      <c r="C89" s="11">
        <v>472</v>
      </c>
      <c r="D89" s="22">
        <v>699</v>
      </c>
      <c r="E89" s="22">
        <v>650</v>
      </c>
      <c r="G89" s="12" t="s">
        <v>18</v>
      </c>
      <c r="H89" s="17">
        <v>0</v>
      </c>
      <c r="I89" s="17">
        <v>0</v>
      </c>
      <c r="J89" s="17" t="s">
        <v>910</v>
      </c>
      <c r="L89" s="80" t="s">
        <v>199</v>
      </c>
      <c r="M89" s="93" t="s">
        <v>169</v>
      </c>
      <c r="N89" s="93" t="s">
        <v>200</v>
      </c>
      <c r="O89" s="93" t="s">
        <v>201</v>
      </c>
      <c r="P89" s="94" t="s">
        <v>191</v>
      </c>
      <c r="Q89" s="87" t="s">
        <v>202</v>
      </c>
      <c r="S89" s="311" t="s">
        <v>203</v>
      </c>
      <c r="T89" s="312"/>
      <c r="U89" s="312"/>
      <c r="V89" s="312"/>
      <c r="W89" s="313"/>
      <c r="Y89" s="300"/>
    </row>
    <row r="90" spans="1:25" ht="15.75" customHeight="1" x14ac:dyDescent="0.2">
      <c r="A90" s="9" t="s">
        <v>11</v>
      </c>
      <c r="B90" s="12" t="s">
        <v>18</v>
      </c>
      <c r="C90" s="11">
        <v>0</v>
      </c>
      <c r="D90" s="22">
        <v>0</v>
      </c>
      <c r="E90" s="22">
        <v>0</v>
      </c>
      <c r="L90" s="102">
        <f>+U88</f>
        <v>0.46</v>
      </c>
      <c r="M90" s="97" t="e">
        <f>+Q87</f>
        <v>#VALUE!</v>
      </c>
      <c r="N90" s="97">
        <f>+U84</f>
        <v>3.88</v>
      </c>
      <c r="O90" s="104">
        <f>+U87</f>
        <v>0.126</v>
      </c>
      <c r="P90" s="219" t="e">
        <f>+Q85</f>
        <v>#VALUE!</v>
      </c>
      <c r="Q90" s="106" t="e">
        <f>M90+(P90-M90)*(L90-O90)/(N90-O90)</f>
        <v>#VALUE!</v>
      </c>
      <c r="S90" s="314"/>
      <c r="T90" s="315"/>
      <c r="U90" s="315"/>
      <c r="V90" s="315"/>
      <c r="W90" s="316"/>
      <c r="Y90" s="300"/>
    </row>
    <row r="91" spans="1:25" ht="15.75" customHeight="1" x14ac:dyDescent="0.2">
      <c r="A91" s="9" t="s">
        <v>21</v>
      </c>
      <c r="B91" s="12" t="s">
        <v>59</v>
      </c>
      <c r="C91" s="11">
        <v>420</v>
      </c>
      <c r="D91" s="22">
        <v>490</v>
      </c>
      <c r="E91" s="22">
        <v>419</v>
      </c>
      <c r="L91" s="311" t="s">
        <v>204</v>
      </c>
      <c r="M91" s="312"/>
      <c r="N91" s="312"/>
      <c r="O91" s="312"/>
      <c r="P91" s="312"/>
      <c r="Q91" s="313"/>
      <c r="S91" s="317"/>
      <c r="T91" s="318"/>
      <c r="U91" s="318"/>
      <c r="V91" s="318"/>
      <c r="W91" s="319"/>
      <c r="Y91" s="300"/>
    </row>
    <row r="92" spans="1:25" ht="15.75" customHeight="1" x14ac:dyDescent="0.2">
      <c r="A92" s="9" t="s">
        <v>21</v>
      </c>
      <c r="B92" s="12" t="s">
        <v>63</v>
      </c>
      <c r="C92" s="11">
        <v>130</v>
      </c>
      <c r="D92" s="22">
        <v>167</v>
      </c>
      <c r="E92" s="22">
        <v>127</v>
      </c>
      <c r="L92" s="317"/>
      <c r="M92" s="318"/>
      <c r="N92" s="318"/>
      <c r="O92" s="318"/>
      <c r="P92" s="318"/>
      <c r="Q92" s="319"/>
      <c r="S92" s="58" t="s">
        <v>160</v>
      </c>
      <c r="T92" s="59" t="s">
        <v>161</v>
      </c>
      <c r="U92" s="59" t="s">
        <v>162</v>
      </c>
      <c r="V92" s="61" t="s">
        <v>163</v>
      </c>
      <c r="W92" s="62" t="s">
        <v>165</v>
      </c>
      <c r="Y92" s="300"/>
    </row>
    <row r="93" spans="1:25" ht="15.75" customHeight="1" x14ac:dyDescent="0.25">
      <c r="L93" s="63" t="s">
        <v>168</v>
      </c>
      <c r="M93" s="64" t="s">
        <v>169</v>
      </c>
      <c r="N93" s="64" t="s">
        <v>171</v>
      </c>
      <c r="O93" s="64" t="s">
        <v>172</v>
      </c>
      <c r="P93" s="65" t="s">
        <v>173</v>
      </c>
      <c r="Q93" s="66" t="s">
        <v>175</v>
      </c>
      <c r="S93" s="63" t="s">
        <v>176</v>
      </c>
      <c r="T93" s="67">
        <v>0.32500000000000001</v>
      </c>
      <c r="U93" s="68">
        <v>2.121</v>
      </c>
      <c r="V93" s="70">
        <f t="shared" ref="V93:V97" si="1">+U93/T93</f>
        <v>6.5261538461538455</v>
      </c>
      <c r="W93" s="107"/>
      <c r="Y93" s="300"/>
    </row>
    <row r="94" spans="1:25" ht="15.75" customHeight="1" x14ac:dyDescent="0.25">
      <c r="L94" s="73">
        <v>410</v>
      </c>
      <c r="M94" s="74">
        <v>82</v>
      </c>
      <c r="N94" s="74">
        <f>+U93</f>
        <v>2.121</v>
      </c>
      <c r="O94" s="76">
        <f>+U96</f>
        <v>0.125</v>
      </c>
      <c r="P94" s="77">
        <f>+U94</f>
        <v>1.6</v>
      </c>
      <c r="Q94" s="108">
        <f>(L94-M94)*(N94-O94)/(P94-O94)+M94</f>
        <v>525.85627118644061</v>
      </c>
      <c r="S94" s="80" t="s">
        <v>188</v>
      </c>
      <c r="T94" s="74">
        <v>0.3</v>
      </c>
      <c r="U94" s="82">
        <v>1.6</v>
      </c>
      <c r="V94" s="84">
        <f t="shared" si="1"/>
        <v>5.3333333333333339</v>
      </c>
      <c r="W94" s="86">
        <f>(U94-U96)/(U93-U96)</f>
        <v>0.73897795591182369</v>
      </c>
      <c r="Y94" s="300"/>
    </row>
    <row r="95" spans="1:25" ht="15.75" customHeight="1" x14ac:dyDescent="0.25">
      <c r="L95" s="73" t="s">
        <v>168</v>
      </c>
      <c r="M95" s="74" t="s">
        <v>171</v>
      </c>
      <c r="N95" s="74" t="s">
        <v>190</v>
      </c>
      <c r="O95" s="74" t="s">
        <v>191</v>
      </c>
      <c r="P95" s="77" t="s">
        <v>173</v>
      </c>
      <c r="Q95" s="87" t="s">
        <v>192</v>
      </c>
      <c r="S95" s="80" t="s">
        <v>193</v>
      </c>
      <c r="T95" s="74">
        <v>0.222</v>
      </c>
      <c r="U95" s="91">
        <v>0.186</v>
      </c>
      <c r="V95" s="84">
        <f t="shared" si="1"/>
        <v>0.83783783783783783</v>
      </c>
      <c r="W95" s="86">
        <f>(U95-U96)/(U93-U96)</f>
        <v>3.0561122244488977E-2</v>
      </c>
      <c r="Y95" s="300"/>
    </row>
    <row r="96" spans="1:25" ht="15.75" customHeight="1" x14ac:dyDescent="0.25">
      <c r="L96" s="73">
        <v>120</v>
      </c>
      <c r="M96" s="74">
        <f>+U93</f>
        <v>2.121</v>
      </c>
      <c r="N96" s="76">
        <f>+U96</f>
        <v>0.125</v>
      </c>
      <c r="O96" s="74">
        <f>+Q94</f>
        <v>525.85627118644061</v>
      </c>
      <c r="P96" s="109">
        <f>+U95</f>
        <v>0.186</v>
      </c>
      <c r="Q96" s="78">
        <f>(L96*(M96-N96)-O96*(P96-N96))/(M96-P96)</f>
        <v>107.20556457758508</v>
      </c>
      <c r="S96" s="80" t="s">
        <v>194</v>
      </c>
      <c r="T96" s="74">
        <v>0.158</v>
      </c>
      <c r="U96" s="91">
        <v>0.125</v>
      </c>
      <c r="V96" s="84">
        <f t="shared" si="1"/>
        <v>0.79113924050632911</v>
      </c>
      <c r="W96" s="86"/>
      <c r="Y96" s="300"/>
    </row>
    <row r="97" spans="1:25" ht="15.75" customHeight="1" x14ac:dyDescent="0.25">
      <c r="L97" s="80" t="s">
        <v>196</v>
      </c>
      <c r="M97" s="93"/>
      <c r="N97" s="93"/>
      <c r="O97" s="93"/>
      <c r="P97" s="94"/>
      <c r="Q97" s="95"/>
      <c r="S97" s="111" t="s">
        <v>197</v>
      </c>
      <c r="T97" s="112">
        <v>0.105</v>
      </c>
      <c r="U97" s="113">
        <v>0.155</v>
      </c>
      <c r="V97" s="114">
        <f t="shared" si="1"/>
        <v>1.4761904761904763</v>
      </c>
      <c r="W97" s="115">
        <f>+(U97-U96)/(U93-U96)</f>
        <v>1.503006012024048E-2</v>
      </c>
      <c r="Y97" s="300"/>
    </row>
    <row r="98" spans="1:25" ht="15.75" customHeight="1" x14ac:dyDescent="0.2">
      <c r="L98" s="80" t="s">
        <v>199</v>
      </c>
      <c r="M98" s="93" t="s">
        <v>169</v>
      </c>
      <c r="N98" s="93" t="s">
        <v>200</v>
      </c>
      <c r="O98" s="93" t="s">
        <v>201</v>
      </c>
      <c r="P98" s="94" t="s">
        <v>191</v>
      </c>
      <c r="Q98" s="87" t="s">
        <v>202</v>
      </c>
      <c r="Y98" s="300"/>
    </row>
    <row r="99" spans="1:25" ht="15.75" customHeight="1" x14ac:dyDescent="0.2">
      <c r="L99" s="116">
        <f>+U97</f>
        <v>0.155</v>
      </c>
      <c r="M99" s="117">
        <f>+Q96</f>
        <v>107.20556457758508</v>
      </c>
      <c r="N99" s="112">
        <f>+U93</f>
        <v>2.121</v>
      </c>
      <c r="O99" s="118">
        <f>+U96</f>
        <v>0.125</v>
      </c>
      <c r="P99" s="119">
        <f>+Q94</f>
        <v>525.85627118644061</v>
      </c>
      <c r="Q99" s="78">
        <f>M99+(P99-M99)*(L99-O99)/(N99-O99)</f>
        <v>113.49790986729734</v>
      </c>
      <c r="T99" s="121"/>
      <c r="Y99" s="300"/>
    </row>
    <row r="100" spans="1:25" ht="15.75" customHeight="1" x14ac:dyDescent="0.2">
      <c r="Y100" s="301"/>
    </row>
    <row r="101" spans="1:25" ht="15.75" customHeight="1" x14ac:dyDescent="0.2"/>
    <row r="102" spans="1:25" ht="15.75" customHeight="1" x14ac:dyDescent="0.25">
      <c r="A102" s="345"/>
      <c r="B102" s="297"/>
      <c r="C102" s="297"/>
      <c r="D102" s="297"/>
      <c r="E102" s="297"/>
      <c r="F102" s="297"/>
      <c r="G102" s="297"/>
      <c r="H102" s="297"/>
      <c r="I102" s="297"/>
      <c r="J102" s="297"/>
      <c r="K102" s="297"/>
      <c r="L102" s="297"/>
      <c r="M102" s="297"/>
      <c r="N102" s="297"/>
      <c r="O102" s="297"/>
      <c r="P102" s="297"/>
      <c r="Q102" s="297"/>
      <c r="R102" s="297"/>
      <c r="S102" s="297"/>
      <c r="T102" s="297"/>
      <c r="U102" s="297"/>
      <c r="V102" s="297"/>
      <c r="W102" s="297"/>
      <c r="X102" s="297"/>
      <c r="Y102" s="298"/>
    </row>
    <row r="103" spans="1:25" ht="15.75" customHeight="1" x14ac:dyDescent="0.3">
      <c r="A103" s="161" t="s">
        <v>353</v>
      </c>
      <c r="B103" s="163" t="s">
        <v>860</v>
      </c>
      <c r="Y103" s="346"/>
    </row>
    <row r="104" spans="1:25" ht="15.75" customHeight="1" x14ac:dyDescent="0.3">
      <c r="A104" s="164" t="s">
        <v>360</v>
      </c>
      <c r="B104" s="165">
        <v>43244</v>
      </c>
      <c r="Y104" s="300"/>
    </row>
    <row r="105" spans="1:25" ht="15.75" customHeight="1" x14ac:dyDescent="0.3">
      <c r="L105" s="320" t="s">
        <v>153</v>
      </c>
      <c r="M105" s="297"/>
      <c r="N105" s="297"/>
      <c r="O105" s="297"/>
      <c r="P105" s="297"/>
      <c r="Q105" s="298"/>
      <c r="S105" s="321" t="s">
        <v>154</v>
      </c>
      <c r="T105" s="322"/>
      <c r="U105" s="322"/>
      <c r="V105" s="322"/>
      <c r="W105" s="323"/>
      <c r="Y105" s="300"/>
    </row>
    <row r="106" spans="1:25" ht="15.75" customHeight="1" x14ac:dyDescent="0.2">
      <c r="A106" s="156" t="s">
        <v>0</v>
      </c>
      <c r="B106" s="157" t="s">
        <v>1</v>
      </c>
      <c r="C106" s="157" t="s">
        <v>42</v>
      </c>
      <c r="D106" s="157" t="s">
        <v>43</v>
      </c>
      <c r="E106" s="157" t="s">
        <v>44</v>
      </c>
      <c r="G106" s="296" t="s">
        <v>45</v>
      </c>
      <c r="H106" s="297"/>
      <c r="I106" s="297"/>
      <c r="J106" s="298"/>
      <c r="L106" s="311" t="s">
        <v>157</v>
      </c>
      <c r="M106" s="312"/>
      <c r="N106" s="312"/>
      <c r="O106" s="312"/>
      <c r="P106" s="312"/>
      <c r="Q106" s="313"/>
      <c r="S106" s="325" t="s">
        <v>157</v>
      </c>
      <c r="T106" s="297"/>
      <c r="U106" s="297"/>
      <c r="V106" s="297"/>
      <c r="W106" s="298"/>
      <c r="Y106" s="300"/>
    </row>
    <row r="107" spans="1:25" ht="15.75" customHeight="1" x14ac:dyDescent="0.2">
      <c r="A107" s="310" t="s">
        <v>8</v>
      </c>
      <c r="B107" s="297"/>
      <c r="C107" s="297"/>
      <c r="D107" s="297"/>
      <c r="E107" s="298"/>
      <c r="G107" s="305" t="s">
        <v>10</v>
      </c>
      <c r="H107" s="297"/>
      <c r="I107" s="297"/>
      <c r="J107" s="298"/>
      <c r="L107" s="317"/>
      <c r="M107" s="318"/>
      <c r="N107" s="318"/>
      <c r="O107" s="318"/>
      <c r="P107" s="318"/>
      <c r="Q107" s="319"/>
      <c r="S107" s="58" t="s">
        <v>160</v>
      </c>
      <c r="T107" s="59" t="s">
        <v>161</v>
      </c>
      <c r="U107" s="59" t="s">
        <v>162</v>
      </c>
      <c r="V107" s="61" t="s">
        <v>163</v>
      </c>
      <c r="W107" s="62" t="s">
        <v>165</v>
      </c>
      <c r="Y107" s="300"/>
    </row>
    <row r="108" spans="1:25" ht="15.75" customHeight="1" x14ac:dyDescent="0.25">
      <c r="A108" s="9" t="s">
        <v>11</v>
      </c>
      <c r="B108" s="9" t="s">
        <v>12</v>
      </c>
      <c r="C108" s="11">
        <v>690</v>
      </c>
      <c r="D108" s="11">
        <v>680</v>
      </c>
      <c r="E108" s="11">
        <v>720</v>
      </c>
      <c r="G108" s="12"/>
      <c r="H108" s="12" t="s">
        <v>52</v>
      </c>
      <c r="I108" s="12" t="s">
        <v>53</v>
      </c>
      <c r="J108" s="12"/>
      <c r="L108" s="63" t="s">
        <v>168</v>
      </c>
      <c r="M108" s="64" t="s">
        <v>169</v>
      </c>
      <c r="N108" s="64" t="s">
        <v>171</v>
      </c>
      <c r="O108" s="64" t="s">
        <v>172</v>
      </c>
      <c r="P108" s="65" t="s">
        <v>173</v>
      </c>
      <c r="Q108" s="66" t="s">
        <v>175</v>
      </c>
      <c r="S108" s="63" t="s">
        <v>176</v>
      </c>
      <c r="T108" s="67">
        <v>0.34799999999999998</v>
      </c>
      <c r="U108" s="68">
        <v>3.88</v>
      </c>
      <c r="V108" s="70">
        <f t="shared" ref="V108:V112" si="2">+U108/T108</f>
        <v>11.149425287356323</v>
      </c>
      <c r="W108" s="72"/>
      <c r="Y108" s="300"/>
    </row>
    <row r="109" spans="1:25" ht="15.75" customHeight="1" x14ac:dyDescent="0.25">
      <c r="A109" s="9" t="s">
        <v>11</v>
      </c>
      <c r="B109" s="12" t="s">
        <v>18</v>
      </c>
      <c r="C109" s="11">
        <v>0</v>
      </c>
      <c r="D109" s="11">
        <v>0</v>
      </c>
      <c r="E109" s="11">
        <v>0</v>
      </c>
      <c r="G109" s="12" t="s">
        <v>12</v>
      </c>
      <c r="H109" s="17">
        <v>690</v>
      </c>
      <c r="I109" s="17">
        <v>720</v>
      </c>
      <c r="J109" s="17" t="s">
        <v>912</v>
      </c>
      <c r="L109" s="73">
        <v>440</v>
      </c>
      <c r="M109" s="74">
        <v>-34</v>
      </c>
      <c r="N109" s="74">
        <f>+U108</f>
        <v>3.88</v>
      </c>
      <c r="O109" s="76">
        <f>+U111</f>
        <v>0.126</v>
      </c>
      <c r="P109" s="77" t="str">
        <f>+U109</f>
        <v xml:space="preserve">            </v>
      </c>
      <c r="Q109" s="78" t="e">
        <f>(L109-M109)*(N109-O109)/(P109-O109)+M109</f>
        <v>#VALUE!</v>
      </c>
      <c r="S109" s="80" t="s">
        <v>188</v>
      </c>
      <c r="T109" s="74">
        <v>0.33900000000000002</v>
      </c>
      <c r="U109" s="82" t="s">
        <v>896</v>
      </c>
      <c r="V109" s="84" t="e">
        <f t="shared" si="2"/>
        <v>#VALUE!</v>
      </c>
      <c r="W109" s="86" t="e">
        <f>(U109-U111)/(U108-U111)</f>
        <v>#VALUE!</v>
      </c>
      <c r="X109" s="21" t="s">
        <v>897</v>
      </c>
      <c r="Y109" s="300"/>
    </row>
    <row r="110" spans="1:25" ht="15.75" customHeight="1" x14ac:dyDescent="0.25">
      <c r="A110" s="9" t="s">
        <v>21</v>
      </c>
      <c r="B110" s="12" t="s">
        <v>59</v>
      </c>
      <c r="C110" s="11">
        <v>440</v>
      </c>
      <c r="D110" s="11">
        <v>439</v>
      </c>
      <c r="E110" s="11">
        <v>189</v>
      </c>
      <c r="G110" s="12" t="s">
        <v>18</v>
      </c>
      <c r="H110" s="17">
        <v>0</v>
      </c>
      <c r="I110" s="17">
        <v>0</v>
      </c>
      <c r="J110" s="17" t="s">
        <v>914</v>
      </c>
      <c r="L110" s="73" t="s">
        <v>168</v>
      </c>
      <c r="M110" s="74" t="s">
        <v>171</v>
      </c>
      <c r="N110" s="74" t="s">
        <v>190</v>
      </c>
      <c r="O110" s="74" t="s">
        <v>191</v>
      </c>
      <c r="P110" s="77" t="s">
        <v>173</v>
      </c>
      <c r="Q110" s="87" t="s">
        <v>192</v>
      </c>
      <c r="S110" s="80" t="s">
        <v>193</v>
      </c>
      <c r="T110" s="74">
        <v>0.26500000000000001</v>
      </c>
      <c r="U110" s="82">
        <v>0.95</v>
      </c>
      <c r="V110" s="84">
        <f t="shared" si="2"/>
        <v>3.5849056603773581</v>
      </c>
      <c r="W110" s="86">
        <f>(U110-U111)/(U108-U111)</f>
        <v>0.21949920085242408</v>
      </c>
      <c r="Y110" s="300"/>
    </row>
    <row r="111" spans="1:25" ht="15.75" customHeight="1" x14ac:dyDescent="0.25">
      <c r="A111" s="49" t="s">
        <v>21</v>
      </c>
      <c r="B111" s="10" t="s">
        <v>63</v>
      </c>
      <c r="C111" s="51">
        <v>160</v>
      </c>
      <c r="D111" s="51">
        <v>151</v>
      </c>
      <c r="E111" s="51">
        <v>481</v>
      </c>
      <c r="G111" s="305" t="s">
        <v>23</v>
      </c>
      <c r="H111" s="297"/>
      <c r="I111" s="297"/>
      <c r="J111" s="298"/>
      <c r="L111" s="73">
        <v>160</v>
      </c>
      <c r="M111" s="74">
        <f>+U108</f>
        <v>3.88</v>
      </c>
      <c r="N111" s="76">
        <f>+U111</f>
        <v>0.126</v>
      </c>
      <c r="O111" s="74" t="e">
        <f>+Q109</f>
        <v>#VALUE!</v>
      </c>
      <c r="P111" s="77">
        <f>+U110</f>
        <v>0.95</v>
      </c>
      <c r="Q111" s="90" t="e">
        <f>(L111*(M111-N111)-O111*(P111-N111))/(M111-P111)</f>
        <v>#VALUE!</v>
      </c>
      <c r="S111" s="80" t="s">
        <v>194</v>
      </c>
      <c r="T111" s="74">
        <v>0.20599999999999999</v>
      </c>
      <c r="U111" s="91">
        <v>0.126</v>
      </c>
      <c r="V111" s="84">
        <f t="shared" si="2"/>
        <v>0.61165048543689327</v>
      </c>
      <c r="W111" s="86"/>
      <c r="Y111" s="300"/>
    </row>
    <row r="112" spans="1:25" ht="15.75" customHeight="1" x14ac:dyDescent="0.25">
      <c r="A112" s="310" t="s">
        <v>29</v>
      </c>
      <c r="B112" s="297"/>
      <c r="C112" s="297"/>
      <c r="D112" s="297"/>
      <c r="E112" s="298"/>
      <c r="G112" s="12" t="s">
        <v>12</v>
      </c>
      <c r="H112" s="17">
        <v>650</v>
      </c>
      <c r="I112" s="17">
        <v>690</v>
      </c>
      <c r="J112" s="17" t="s">
        <v>916</v>
      </c>
      <c r="L112" s="80" t="s">
        <v>196</v>
      </c>
      <c r="M112" s="93"/>
      <c r="N112" s="93"/>
      <c r="O112" s="93"/>
      <c r="P112" s="94"/>
      <c r="Q112" s="95"/>
      <c r="S112" s="96" t="s">
        <v>197</v>
      </c>
      <c r="T112" s="97">
        <v>0.1</v>
      </c>
      <c r="U112" s="99">
        <v>0.46</v>
      </c>
      <c r="V112" s="100">
        <f t="shared" si="2"/>
        <v>4.5999999999999996</v>
      </c>
      <c r="W112" s="101">
        <f>+(U112-U111)/(U108-U111)</f>
        <v>8.897176345231754E-2</v>
      </c>
      <c r="Y112" s="300"/>
    </row>
    <row r="113" spans="1:25" ht="15.75" customHeight="1" x14ac:dyDescent="0.2">
      <c r="A113" s="9" t="s">
        <v>11</v>
      </c>
      <c r="B113" s="9" t="s">
        <v>12</v>
      </c>
      <c r="C113" s="11">
        <v>650</v>
      </c>
      <c r="D113" s="22">
        <v>650</v>
      </c>
      <c r="E113" s="22">
        <v>690</v>
      </c>
      <c r="G113" s="12" t="s">
        <v>18</v>
      </c>
      <c r="H113" s="17">
        <v>0</v>
      </c>
      <c r="I113" s="17">
        <v>0</v>
      </c>
      <c r="J113" s="17" t="s">
        <v>917</v>
      </c>
      <c r="L113" s="80" t="s">
        <v>199</v>
      </c>
      <c r="M113" s="93" t="s">
        <v>169</v>
      </c>
      <c r="N113" s="93" t="s">
        <v>200</v>
      </c>
      <c r="O113" s="93" t="s">
        <v>201</v>
      </c>
      <c r="P113" s="94" t="s">
        <v>191</v>
      </c>
      <c r="Q113" s="87" t="s">
        <v>202</v>
      </c>
      <c r="S113" s="311" t="s">
        <v>203</v>
      </c>
      <c r="T113" s="312"/>
      <c r="U113" s="312"/>
      <c r="V113" s="312"/>
      <c r="W113" s="313"/>
      <c r="Y113" s="300"/>
    </row>
    <row r="114" spans="1:25" ht="15.75" customHeight="1" x14ac:dyDescent="0.2">
      <c r="A114" s="9" t="s">
        <v>11</v>
      </c>
      <c r="B114" s="12" t="s">
        <v>18</v>
      </c>
      <c r="C114" s="11">
        <v>0</v>
      </c>
      <c r="D114" s="22">
        <v>0</v>
      </c>
      <c r="E114" s="22">
        <v>0</v>
      </c>
      <c r="L114" s="102">
        <f>+U112</f>
        <v>0.46</v>
      </c>
      <c r="M114" s="97" t="e">
        <f>+Q111</f>
        <v>#VALUE!</v>
      </c>
      <c r="N114" s="97">
        <f>+U108</f>
        <v>3.88</v>
      </c>
      <c r="O114" s="104">
        <f>+U111</f>
        <v>0.126</v>
      </c>
      <c r="P114" s="219" t="e">
        <f>+Q109</f>
        <v>#VALUE!</v>
      </c>
      <c r="Q114" s="106" t="e">
        <f>M114+(P114-M114)*(L114-O114)/(N114-O114)</f>
        <v>#VALUE!</v>
      </c>
      <c r="S114" s="314"/>
      <c r="T114" s="315"/>
      <c r="U114" s="315"/>
      <c r="V114" s="315"/>
      <c r="W114" s="316"/>
      <c r="Y114" s="300"/>
    </row>
    <row r="115" spans="1:25" ht="15.75" customHeight="1" x14ac:dyDescent="0.2">
      <c r="A115" s="9" t="s">
        <v>21</v>
      </c>
      <c r="B115" s="12" t="s">
        <v>59</v>
      </c>
      <c r="C115" s="11">
        <v>420</v>
      </c>
      <c r="D115" s="22">
        <v>419</v>
      </c>
      <c r="E115" s="22">
        <v>453</v>
      </c>
      <c r="L115" s="311" t="s">
        <v>204</v>
      </c>
      <c r="M115" s="312"/>
      <c r="N115" s="312"/>
      <c r="O115" s="312"/>
      <c r="P115" s="312"/>
      <c r="Q115" s="313"/>
      <c r="S115" s="317"/>
      <c r="T115" s="318"/>
      <c r="U115" s="318"/>
      <c r="V115" s="318"/>
      <c r="W115" s="319"/>
      <c r="Y115" s="300"/>
    </row>
    <row r="116" spans="1:25" ht="15.75" customHeight="1" x14ac:dyDescent="0.2">
      <c r="A116" s="9" t="s">
        <v>21</v>
      </c>
      <c r="B116" s="12" t="s">
        <v>63</v>
      </c>
      <c r="C116" s="11">
        <v>140</v>
      </c>
      <c r="D116" s="22">
        <v>127</v>
      </c>
      <c r="E116" s="22">
        <v>164</v>
      </c>
      <c r="L116" s="317"/>
      <c r="M116" s="318"/>
      <c r="N116" s="318"/>
      <c r="O116" s="318"/>
      <c r="P116" s="318"/>
      <c r="Q116" s="319"/>
      <c r="S116" s="58" t="s">
        <v>160</v>
      </c>
      <c r="T116" s="59" t="s">
        <v>161</v>
      </c>
      <c r="U116" s="59" t="s">
        <v>162</v>
      </c>
      <c r="V116" s="61" t="s">
        <v>163</v>
      </c>
      <c r="W116" s="62" t="s">
        <v>165</v>
      </c>
      <c r="Y116" s="300"/>
    </row>
    <row r="117" spans="1:25" ht="15.75" customHeight="1" x14ac:dyDescent="0.25">
      <c r="L117" s="63" t="s">
        <v>168</v>
      </c>
      <c r="M117" s="64" t="s">
        <v>169</v>
      </c>
      <c r="N117" s="64" t="s">
        <v>171</v>
      </c>
      <c r="O117" s="64" t="s">
        <v>172</v>
      </c>
      <c r="P117" s="65" t="s">
        <v>173</v>
      </c>
      <c r="Q117" s="66" t="s">
        <v>175</v>
      </c>
      <c r="S117" s="63" t="s">
        <v>176</v>
      </c>
      <c r="T117" s="67">
        <v>0.32500000000000001</v>
      </c>
      <c r="U117" s="68">
        <v>2.121</v>
      </c>
      <c r="V117" s="70">
        <f t="shared" ref="V117:V121" si="3">+U117/T117</f>
        <v>6.5261538461538455</v>
      </c>
      <c r="W117" s="107"/>
      <c r="Y117" s="300"/>
    </row>
    <row r="118" spans="1:25" ht="15.75" customHeight="1" x14ac:dyDescent="0.25">
      <c r="L118" s="73">
        <v>410</v>
      </c>
      <c r="M118" s="74">
        <v>82</v>
      </c>
      <c r="N118" s="74">
        <f>+U117</f>
        <v>2.121</v>
      </c>
      <c r="O118" s="76">
        <f>+U120</f>
        <v>0.125</v>
      </c>
      <c r="P118" s="77">
        <f>+U118</f>
        <v>1.6</v>
      </c>
      <c r="Q118" s="108">
        <f>(L118-M118)*(N118-O118)/(P118-O118)+M118</f>
        <v>525.85627118644061</v>
      </c>
      <c r="S118" s="80" t="s">
        <v>188</v>
      </c>
      <c r="T118" s="74">
        <v>0.3</v>
      </c>
      <c r="U118" s="82">
        <v>1.6</v>
      </c>
      <c r="V118" s="84">
        <f t="shared" si="3"/>
        <v>5.3333333333333339</v>
      </c>
      <c r="W118" s="86">
        <f>(U118-U120)/(U117-U120)</f>
        <v>0.73897795591182369</v>
      </c>
      <c r="Y118" s="300"/>
    </row>
    <row r="119" spans="1:25" ht="15.75" customHeight="1" x14ac:dyDescent="0.25">
      <c r="L119" s="73" t="s">
        <v>168</v>
      </c>
      <c r="M119" s="74" t="s">
        <v>171</v>
      </c>
      <c r="N119" s="74" t="s">
        <v>190</v>
      </c>
      <c r="O119" s="74" t="s">
        <v>191</v>
      </c>
      <c r="P119" s="77" t="s">
        <v>173</v>
      </c>
      <c r="Q119" s="87" t="s">
        <v>192</v>
      </c>
      <c r="S119" s="80" t="s">
        <v>193</v>
      </c>
      <c r="T119" s="74">
        <v>0.222</v>
      </c>
      <c r="U119" s="91">
        <v>0.186</v>
      </c>
      <c r="V119" s="84">
        <f t="shared" si="3"/>
        <v>0.83783783783783783</v>
      </c>
      <c r="W119" s="86">
        <f>(U119-U120)/(U117-U120)</f>
        <v>3.0561122244488977E-2</v>
      </c>
      <c r="Y119" s="300"/>
    </row>
    <row r="120" spans="1:25" ht="15.75" customHeight="1" x14ac:dyDescent="0.25">
      <c r="L120" s="73">
        <v>120</v>
      </c>
      <c r="M120" s="74">
        <f>+U117</f>
        <v>2.121</v>
      </c>
      <c r="N120" s="76">
        <f>+U120</f>
        <v>0.125</v>
      </c>
      <c r="O120" s="74">
        <f>+Q118</f>
        <v>525.85627118644061</v>
      </c>
      <c r="P120" s="109">
        <f>+U119</f>
        <v>0.186</v>
      </c>
      <c r="Q120" s="78">
        <f>(L120*(M120-N120)-O120*(P120-N120))/(M120-P120)</f>
        <v>107.20556457758508</v>
      </c>
      <c r="S120" s="80" t="s">
        <v>194</v>
      </c>
      <c r="T120" s="74">
        <v>0.158</v>
      </c>
      <c r="U120" s="91">
        <v>0.125</v>
      </c>
      <c r="V120" s="84">
        <f t="shared" si="3"/>
        <v>0.79113924050632911</v>
      </c>
      <c r="W120" s="86"/>
      <c r="Y120" s="300"/>
    </row>
    <row r="121" spans="1:25" ht="15.75" customHeight="1" x14ac:dyDescent="0.25">
      <c r="L121" s="80" t="s">
        <v>196</v>
      </c>
      <c r="M121" s="93"/>
      <c r="N121" s="93"/>
      <c r="O121" s="93"/>
      <c r="P121" s="94"/>
      <c r="Q121" s="95"/>
      <c r="S121" s="111" t="s">
        <v>197</v>
      </c>
      <c r="T121" s="112">
        <v>0.105</v>
      </c>
      <c r="U121" s="113">
        <v>0.155</v>
      </c>
      <c r="V121" s="114">
        <f t="shared" si="3"/>
        <v>1.4761904761904763</v>
      </c>
      <c r="W121" s="115">
        <f>+(U121-U120)/(U117-U120)</f>
        <v>1.503006012024048E-2</v>
      </c>
      <c r="Y121" s="300"/>
    </row>
    <row r="122" spans="1:25" ht="15.75" customHeight="1" x14ac:dyDescent="0.2">
      <c r="L122" s="80" t="s">
        <v>199</v>
      </c>
      <c r="M122" s="93" t="s">
        <v>169</v>
      </c>
      <c r="N122" s="93" t="s">
        <v>200</v>
      </c>
      <c r="O122" s="93" t="s">
        <v>201</v>
      </c>
      <c r="P122" s="94" t="s">
        <v>191</v>
      </c>
      <c r="Q122" s="87" t="s">
        <v>202</v>
      </c>
      <c r="Y122" s="300"/>
    </row>
    <row r="123" spans="1:25" ht="15.75" customHeight="1" x14ac:dyDescent="0.2">
      <c r="L123" s="116">
        <f>+U121</f>
        <v>0.155</v>
      </c>
      <c r="M123" s="117">
        <f>+Q120</f>
        <v>107.20556457758508</v>
      </c>
      <c r="N123" s="112">
        <f>+U117</f>
        <v>2.121</v>
      </c>
      <c r="O123" s="118">
        <f>+U120</f>
        <v>0.125</v>
      </c>
      <c r="P123" s="119">
        <f>+Q118</f>
        <v>525.85627118644061</v>
      </c>
      <c r="Q123" s="78">
        <f>M123+(P123-M123)*(L123-O123)/(N123-O123)</f>
        <v>113.49790986729734</v>
      </c>
      <c r="T123" s="121"/>
      <c r="Y123" s="300"/>
    </row>
    <row r="124" spans="1:25" ht="15.75" customHeight="1" x14ac:dyDescent="0.2">
      <c r="Y124" s="301"/>
    </row>
    <row r="125" spans="1:25" ht="15.75" customHeight="1" x14ac:dyDescent="0.2"/>
    <row r="126" spans="1:25" ht="15.75" customHeight="1" x14ac:dyDescent="0.2"/>
    <row r="127" spans="1:25" ht="15.75" customHeight="1" x14ac:dyDescent="0.2"/>
    <row r="128" spans="1:25" ht="15.75" customHeight="1" x14ac:dyDescent="0.2"/>
    <row r="129" spans="1:28" ht="15.75" customHeight="1" x14ac:dyDescent="0.2"/>
    <row r="130" spans="1:28" ht="15.75" customHeight="1" x14ac:dyDescent="0.2"/>
    <row r="131" spans="1:28" ht="15.75" customHeight="1" x14ac:dyDescent="0.2"/>
    <row r="132" spans="1:28" ht="15.75" customHeight="1" x14ac:dyDescent="0.25">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row>
    <row r="133" spans="1:28" ht="15.75" customHeight="1" x14ac:dyDescent="0.2"/>
    <row r="134" spans="1:28" ht="15.75" customHeight="1" x14ac:dyDescent="0.25">
      <c r="A134" s="23" t="s">
        <v>868</v>
      </c>
      <c r="B134" s="28"/>
      <c r="C134" s="28"/>
      <c r="D134" s="28"/>
      <c r="E134" s="28"/>
      <c r="F134" s="28"/>
      <c r="G134" s="28"/>
      <c r="H134" s="28"/>
      <c r="I134" s="28"/>
      <c r="J134" s="28"/>
      <c r="K134" s="28"/>
      <c r="L134" s="28"/>
      <c r="M134" s="28"/>
      <c r="N134" s="28"/>
    </row>
    <row r="135" spans="1:28" ht="15.75" customHeight="1" x14ac:dyDescent="0.25">
      <c r="A135" s="28"/>
      <c r="B135" s="28"/>
      <c r="C135" s="28"/>
      <c r="D135" s="28"/>
      <c r="E135" s="28"/>
      <c r="F135" s="28"/>
      <c r="G135" s="28"/>
      <c r="H135" s="28"/>
      <c r="I135" s="28"/>
      <c r="J135" s="28"/>
      <c r="K135" s="28"/>
      <c r="L135" s="28"/>
      <c r="M135" s="28"/>
      <c r="N135" s="28"/>
    </row>
    <row r="136" spans="1:28" ht="15.75" customHeight="1" x14ac:dyDescent="0.25">
      <c r="A136" s="28"/>
      <c r="B136" s="28"/>
      <c r="C136" s="28"/>
      <c r="D136" s="28"/>
      <c r="E136" s="28"/>
      <c r="F136" s="28"/>
      <c r="G136" s="28"/>
      <c r="H136" s="28"/>
      <c r="I136" s="28"/>
      <c r="J136" s="28"/>
      <c r="K136" s="28"/>
      <c r="L136" s="28"/>
      <c r="M136" s="28"/>
      <c r="N136" s="28"/>
    </row>
    <row r="137" spans="1:28" ht="15.75" customHeight="1" x14ac:dyDescent="0.25">
      <c r="A137" s="28"/>
      <c r="B137" s="212" t="s">
        <v>851</v>
      </c>
      <c r="C137" s="361">
        <v>43589</v>
      </c>
      <c r="D137" s="297"/>
      <c r="E137" s="297"/>
      <c r="F137" s="298"/>
      <c r="G137" s="28"/>
      <c r="H137" s="28"/>
      <c r="I137" s="3"/>
      <c r="J137" s="28"/>
      <c r="K137" s="28"/>
      <c r="L137" s="28"/>
      <c r="M137" s="28"/>
      <c r="N137" s="28"/>
    </row>
    <row r="138" spans="1:28" ht="15.75" customHeight="1" x14ac:dyDescent="0.25">
      <c r="A138" s="28"/>
      <c r="B138" s="4" t="s">
        <v>0</v>
      </c>
      <c r="C138" s="5" t="s">
        <v>1</v>
      </c>
      <c r="D138" s="5" t="s">
        <v>2</v>
      </c>
      <c r="E138" s="5" t="s">
        <v>43</v>
      </c>
      <c r="F138" s="45" t="s">
        <v>125</v>
      </c>
      <c r="G138" s="28"/>
      <c r="H138" s="296" t="s">
        <v>6</v>
      </c>
      <c r="I138" s="297"/>
      <c r="J138" s="297"/>
      <c r="K138" s="297"/>
      <c r="L138" s="297"/>
      <c r="M138" s="298"/>
      <c r="N138" s="28"/>
    </row>
    <row r="139" spans="1:28" ht="15.75" customHeight="1" x14ac:dyDescent="0.25">
      <c r="A139" s="28"/>
      <c r="B139" s="9" t="s">
        <v>7</v>
      </c>
      <c r="C139" s="302" t="s">
        <v>9</v>
      </c>
      <c r="D139" s="47">
        <v>28.1</v>
      </c>
      <c r="E139" s="11"/>
      <c r="F139" s="11">
        <v>91</v>
      </c>
      <c r="G139" s="28"/>
      <c r="H139" s="296" t="s">
        <v>106</v>
      </c>
      <c r="I139" s="297"/>
      <c r="J139" s="298"/>
      <c r="K139" s="296" t="s">
        <v>107</v>
      </c>
      <c r="L139" s="297"/>
      <c r="M139" s="298"/>
      <c r="N139" s="28"/>
    </row>
    <row r="140" spans="1:28" ht="15.75" customHeight="1" x14ac:dyDescent="0.25">
      <c r="A140" s="28"/>
      <c r="B140" s="9" t="s">
        <v>17</v>
      </c>
      <c r="C140" s="300"/>
      <c r="D140" s="47">
        <v>63.911000000000001</v>
      </c>
      <c r="E140" s="11"/>
      <c r="F140" s="11">
        <v>100</v>
      </c>
      <c r="G140" s="28"/>
      <c r="H140" s="13" t="s">
        <v>13</v>
      </c>
      <c r="I140" s="39">
        <f>I142+I142*0.05</f>
        <v>739.2</v>
      </c>
      <c r="J140" s="17" t="s">
        <v>937</v>
      </c>
      <c r="K140" s="13" t="s">
        <v>13</v>
      </c>
      <c r="L140" s="39">
        <f>L142+L142*0.05</f>
        <v>819</v>
      </c>
      <c r="M140" s="17" t="s">
        <v>939</v>
      </c>
      <c r="N140" s="28"/>
    </row>
    <row r="141" spans="1:28" ht="15.75" customHeight="1" x14ac:dyDescent="0.25">
      <c r="A141" s="28"/>
      <c r="B141" s="9" t="s">
        <v>26</v>
      </c>
      <c r="C141" s="300"/>
      <c r="D141" s="47">
        <v>69.921999999999997</v>
      </c>
      <c r="E141" s="11"/>
      <c r="F141" s="11">
        <v>101</v>
      </c>
      <c r="G141" s="28"/>
      <c r="H141" s="13" t="s">
        <v>19</v>
      </c>
      <c r="I141" s="40">
        <f>I142-I142*0.05</f>
        <v>668.8</v>
      </c>
      <c r="J141" s="17" t="s">
        <v>940</v>
      </c>
      <c r="K141" s="13" t="s">
        <v>19</v>
      </c>
      <c r="L141" s="40">
        <f>L142-L142*0.05</f>
        <v>741</v>
      </c>
      <c r="M141" s="17" t="s">
        <v>941</v>
      </c>
      <c r="N141" s="28"/>
    </row>
    <row r="142" spans="1:28" ht="15.75" customHeight="1" x14ac:dyDescent="0.25">
      <c r="A142" s="28"/>
      <c r="B142" s="9" t="s">
        <v>32</v>
      </c>
      <c r="C142" s="300"/>
      <c r="D142" s="47">
        <v>96.744</v>
      </c>
      <c r="E142" s="11"/>
      <c r="F142" s="11">
        <v>114</v>
      </c>
      <c r="G142" s="28"/>
      <c r="H142" s="13" t="s">
        <v>27</v>
      </c>
      <c r="I142" s="20">
        <v>704</v>
      </c>
      <c r="J142" s="17" t="s">
        <v>942</v>
      </c>
      <c r="K142" s="13" t="s">
        <v>27</v>
      </c>
      <c r="L142" s="20">
        <v>780</v>
      </c>
      <c r="M142" s="17" t="s">
        <v>943</v>
      </c>
      <c r="N142" s="28"/>
    </row>
    <row r="143" spans="1:28" ht="15.75" customHeight="1" x14ac:dyDescent="0.25">
      <c r="A143" s="28"/>
      <c r="B143" s="9" t="s">
        <v>33</v>
      </c>
      <c r="C143" s="301"/>
      <c r="D143" s="47">
        <v>128.11000000000001</v>
      </c>
      <c r="E143" s="11"/>
      <c r="F143" s="11">
        <v>150</v>
      </c>
      <c r="G143" s="28"/>
      <c r="H143" s="13" t="s">
        <v>121</v>
      </c>
      <c r="I143" s="20">
        <v>690</v>
      </c>
      <c r="J143" s="17" t="s">
        <v>944</v>
      </c>
      <c r="K143" s="13" t="s">
        <v>121</v>
      </c>
      <c r="L143" s="182">
        <v>782</v>
      </c>
      <c r="M143" s="17" t="s">
        <v>945</v>
      </c>
      <c r="N143" s="28"/>
    </row>
    <row r="144" spans="1:28" ht="15.75" customHeight="1" x14ac:dyDescent="0.25">
      <c r="A144" s="28"/>
      <c r="B144" s="41"/>
      <c r="C144" s="42"/>
      <c r="D144" s="42"/>
      <c r="E144" s="42"/>
      <c r="F144" s="42"/>
      <c r="G144" s="28"/>
      <c r="H144" s="28"/>
      <c r="I144" s="3"/>
      <c r="J144" s="28"/>
      <c r="K144" s="28"/>
      <c r="L144" s="28"/>
      <c r="M144" s="28"/>
      <c r="N144" s="28"/>
    </row>
    <row r="145" spans="1:14" ht="15.75" customHeight="1" x14ac:dyDescent="0.25">
      <c r="A145" s="28"/>
      <c r="B145" s="9" t="s">
        <v>35</v>
      </c>
      <c r="C145" s="302" t="s">
        <v>36</v>
      </c>
      <c r="D145" s="47">
        <v>207.78</v>
      </c>
      <c r="E145" s="11"/>
      <c r="F145" s="11">
        <v>261</v>
      </c>
      <c r="G145" s="28"/>
      <c r="H145" s="28"/>
      <c r="I145" s="3"/>
      <c r="J145" s="28"/>
      <c r="K145" s="28"/>
      <c r="L145" s="28"/>
      <c r="M145" s="28"/>
      <c r="N145" s="28"/>
    </row>
    <row r="146" spans="1:14" ht="15.75" customHeight="1" x14ac:dyDescent="0.25">
      <c r="A146" s="28"/>
      <c r="B146" s="9" t="s">
        <v>37</v>
      </c>
      <c r="C146" s="300"/>
      <c r="D146" s="47">
        <v>444.11</v>
      </c>
      <c r="E146" s="11"/>
      <c r="F146" s="11">
        <v>504</v>
      </c>
      <c r="G146" s="23"/>
      <c r="H146" s="28"/>
      <c r="I146" s="28"/>
      <c r="J146" s="217" t="s">
        <v>886</v>
      </c>
      <c r="K146" s="28"/>
      <c r="L146" s="28"/>
      <c r="M146" s="28"/>
      <c r="N146" s="28"/>
    </row>
    <row r="147" spans="1:14" ht="15.75" customHeight="1" x14ac:dyDescent="0.25">
      <c r="A147" s="28"/>
      <c r="B147" s="9" t="s">
        <v>38</v>
      </c>
      <c r="C147" s="300"/>
      <c r="D147" s="47">
        <v>579.55999999999995</v>
      </c>
      <c r="E147" s="11"/>
      <c r="F147" s="11">
        <v>599</v>
      </c>
      <c r="G147" s="28"/>
      <c r="H147" s="28"/>
      <c r="I147" s="3"/>
      <c r="J147" s="28"/>
      <c r="K147" s="28"/>
      <c r="L147" s="28"/>
      <c r="M147" s="28"/>
      <c r="N147" s="28"/>
    </row>
    <row r="148" spans="1:14" ht="15.75" customHeight="1" x14ac:dyDescent="0.25">
      <c r="A148" s="28"/>
      <c r="B148" s="9" t="s">
        <v>39</v>
      </c>
      <c r="C148" s="300"/>
      <c r="D148" s="47">
        <v>746.22</v>
      </c>
      <c r="E148" s="11"/>
      <c r="F148" s="11">
        <v>775</v>
      </c>
      <c r="G148" s="28"/>
      <c r="H148" s="28"/>
      <c r="I148" s="3"/>
      <c r="J148" s="28"/>
      <c r="K148" s="28"/>
      <c r="L148" s="28"/>
      <c r="M148" s="28"/>
      <c r="N148" s="28"/>
    </row>
    <row r="149" spans="1:14" ht="15.75" customHeight="1" x14ac:dyDescent="0.25">
      <c r="A149" s="28"/>
      <c r="B149" s="49" t="s">
        <v>41</v>
      </c>
      <c r="C149" s="300"/>
      <c r="D149" s="50">
        <v>869.5</v>
      </c>
      <c r="E149" s="51"/>
      <c r="F149" s="51">
        <v>844</v>
      </c>
      <c r="G149" s="28"/>
      <c r="H149" s="28"/>
      <c r="I149" s="3"/>
      <c r="J149" s="28"/>
      <c r="K149" s="28"/>
      <c r="L149" s="28"/>
      <c r="M149" s="28"/>
      <c r="N149" s="28"/>
    </row>
    <row r="150" spans="1:14" ht="15.75" customHeight="1" x14ac:dyDescent="0.25">
      <c r="A150" s="28"/>
      <c r="B150" s="79"/>
      <c r="C150" s="81"/>
      <c r="D150" s="81"/>
      <c r="E150" s="81"/>
      <c r="F150" s="81"/>
      <c r="G150" s="28"/>
      <c r="H150" s="28"/>
      <c r="I150" s="3"/>
      <c r="J150" s="28"/>
      <c r="K150" s="28"/>
      <c r="L150" s="28"/>
      <c r="M150" s="28"/>
      <c r="N150" s="28"/>
    </row>
    <row r="151" spans="1:14" ht="15.75" customHeight="1" x14ac:dyDescent="0.25">
      <c r="A151" s="28"/>
      <c r="B151" s="9" t="s">
        <v>46</v>
      </c>
      <c r="C151" s="299" t="s">
        <v>47</v>
      </c>
      <c r="D151" s="47">
        <v>88.4</v>
      </c>
      <c r="E151" s="11"/>
      <c r="F151" s="11">
        <v>107</v>
      </c>
      <c r="G151" s="28"/>
      <c r="H151" s="31"/>
      <c r="I151" s="3"/>
      <c r="J151" s="28"/>
      <c r="K151" s="28"/>
      <c r="L151" s="28"/>
      <c r="M151" s="28"/>
      <c r="N151" s="28"/>
    </row>
    <row r="152" spans="1:14" ht="15.75" customHeight="1" x14ac:dyDescent="0.25">
      <c r="A152" s="28"/>
      <c r="B152" s="9" t="s">
        <v>48</v>
      </c>
      <c r="C152" s="300"/>
      <c r="D152" s="47">
        <v>94.6</v>
      </c>
      <c r="E152" s="11"/>
      <c r="F152" s="11">
        <v>109</v>
      </c>
      <c r="G152" s="28"/>
      <c r="H152" s="31"/>
      <c r="I152" s="3"/>
      <c r="J152" s="28"/>
      <c r="K152" s="28"/>
      <c r="L152" s="28"/>
      <c r="M152" s="28"/>
      <c r="N152" s="28"/>
    </row>
    <row r="153" spans="1:14" ht="15.75" customHeight="1" x14ac:dyDescent="0.25">
      <c r="A153" s="28"/>
      <c r="B153" s="41"/>
      <c r="C153" s="42"/>
      <c r="D153" s="42"/>
      <c r="E153" s="42"/>
      <c r="F153" s="42"/>
      <c r="G153" s="28"/>
      <c r="H153" s="31"/>
      <c r="I153" s="3"/>
      <c r="J153" s="28"/>
      <c r="K153" s="28"/>
      <c r="L153" s="28"/>
      <c r="M153" s="28"/>
      <c r="N153" s="28"/>
    </row>
    <row r="154" spans="1:14" ht="15.75" customHeight="1" x14ac:dyDescent="0.25">
      <c r="A154" s="28"/>
      <c r="B154" s="9" t="s">
        <v>50</v>
      </c>
      <c r="C154" s="302" t="s">
        <v>51</v>
      </c>
      <c r="D154" s="47">
        <v>271.44400000000002</v>
      </c>
      <c r="E154" s="11"/>
      <c r="F154" s="11">
        <v>577</v>
      </c>
      <c r="G154" s="28"/>
      <c r="H154" s="31"/>
      <c r="I154" s="3"/>
      <c r="J154" s="28"/>
      <c r="K154" s="28"/>
      <c r="L154" s="28"/>
      <c r="M154" s="28"/>
      <c r="N154" s="28"/>
    </row>
    <row r="155" spans="1:14" ht="15.75" customHeight="1" x14ac:dyDescent="0.25">
      <c r="A155" s="28"/>
      <c r="B155" s="9" t="s">
        <v>54</v>
      </c>
      <c r="C155" s="300"/>
      <c r="D155" s="47">
        <v>550.22199999999998</v>
      </c>
      <c r="E155" s="11"/>
      <c r="F155" s="11">
        <v>596</v>
      </c>
      <c r="G155" s="28"/>
      <c r="H155" s="31"/>
      <c r="I155" s="3"/>
      <c r="J155" s="28"/>
      <c r="K155" s="28"/>
      <c r="L155" s="28"/>
      <c r="M155" s="28"/>
      <c r="N155" s="28"/>
    </row>
    <row r="156" spans="1:14" ht="15.75" customHeight="1" x14ac:dyDescent="0.25">
      <c r="A156" s="28"/>
      <c r="B156" s="9" t="s">
        <v>55</v>
      </c>
      <c r="C156" s="300"/>
      <c r="D156" s="47">
        <v>609</v>
      </c>
      <c r="E156" s="11"/>
      <c r="F156" s="11">
        <v>626</v>
      </c>
      <c r="G156" s="28"/>
      <c r="H156" s="31"/>
      <c r="I156" s="3"/>
      <c r="J156" s="28"/>
      <c r="K156" s="28"/>
      <c r="L156" s="28"/>
      <c r="M156" s="28"/>
      <c r="N156" s="28"/>
    </row>
    <row r="157" spans="1:14" ht="15.75" customHeight="1" x14ac:dyDescent="0.25">
      <c r="A157" s="28"/>
      <c r="B157" s="9" t="s">
        <v>56</v>
      </c>
      <c r="C157" s="300"/>
      <c r="D157" s="47">
        <v>739.11099999999999</v>
      </c>
      <c r="E157" s="11"/>
      <c r="F157" s="11">
        <v>943</v>
      </c>
      <c r="G157" s="28"/>
      <c r="H157" s="31"/>
      <c r="I157" s="3"/>
      <c r="J157" s="28"/>
      <c r="K157" s="28"/>
      <c r="L157" s="28"/>
      <c r="M157" s="28"/>
      <c r="N157" s="28"/>
    </row>
    <row r="158" spans="1:14" ht="15.75" customHeight="1" x14ac:dyDescent="0.25">
      <c r="A158" s="28"/>
      <c r="B158" s="49" t="s">
        <v>57</v>
      </c>
      <c r="C158" s="300"/>
      <c r="D158" s="50">
        <v>746.88900000000001</v>
      </c>
      <c r="E158" s="51"/>
      <c r="F158" s="51">
        <v>733</v>
      </c>
      <c r="G158" s="28"/>
      <c r="H158" s="31"/>
      <c r="I158" s="3"/>
      <c r="J158" s="28"/>
      <c r="K158" s="28"/>
      <c r="L158" s="28"/>
      <c r="M158" s="28"/>
      <c r="N158" s="28"/>
    </row>
    <row r="159" spans="1:14" ht="15.75" customHeight="1" x14ac:dyDescent="0.25">
      <c r="A159" s="28"/>
      <c r="B159" s="79"/>
      <c r="C159" s="81"/>
      <c r="D159" s="81"/>
      <c r="E159" s="81"/>
      <c r="F159" s="81"/>
      <c r="G159" s="28"/>
      <c r="H159" s="28"/>
      <c r="I159" s="3"/>
      <c r="J159" s="28"/>
      <c r="K159" s="28"/>
      <c r="L159" s="28"/>
      <c r="M159" s="28"/>
      <c r="N159" s="28"/>
    </row>
    <row r="160" spans="1:14" ht="15.75" customHeight="1" x14ac:dyDescent="0.25">
      <c r="A160" s="28"/>
      <c r="B160" s="9" t="s">
        <v>60</v>
      </c>
      <c r="C160" s="299" t="s">
        <v>62</v>
      </c>
      <c r="D160" s="47">
        <v>19.36</v>
      </c>
      <c r="E160" s="11"/>
      <c r="F160" s="11">
        <v>36</v>
      </c>
      <c r="G160" s="28"/>
      <c r="H160" s="31"/>
      <c r="I160" s="3"/>
      <c r="J160" s="28"/>
      <c r="K160" s="28"/>
      <c r="L160" s="28"/>
      <c r="M160" s="28"/>
      <c r="N160" s="28"/>
    </row>
    <row r="161" spans="1:14" ht="15.75" customHeight="1" x14ac:dyDescent="0.25">
      <c r="A161" s="28"/>
      <c r="B161" s="9" t="s">
        <v>64</v>
      </c>
      <c r="C161" s="300"/>
      <c r="D161" s="47">
        <v>33.31</v>
      </c>
      <c r="E161" s="11"/>
      <c r="F161" s="11">
        <v>47</v>
      </c>
      <c r="G161" s="28"/>
      <c r="H161" s="31"/>
      <c r="I161" s="3"/>
      <c r="J161" s="28"/>
      <c r="K161" s="28"/>
      <c r="L161" s="28"/>
      <c r="M161" s="28"/>
      <c r="N161" s="28"/>
    </row>
    <row r="162" spans="1:14" ht="15.75" customHeight="1" x14ac:dyDescent="0.25">
      <c r="A162" s="28"/>
      <c r="B162" s="9" t="s">
        <v>65</v>
      </c>
      <c r="C162" s="301"/>
      <c r="D162" s="47">
        <v>41.74</v>
      </c>
      <c r="E162" s="11"/>
      <c r="F162" s="11">
        <v>42</v>
      </c>
      <c r="G162" s="28"/>
      <c r="H162" s="31"/>
      <c r="I162" s="3"/>
      <c r="J162" s="28"/>
      <c r="K162" s="28"/>
      <c r="L162" s="28"/>
      <c r="M162" s="28"/>
      <c r="N162" s="28"/>
    </row>
    <row r="163" spans="1:14" ht="15.75" customHeight="1" x14ac:dyDescent="0.25">
      <c r="A163" s="28"/>
      <c r="B163" s="41"/>
      <c r="C163" s="42"/>
      <c r="D163" s="42"/>
      <c r="E163" s="42"/>
      <c r="F163" s="11"/>
      <c r="G163" s="28"/>
      <c r="H163" s="31"/>
      <c r="I163" s="3"/>
      <c r="J163" s="28"/>
      <c r="K163" s="28"/>
      <c r="L163" s="28"/>
      <c r="M163" s="28"/>
      <c r="N163" s="28"/>
    </row>
    <row r="164" spans="1:14" ht="15.75" customHeight="1" x14ac:dyDescent="0.25">
      <c r="A164" s="28"/>
      <c r="B164" s="9" t="s">
        <v>66</v>
      </c>
      <c r="C164" s="302" t="s">
        <v>68</v>
      </c>
      <c r="D164" s="47">
        <v>204.5</v>
      </c>
      <c r="E164" s="11"/>
      <c r="F164" s="11">
        <v>273</v>
      </c>
      <c r="G164" s="28"/>
      <c r="H164" s="31"/>
      <c r="I164" s="3"/>
      <c r="J164" s="28"/>
      <c r="K164" s="28"/>
      <c r="L164" s="28"/>
      <c r="M164" s="28"/>
      <c r="N164" s="28"/>
    </row>
    <row r="165" spans="1:14" ht="15.75" customHeight="1" x14ac:dyDescent="0.25">
      <c r="A165" s="28"/>
      <c r="B165" s="49" t="s">
        <v>69</v>
      </c>
      <c r="C165" s="300"/>
      <c r="D165" s="50">
        <v>277.7</v>
      </c>
      <c r="E165" s="51"/>
      <c r="F165" s="51">
        <v>338</v>
      </c>
      <c r="G165" s="28"/>
      <c r="H165" s="31"/>
      <c r="I165" s="3"/>
      <c r="J165" s="28"/>
      <c r="K165" s="28"/>
      <c r="L165" s="28"/>
      <c r="M165" s="28"/>
      <c r="N165" s="28"/>
    </row>
    <row r="166" spans="1:14" ht="15.75" customHeight="1" x14ac:dyDescent="0.25">
      <c r="A166" s="28"/>
      <c r="B166" s="44"/>
      <c r="C166" s="46"/>
      <c r="D166" s="46"/>
      <c r="E166" s="46"/>
      <c r="F166" s="46"/>
      <c r="G166" s="28"/>
      <c r="H166" s="28"/>
      <c r="I166" s="3"/>
      <c r="J166" s="28"/>
      <c r="K166" s="28"/>
      <c r="L166" s="28"/>
      <c r="M166" s="28"/>
      <c r="N166" s="28"/>
    </row>
    <row r="167" spans="1:14" ht="15.75" customHeight="1" x14ac:dyDescent="0.25">
      <c r="A167" s="28"/>
      <c r="B167" s="9" t="s">
        <v>69</v>
      </c>
      <c r="C167" s="299" t="s">
        <v>71</v>
      </c>
      <c r="D167" s="47">
        <v>10.283300000000001</v>
      </c>
      <c r="E167" s="11"/>
      <c r="F167" s="11">
        <v>26</v>
      </c>
      <c r="G167" s="28"/>
      <c r="H167" s="31"/>
      <c r="I167" s="3"/>
      <c r="J167" s="28"/>
      <c r="K167" s="28"/>
      <c r="L167" s="28"/>
      <c r="M167" s="28"/>
      <c r="N167" s="28"/>
    </row>
    <row r="168" spans="1:14" ht="15.75" customHeight="1" x14ac:dyDescent="0.25">
      <c r="A168" s="28"/>
      <c r="B168" s="9" t="s">
        <v>72</v>
      </c>
      <c r="C168" s="300"/>
      <c r="D168" s="47">
        <v>11.8833</v>
      </c>
      <c r="E168" s="11"/>
      <c r="F168" s="11">
        <v>22</v>
      </c>
      <c r="G168" s="28"/>
      <c r="H168" s="31"/>
      <c r="I168" s="3"/>
      <c r="J168" s="28"/>
      <c r="K168" s="28"/>
      <c r="L168" s="28"/>
      <c r="M168" s="28"/>
      <c r="N168" s="28"/>
    </row>
    <row r="169" spans="1:14" ht="15.75" customHeight="1" x14ac:dyDescent="0.25">
      <c r="A169" s="28"/>
      <c r="B169" s="9" t="s">
        <v>73</v>
      </c>
      <c r="C169" s="301"/>
      <c r="D169" s="47">
        <v>17.433299999999999</v>
      </c>
      <c r="E169" s="11"/>
      <c r="F169" s="11">
        <v>34</v>
      </c>
      <c r="G169" s="28"/>
      <c r="H169" s="31"/>
      <c r="I169" s="3"/>
      <c r="J169" s="28"/>
      <c r="K169" s="28"/>
      <c r="L169" s="28"/>
      <c r="M169" s="28"/>
      <c r="N169" s="28"/>
    </row>
    <row r="170" spans="1:14" ht="15.75" customHeight="1" x14ac:dyDescent="0.25">
      <c r="A170" s="28"/>
      <c r="B170" s="41"/>
      <c r="C170" s="42"/>
      <c r="D170" s="42"/>
      <c r="E170" s="42"/>
      <c r="F170" s="11"/>
      <c r="G170" s="28"/>
      <c r="H170" s="31"/>
      <c r="I170" s="3"/>
      <c r="J170" s="28"/>
      <c r="K170" s="28"/>
      <c r="L170" s="28"/>
      <c r="M170" s="28"/>
      <c r="N170" s="28"/>
    </row>
    <row r="171" spans="1:14" ht="15.75" customHeight="1" x14ac:dyDescent="0.25">
      <c r="A171" s="28"/>
      <c r="B171" s="9" t="s">
        <v>76</v>
      </c>
      <c r="C171" s="302" t="s">
        <v>77</v>
      </c>
      <c r="D171" s="47">
        <v>117.467</v>
      </c>
      <c r="E171" s="11"/>
      <c r="F171" s="11">
        <v>224</v>
      </c>
      <c r="G171" s="28"/>
      <c r="H171" s="31"/>
      <c r="I171" s="3"/>
      <c r="J171" s="28"/>
      <c r="K171" s="28"/>
      <c r="L171" s="28"/>
      <c r="M171" s="28"/>
      <c r="N171" s="28"/>
    </row>
    <row r="172" spans="1:14" ht="15.75" customHeight="1" x14ac:dyDescent="0.25">
      <c r="A172" s="28"/>
      <c r="B172" s="9" t="s">
        <v>78</v>
      </c>
      <c r="C172" s="300"/>
      <c r="D172" s="47">
        <v>187.833</v>
      </c>
      <c r="E172" s="11"/>
      <c r="F172" s="11">
        <v>166</v>
      </c>
      <c r="G172" s="28"/>
      <c r="H172" s="31"/>
      <c r="I172" s="3"/>
      <c r="J172" s="28"/>
      <c r="K172" s="28"/>
      <c r="L172" s="28"/>
      <c r="M172" s="28"/>
      <c r="N172" s="28"/>
    </row>
    <row r="173" spans="1:14" ht="15.75" customHeight="1" x14ac:dyDescent="0.25">
      <c r="A173" s="28"/>
      <c r="B173" s="9" t="s">
        <v>79</v>
      </c>
      <c r="C173" s="300"/>
      <c r="D173" s="47">
        <v>218.333</v>
      </c>
      <c r="E173" s="11"/>
      <c r="F173" s="11">
        <v>292</v>
      </c>
      <c r="G173" s="28"/>
      <c r="H173" s="31"/>
      <c r="I173" s="3"/>
      <c r="J173" s="28"/>
      <c r="K173" s="28"/>
      <c r="L173" s="28"/>
      <c r="M173" s="28"/>
      <c r="N173" s="28"/>
    </row>
    <row r="174" spans="1:14" ht="15.75" customHeight="1" x14ac:dyDescent="0.25">
      <c r="A174" s="28"/>
      <c r="B174" s="49" t="s">
        <v>80</v>
      </c>
      <c r="C174" s="300"/>
      <c r="D174" s="50">
        <v>238.5</v>
      </c>
      <c r="E174" s="51"/>
      <c r="F174" s="51">
        <v>151</v>
      </c>
      <c r="G174" s="28"/>
      <c r="H174" s="31"/>
      <c r="I174" s="3"/>
      <c r="J174" s="28"/>
      <c r="K174" s="28"/>
      <c r="L174" s="28"/>
      <c r="M174" s="28"/>
      <c r="N174" s="28"/>
    </row>
    <row r="175" spans="1:14" ht="15.75" customHeight="1" x14ac:dyDescent="0.25">
      <c r="A175" s="28"/>
      <c r="B175" s="44"/>
      <c r="C175" s="46"/>
      <c r="D175" s="46"/>
      <c r="E175" s="46"/>
      <c r="F175" s="46"/>
      <c r="G175" s="28"/>
      <c r="H175" s="28"/>
      <c r="I175" s="3"/>
      <c r="J175" s="28"/>
      <c r="K175" s="28"/>
      <c r="L175" s="28"/>
      <c r="M175" s="28"/>
      <c r="N175" s="28"/>
    </row>
    <row r="176" spans="1:14" ht="15.75" customHeight="1" x14ac:dyDescent="0.25">
      <c r="A176" s="28"/>
      <c r="B176" s="9" t="s">
        <v>81</v>
      </c>
      <c r="C176" s="299" t="s">
        <v>82</v>
      </c>
      <c r="D176" s="47">
        <v>2</v>
      </c>
      <c r="E176" s="11"/>
      <c r="F176" s="11">
        <v>2</v>
      </c>
      <c r="G176" s="28"/>
      <c r="H176" s="31"/>
      <c r="I176" s="3"/>
      <c r="J176" s="28"/>
      <c r="K176" s="28"/>
      <c r="L176" s="28"/>
      <c r="M176" s="28"/>
      <c r="N176" s="28"/>
    </row>
    <row r="177" spans="1:14" ht="15.75" customHeight="1" x14ac:dyDescent="0.25">
      <c r="A177" s="28"/>
      <c r="B177" s="9" t="s">
        <v>83</v>
      </c>
      <c r="C177" s="300"/>
      <c r="D177" s="47">
        <v>7.133</v>
      </c>
      <c r="E177" s="11"/>
      <c r="F177" s="11">
        <v>24</v>
      </c>
      <c r="G177" s="28"/>
      <c r="H177" s="31"/>
      <c r="I177" s="3"/>
      <c r="J177" s="28"/>
      <c r="K177" s="28"/>
      <c r="L177" s="28"/>
      <c r="M177" s="28"/>
      <c r="N177" s="28"/>
    </row>
    <row r="178" spans="1:14" ht="15.75" customHeight="1" x14ac:dyDescent="0.25">
      <c r="A178" s="28"/>
      <c r="B178" s="9" t="s">
        <v>84</v>
      </c>
      <c r="C178" s="301"/>
      <c r="D178" s="47">
        <v>10.72</v>
      </c>
      <c r="E178" s="11"/>
      <c r="F178" s="11">
        <v>21</v>
      </c>
      <c r="G178" s="28"/>
      <c r="H178" s="31"/>
      <c r="I178" s="3"/>
      <c r="J178" s="28"/>
      <c r="K178" s="28"/>
      <c r="L178" s="28"/>
      <c r="M178" s="28"/>
      <c r="N178" s="28"/>
    </row>
    <row r="179" spans="1:14" ht="15.75" customHeight="1" x14ac:dyDescent="0.25">
      <c r="A179" s="28"/>
      <c r="B179" s="41"/>
      <c r="C179" s="42"/>
      <c r="D179" s="42"/>
      <c r="E179" s="42"/>
      <c r="F179" s="11"/>
      <c r="G179" s="28"/>
      <c r="H179" s="31"/>
      <c r="I179" s="3"/>
      <c r="J179" s="28"/>
      <c r="K179" s="28"/>
      <c r="L179" s="28"/>
      <c r="M179" s="28"/>
      <c r="N179" s="28"/>
    </row>
    <row r="180" spans="1:14" ht="15.75" customHeight="1" x14ac:dyDescent="0.25">
      <c r="A180" s="28"/>
      <c r="B180" s="9" t="s">
        <v>86</v>
      </c>
      <c r="C180" s="302" t="s">
        <v>87</v>
      </c>
      <c r="D180" s="47">
        <v>20.466999999999999</v>
      </c>
      <c r="E180" s="11"/>
      <c r="F180" s="11">
        <v>26</v>
      </c>
      <c r="G180" s="28"/>
      <c r="H180" s="31"/>
      <c r="I180" s="3"/>
      <c r="J180" s="28"/>
      <c r="K180" s="28"/>
      <c r="L180" s="28"/>
      <c r="M180" s="28"/>
      <c r="N180" s="28"/>
    </row>
    <row r="181" spans="1:14" ht="15.75" customHeight="1" x14ac:dyDescent="0.25">
      <c r="A181" s="28"/>
      <c r="B181" s="49" t="s">
        <v>88</v>
      </c>
      <c r="C181" s="300"/>
      <c r="D181" s="50">
        <v>20.367000000000001</v>
      </c>
      <c r="E181" s="51"/>
      <c r="F181" s="51">
        <v>26</v>
      </c>
      <c r="G181" s="28"/>
      <c r="H181" s="31"/>
      <c r="I181" s="3"/>
      <c r="J181" s="28"/>
      <c r="K181" s="28"/>
      <c r="L181" s="28"/>
      <c r="M181" s="28"/>
      <c r="N181" s="28"/>
    </row>
    <row r="182" spans="1:14" ht="15.75" customHeight="1" x14ac:dyDescent="0.25">
      <c r="A182" s="28"/>
      <c r="B182" s="44"/>
      <c r="C182" s="46"/>
      <c r="D182" s="46"/>
      <c r="E182" s="46"/>
      <c r="F182" s="46"/>
      <c r="G182" s="28"/>
      <c r="H182" s="28"/>
      <c r="I182" s="3"/>
      <c r="J182" s="28"/>
      <c r="K182" s="28"/>
      <c r="L182" s="28"/>
      <c r="M182" s="28"/>
      <c r="N182" s="28"/>
    </row>
    <row r="183" spans="1:14" ht="15.75" customHeight="1" x14ac:dyDescent="0.25">
      <c r="A183" s="28"/>
      <c r="B183" s="9" t="s">
        <v>89</v>
      </c>
      <c r="C183" s="299" t="s">
        <v>90</v>
      </c>
      <c r="D183" s="47">
        <v>5.15</v>
      </c>
      <c r="E183" s="11"/>
      <c r="F183" s="11">
        <v>19</v>
      </c>
      <c r="G183" s="28"/>
      <c r="H183" s="31"/>
      <c r="I183" s="3"/>
      <c r="J183" s="28"/>
      <c r="K183" s="28"/>
      <c r="L183" s="28"/>
      <c r="M183" s="28"/>
      <c r="N183" s="28"/>
    </row>
    <row r="184" spans="1:14" ht="15.75" customHeight="1" x14ac:dyDescent="0.25">
      <c r="A184" s="28"/>
      <c r="B184" s="49" t="s">
        <v>91</v>
      </c>
      <c r="C184" s="300"/>
      <c r="D184" s="50">
        <v>16.2</v>
      </c>
      <c r="E184" s="51"/>
      <c r="F184" s="51">
        <v>19</v>
      </c>
      <c r="G184" s="28"/>
      <c r="H184" s="31"/>
      <c r="I184" s="3"/>
      <c r="J184" s="28"/>
      <c r="K184" s="28"/>
      <c r="L184" s="28"/>
      <c r="M184" s="28"/>
      <c r="N184" s="28"/>
    </row>
    <row r="185" spans="1:14" ht="15.75" customHeight="1" x14ac:dyDescent="0.25">
      <c r="A185" s="28"/>
      <c r="B185" s="41"/>
      <c r="C185" s="42"/>
      <c r="D185" s="42"/>
      <c r="E185" s="42"/>
      <c r="F185" s="201"/>
      <c r="G185" s="28"/>
      <c r="H185" s="28"/>
      <c r="I185" s="3"/>
      <c r="J185" s="28"/>
      <c r="K185" s="28"/>
      <c r="L185" s="28"/>
      <c r="M185" s="28"/>
      <c r="N185" s="28"/>
    </row>
    <row r="186" spans="1:14" ht="15.75" customHeight="1" x14ac:dyDescent="0.25">
      <c r="A186" s="28"/>
      <c r="B186" s="9" t="s">
        <v>94</v>
      </c>
      <c r="C186" s="299" t="s">
        <v>95</v>
      </c>
      <c r="D186" s="47">
        <v>50.082999999999998</v>
      </c>
      <c r="E186" s="11"/>
      <c r="F186" s="11">
        <v>120</v>
      </c>
      <c r="G186" s="28"/>
      <c r="H186" s="31"/>
      <c r="I186" s="3"/>
      <c r="J186" s="28"/>
      <c r="K186" s="28"/>
      <c r="L186" s="28"/>
      <c r="M186" s="28"/>
      <c r="N186" s="28"/>
    </row>
    <row r="187" spans="1:14" ht="15.75" customHeight="1" x14ac:dyDescent="0.25">
      <c r="A187" s="28"/>
      <c r="B187" s="9" t="s">
        <v>96</v>
      </c>
      <c r="C187" s="300"/>
      <c r="D187" s="47">
        <v>93.992999999999995</v>
      </c>
      <c r="E187" s="11"/>
      <c r="F187" s="11">
        <v>125</v>
      </c>
      <c r="G187" s="28"/>
      <c r="H187" s="31"/>
      <c r="I187" s="3"/>
      <c r="J187" s="28"/>
      <c r="K187" s="28"/>
      <c r="L187" s="28"/>
      <c r="M187" s="28"/>
      <c r="N187" s="28"/>
    </row>
    <row r="188" spans="1:14" ht="15.75" customHeight="1" x14ac:dyDescent="0.25">
      <c r="A188" s="28"/>
      <c r="B188" s="9" t="s">
        <v>97</v>
      </c>
      <c r="C188" s="300"/>
      <c r="D188" s="47">
        <v>95.516999999999996</v>
      </c>
      <c r="E188" s="11"/>
      <c r="F188" s="11">
        <v>120</v>
      </c>
      <c r="G188" s="28"/>
      <c r="H188" s="31"/>
      <c r="I188" s="3"/>
      <c r="J188" s="28"/>
      <c r="K188" s="28"/>
      <c r="L188" s="28"/>
      <c r="M188" s="28"/>
      <c r="N188" s="28"/>
    </row>
    <row r="189" spans="1:14" ht="15.75" customHeight="1" x14ac:dyDescent="0.25">
      <c r="A189" s="28"/>
      <c r="B189" s="9" t="s">
        <v>98</v>
      </c>
      <c r="C189" s="300"/>
      <c r="D189" s="47">
        <v>100.92</v>
      </c>
      <c r="E189" s="11"/>
      <c r="F189" s="11">
        <v>126</v>
      </c>
      <c r="G189" s="28"/>
      <c r="H189" s="31"/>
      <c r="I189" s="3"/>
      <c r="J189" s="28"/>
      <c r="K189" s="28"/>
      <c r="L189" s="28"/>
      <c r="M189" s="28"/>
      <c r="N189" s="28"/>
    </row>
    <row r="190" spans="1:14" ht="15.75" customHeight="1" x14ac:dyDescent="0.25">
      <c r="A190" s="28"/>
      <c r="B190" s="9" t="s">
        <v>99</v>
      </c>
      <c r="C190" s="301"/>
      <c r="D190" s="47">
        <v>115.37</v>
      </c>
      <c r="E190" s="11"/>
      <c r="F190" s="11">
        <v>129</v>
      </c>
      <c r="G190" s="28"/>
      <c r="H190" s="31"/>
      <c r="I190" s="3"/>
      <c r="J190" s="28"/>
      <c r="K190" s="28"/>
      <c r="L190" s="28"/>
      <c r="M190" s="28"/>
      <c r="N190" s="28"/>
    </row>
    <row r="191" spans="1:14" ht="15.75" customHeight="1" x14ac:dyDescent="0.2"/>
    <row r="192" spans="1:14" ht="15.75" customHeight="1" x14ac:dyDescent="0.2"/>
    <row r="193" spans="1:28" ht="15.75" customHeight="1" x14ac:dyDescent="0.2"/>
    <row r="194" spans="1:28" ht="15.75" customHeight="1" x14ac:dyDescent="0.25">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row>
    <row r="195" spans="1:28" ht="15.75" customHeight="1" x14ac:dyDescent="0.2"/>
    <row r="196" spans="1:28" ht="15.75" customHeight="1" x14ac:dyDescent="0.25">
      <c r="A196" s="23" t="s">
        <v>868</v>
      </c>
      <c r="B196" s="28"/>
      <c r="C196" s="28"/>
      <c r="D196" s="28"/>
      <c r="E196" s="28"/>
      <c r="F196" s="28"/>
      <c r="G196" s="28"/>
      <c r="H196" s="28"/>
      <c r="I196" s="28"/>
      <c r="J196" s="28"/>
      <c r="K196" s="28"/>
      <c r="L196" s="28"/>
      <c r="M196" s="28"/>
    </row>
    <row r="197" spans="1:28" ht="15.75" customHeight="1" x14ac:dyDescent="0.25">
      <c r="A197" s="28"/>
      <c r="B197" s="28"/>
      <c r="C197" s="28"/>
      <c r="D197" s="28"/>
      <c r="E197" s="28"/>
      <c r="F197" s="28"/>
      <c r="G197" s="28"/>
      <c r="H197" s="28"/>
      <c r="I197" s="28"/>
      <c r="J197" s="28"/>
      <c r="K197" s="28"/>
      <c r="L197" s="28"/>
      <c r="M197" s="28"/>
    </row>
    <row r="198" spans="1:28" ht="15.75" customHeight="1" x14ac:dyDescent="0.25">
      <c r="A198" s="28"/>
      <c r="B198" s="28"/>
      <c r="C198" s="28"/>
      <c r="D198" s="28"/>
      <c r="E198" s="28"/>
      <c r="F198" s="28"/>
      <c r="G198" s="28"/>
      <c r="H198" s="28"/>
      <c r="I198" s="28"/>
      <c r="J198" s="28"/>
      <c r="K198" s="28"/>
      <c r="L198" s="28"/>
      <c r="M198" s="28"/>
    </row>
    <row r="199" spans="1:28" ht="15.75" customHeight="1" x14ac:dyDescent="0.25">
      <c r="A199" s="28"/>
      <c r="B199" s="212" t="s">
        <v>851</v>
      </c>
      <c r="C199" s="361">
        <v>43589</v>
      </c>
      <c r="D199" s="297"/>
      <c r="E199" s="297"/>
      <c r="F199" s="298"/>
      <c r="G199" s="28"/>
      <c r="H199" s="28"/>
      <c r="I199" s="3"/>
      <c r="J199" s="28"/>
      <c r="K199" s="28"/>
      <c r="L199" s="28"/>
      <c r="M199" s="28"/>
    </row>
    <row r="200" spans="1:28" ht="15.75" customHeight="1" x14ac:dyDescent="0.25">
      <c r="A200" s="28"/>
      <c r="B200" s="4" t="s">
        <v>0</v>
      </c>
      <c r="C200" s="5" t="s">
        <v>1</v>
      </c>
      <c r="D200" s="5" t="s">
        <v>2</v>
      </c>
      <c r="E200" s="5" t="s">
        <v>43</v>
      </c>
      <c r="F200" s="45" t="s">
        <v>125</v>
      </c>
      <c r="G200" s="28"/>
      <c r="H200" s="296" t="s">
        <v>6</v>
      </c>
      <c r="I200" s="297"/>
      <c r="J200" s="297"/>
      <c r="K200" s="297"/>
      <c r="L200" s="297"/>
      <c r="M200" s="298"/>
    </row>
    <row r="201" spans="1:28" ht="15.75" customHeight="1" x14ac:dyDescent="0.25">
      <c r="A201" s="28"/>
      <c r="B201" s="9" t="s">
        <v>7</v>
      </c>
      <c r="C201" s="302" t="s">
        <v>9</v>
      </c>
      <c r="D201" s="47">
        <v>28.1</v>
      </c>
      <c r="E201" s="11"/>
      <c r="F201" s="11">
        <v>91</v>
      </c>
      <c r="G201" s="28"/>
      <c r="H201" s="296" t="s">
        <v>106</v>
      </c>
      <c r="I201" s="297"/>
      <c r="J201" s="298"/>
      <c r="K201" s="296" t="s">
        <v>107</v>
      </c>
      <c r="L201" s="297"/>
      <c r="M201" s="298"/>
    </row>
    <row r="202" spans="1:28" ht="15.75" customHeight="1" x14ac:dyDescent="0.25">
      <c r="A202" s="28"/>
      <c r="B202" s="9" t="s">
        <v>17</v>
      </c>
      <c r="C202" s="300"/>
      <c r="D202" s="47">
        <v>63.911000000000001</v>
      </c>
      <c r="E202" s="11"/>
      <c r="F202" s="11">
        <v>100</v>
      </c>
      <c r="G202" s="28"/>
      <c r="H202" s="13" t="s">
        <v>13</v>
      </c>
      <c r="I202" s="39">
        <f>I204+I204*0.05</f>
        <v>739.2</v>
      </c>
      <c r="J202" s="17" t="s">
        <v>958</v>
      </c>
      <c r="K202" s="13" t="s">
        <v>13</v>
      </c>
      <c r="L202" s="39">
        <f>L204+L204*0.05</f>
        <v>819</v>
      </c>
      <c r="M202" s="17" t="s">
        <v>959</v>
      </c>
    </row>
    <row r="203" spans="1:28" ht="15.75" customHeight="1" x14ac:dyDescent="0.25">
      <c r="A203" s="28"/>
      <c r="B203" s="9" t="s">
        <v>26</v>
      </c>
      <c r="C203" s="300"/>
      <c r="D203" s="47">
        <v>69.921999999999997</v>
      </c>
      <c r="E203" s="11"/>
      <c r="F203" s="11">
        <v>101</v>
      </c>
      <c r="G203" s="28"/>
      <c r="H203" s="13" t="s">
        <v>19</v>
      </c>
      <c r="I203" s="40">
        <f>I204-I204*0.05</f>
        <v>668.8</v>
      </c>
      <c r="J203" s="17" t="s">
        <v>960</v>
      </c>
      <c r="K203" s="13" t="s">
        <v>19</v>
      </c>
      <c r="L203" s="40">
        <f>L204-L204*0.05</f>
        <v>741</v>
      </c>
      <c r="M203" s="17" t="s">
        <v>961</v>
      </c>
    </row>
    <row r="204" spans="1:28" ht="15.75" customHeight="1" x14ac:dyDescent="0.25">
      <c r="A204" s="28"/>
      <c r="B204" s="9" t="s">
        <v>32</v>
      </c>
      <c r="C204" s="300"/>
      <c r="D204" s="47">
        <v>96.744</v>
      </c>
      <c r="E204" s="11"/>
      <c r="F204" s="11">
        <v>114</v>
      </c>
      <c r="G204" s="28"/>
      <c r="H204" s="13" t="s">
        <v>27</v>
      </c>
      <c r="I204" s="20">
        <v>704</v>
      </c>
      <c r="J204" s="17" t="s">
        <v>962</v>
      </c>
      <c r="K204" s="13" t="s">
        <v>27</v>
      </c>
      <c r="L204" s="20">
        <v>780</v>
      </c>
      <c r="M204" s="17" t="s">
        <v>964</v>
      </c>
    </row>
    <row r="205" spans="1:28" ht="15.75" customHeight="1" x14ac:dyDescent="0.25">
      <c r="A205" s="28"/>
      <c r="B205" s="9" t="s">
        <v>33</v>
      </c>
      <c r="C205" s="301"/>
      <c r="D205" s="47">
        <v>128.11000000000001</v>
      </c>
      <c r="E205" s="11"/>
      <c r="F205" s="11">
        <v>150</v>
      </c>
      <c r="G205" s="28"/>
      <c r="H205" s="13" t="s">
        <v>121</v>
      </c>
      <c r="I205" s="20">
        <v>690</v>
      </c>
      <c r="J205" s="17" t="s">
        <v>965</v>
      </c>
      <c r="K205" s="13" t="s">
        <v>121</v>
      </c>
      <c r="L205" s="182">
        <v>782</v>
      </c>
      <c r="M205" s="17" t="s">
        <v>967</v>
      </c>
    </row>
    <row r="206" spans="1:28" ht="15.75" customHeight="1" x14ac:dyDescent="0.25">
      <c r="A206" s="28"/>
      <c r="B206" s="41"/>
      <c r="C206" s="42"/>
      <c r="D206" s="42"/>
      <c r="E206" s="42"/>
      <c r="F206" s="42"/>
      <c r="G206" s="28"/>
      <c r="H206" s="28"/>
      <c r="I206" s="3"/>
      <c r="J206" s="28"/>
      <c r="K206" s="28"/>
      <c r="L206" s="28"/>
      <c r="M206" s="28"/>
    </row>
    <row r="207" spans="1:28" ht="15.75" customHeight="1" x14ac:dyDescent="0.25">
      <c r="A207" s="28"/>
      <c r="B207" s="9" t="s">
        <v>35</v>
      </c>
      <c r="C207" s="302" t="s">
        <v>36</v>
      </c>
      <c r="D207" s="47">
        <v>207.78</v>
      </c>
      <c r="E207" s="11"/>
      <c r="F207" s="11">
        <v>261</v>
      </c>
      <c r="G207" s="28"/>
      <c r="H207" s="28"/>
      <c r="I207" s="3"/>
      <c r="J207" s="28"/>
      <c r="K207" s="28"/>
      <c r="L207" s="28"/>
      <c r="M207" s="28"/>
    </row>
    <row r="208" spans="1:28" ht="15.75" customHeight="1" x14ac:dyDescent="0.25">
      <c r="A208" s="28"/>
      <c r="B208" s="9" t="s">
        <v>37</v>
      </c>
      <c r="C208" s="300"/>
      <c r="D208" s="47">
        <v>444.11</v>
      </c>
      <c r="E208" s="11"/>
      <c r="F208" s="11">
        <v>504</v>
      </c>
      <c r="G208" s="23"/>
      <c r="H208" s="28"/>
      <c r="I208" s="28"/>
      <c r="J208" s="217"/>
      <c r="K208" s="28"/>
      <c r="L208" s="28"/>
      <c r="M208" s="28"/>
    </row>
    <row r="209" spans="1:13" ht="15.75" customHeight="1" x14ac:dyDescent="0.25">
      <c r="A209" s="28"/>
      <c r="B209" s="9" t="s">
        <v>38</v>
      </c>
      <c r="C209" s="300"/>
      <c r="D209" s="47">
        <v>579.55999999999995</v>
      </c>
      <c r="E209" s="11"/>
      <c r="F209" s="11">
        <v>599</v>
      </c>
      <c r="G209" s="28"/>
      <c r="H209" s="28"/>
      <c r="I209" s="3"/>
      <c r="J209" s="28"/>
      <c r="K209" s="28"/>
      <c r="L209" s="28"/>
      <c r="M209" s="28"/>
    </row>
    <row r="210" spans="1:13" ht="15.75" customHeight="1" x14ac:dyDescent="0.25">
      <c r="A210" s="28"/>
      <c r="B210" s="9" t="s">
        <v>39</v>
      </c>
      <c r="C210" s="300"/>
      <c r="D210" s="47">
        <v>746.22</v>
      </c>
      <c r="E210" s="11"/>
      <c r="F210" s="11">
        <v>775</v>
      </c>
      <c r="G210" s="28"/>
      <c r="H210" s="28"/>
      <c r="I210" s="3"/>
      <c r="J210" s="28"/>
      <c r="K210" s="28"/>
      <c r="L210" s="28"/>
      <c r="M210" s="28"/>
    </row>
    <row r="211" spans="1:13" ht="15.75" customHeight="1" x14ac:dyDescent="0.25">
      <c r="A211" s="28"/>
      <c r="B211" s="49" t="s">
        <v>41</v>
      </c>
      <c r="C211" s="300"/>
      <c r="D211" s="50">
        <v>869.5</v>
      </c>
      <c r="E211" s="51"/>
      <c r="F211" s="51">
        <v>844</v>
      </c>
      <c r="G211" s="28"/>
      <c r="H211" s="28"/>
      <c r="I211" s="3"/>
      <c r="J211" s="28"/>
      <c r="K211" s="28"/>
      <c r="L211" s="28"/>
      <c r="M211" s="28"/>
    </row>
    <row r="212" spans="1:13" ht="15.75" customHeight="1" x14ac:dyDescent="0.25">
      <c r="A212" s="28"/>
      <c r="B212" s="79"/>
      <c r="C212" s="81"/>
      <c r="D212" s="81"/>
      <c r="E212" s="81"/>
      <c r="F212" s="81"/>
      <c r="G212" s="28"/>
      <c r="H212" s="28"/>
      <c r="I212" s="3"/>
      <c r="J212" s="28"/>
      <c r="K212" s="28"/>
      <c r="L212" s="28"/>
      <c r="M212" s="28"/>
    </row>
    <row r="213" spans="1:13" ht="15.75" customHeight="1" x14ac:dyDescent="0.25">
      <c r="A213" s="28"/>
      <c r="B213" s="9" t="s">
        <v>46</v>
      </c>
      <c r="C213" s="299" t="s">
        <v>47</v>
      </c>
      <c r="D213" s="47">
        <v>88.4</v>
      </c>
      <c r="E213" s="11"/>
      <c r="F213" s="11">
        <v>107</v>
      </c>
      <c r="G213" s="28"/>
      <c r="H213" s="31"/>
      <c r="I213" s="3"/>
      <c r="J213" s="28"/>
      <c r="K213" s="28"/>
      <c r="L213" s="28"/>
      <c r="M213" s="28"/>
    </row>
    <row r="214" spans="1:13" ht="15.75" customHeight="1" x14ac:dyDescent="0.25">
      <c r="A214" s="28"/>
      <c r="B214" s="9" t="s">
        <v>48</v>
      </c>
      <c r="C214" s="300"/>
      <c r="D214" s="47">
        <v>94.6</v>
      </c>
      <c r="E214" s="11"/>
      <c r="F214" s="11">
        <v>109</v>
      </c>
      <c r="G214" s="28"/>
      <c r="H214" s="31"/>
      <c r="I214" s="3"/>
      <c r="J214" s="28"/>
      <c r="K214" s="28"/>
      <c r="L214" s="28"/>
      <c r="M214" s="28"/>
    </row>
    <row r="215" spans="1:13" ht="15.75" customHeight="1" x14ac:dyDescent="0.25">
      <c r="A215" s="28"/>
      <c r="B215" s="41"/>
      <c r="C215" s="42"/>
      <c r="D215" s="42"/>
      <c r="E215" s="42"/>
      <c r="F215" s="42"/>
      <c r="G215" s="28"/>
      <c r="H215" s="31"/>
      <c r="I215" s="3"/>
      <c r="J215" s="28"/>
      <c r="K215" s="28"/>
      <c r="L215" s="28"/>
      <c r="M215" s="28"/>
    </row>
    <row r="216" spans="1:13" ht="15.75" customHeight="1" x14ac:dyDescent="0.25">
      <c r="A216" s="28"/>
      <c r="B216" s="9" t="s">
        <v>50</v>
      </c>
      <c r="C216" s="302" t="s">
        <v>51</v>
      </c>
      <c r="D216" s="47">
        <v>271.44400000000002</v>
      </c>
      <c r="E216" s="11"/>
      <c r="F216" s="11">
        <v>577</v>
      </c>
      <c r="G216" s="28"/>
      <c r="H216" s="31"/>
      <c r="I216" s="3"/>
      <c r="J216" s="28"/>
      <c r="K216" s="28"/>
      <c r="L216" s="28"/>
      <c r="M216" s="28"/>
    </row>
    <row r="217" spans="1:13" ht="15.75" customHeight="1" x14ac:dyDescent="0.25">
      <c r="A217" s="28"/>
      <c r="B217" s="9" t="s">
        <v>54</v>
      </c>
      <c r="C217" s="300"/>
      <c r="D217" s="47">
        <v>550.22199999999998</v>
      </c>
      <c r="E217" s="11"/>
      <c r="F217" s="11">
        <v>596</v>
      </c>
      <c r="G217" s="28"/>
      <c r="H217" s="31"/>
      <c r="I217" s="3"/>
      <c r="J217" s="28"/>
      <c r="K217" s="28"/>
      <c r="L217" s="28"/>
      <c r="M217" s="28"/>
    </row>
    <row r="218" spans="1:13" ht="15.75" customHeight="1" x14ac:dyDescent="0.25">
      <c r="A218" s="28"/>
      <c r="B218" s="9" t="s">
        <v>55</v>
      </c>
      <c r="C218" s="300"/>
      <c r="D218" s="47">
        <v>609</v>
      </c>
      <c r="E218" s="11"/>
      <c r="F218" s="11">
        <v>626</v>
      </c>
      <c r="G218" s="28"/>
      <c r="H218" s="31"/>
      <c r="I218" s="3"/>
      <c r="J218" s="28"/>
      <c r="K218" s="28"/>
      <c r="L218" s="28"/>
      <c r="M218" s="28"/>
    </row>
    <row r="219" spans="1:13" ht="15.75" customHeight="1" x14ac:dyDescent="0.25">
      <c r="A219" s="28"/>
      <c r="B219" s="9" t="s">
        <v>56</v>
      </c>
      <c r="C219" s="300"/>
      <c r="D219" s="47">
        <v>739.11099999999999</v>
      </c>
      <c r="E219" s="11"/>
      <c r="F219" s="11">
        <v>943</v>
      </c>
      <c r="G219" s="28"/>
      <c r="H219" s="31"/>
      <c r="I219" s="3"/>
      <c r="J219" s="28"/>
      <c r="K219" s="28"/>
      <c r="L219" s="28"/>
      <c r="M219" s="28"/>
    </row>
    <row r="220" spans="1:13" ht="15.75" customHeight="1" x14ac:dyDescent="0.25">
      <c r="A220" s="28"/>
      <c r="B220" s="49" t="s">
        <v>57</v>
      </c>
      <c r="C220" s="300"/>
      <c r="D220" s="50">
        <v>746.88900000000001</v>
      </c>
      <c r="E220" s="51"/>
      <c r="F220" s="51">
        <v>733</v>
      </c>
      <c r="G220" s="28"/>
      <c r="H220" s="31"/>
      <c r="I220" s="3"/>
      <c r="J220" s="28"/>
      <c r="K220" s="28"/>
      <c r="L220" s="28"/>
      <c r="M220" s="28"/>
    </row>
    <row r="221" spans="1:13" ht="15.75" customHeight="1" x14ac:dyDescent="0.25">
      <c r="A221" s="28"/>
      <c r="B221" s="79"/>
      <c r="C221" s="81"/>
      <c r="D221" s="81"/>
      <c r="E221" s="81"/>
      <c r="F221" s="81"/>
      <c r="G221" s="28"/>
      <c r="H221" s="28"/>
      <c r="I221" s="3"/>
      <c r="J221" s="28"/>
      <c r="K221" s="28"/>
      <c r="L221" s="28"/>
      <c r="M221" s="28"/>
    </row>
    <row r="222" spans="1:13" ht="15.75" customHeight="1" x14ac:dyDescent="0.25">
      <c r="A222" s="28"/>
      <c r="B222" s="9" t="s">
        <v>60</v>
      </c>
      <c r="C222" s="299" t="s">
        <v>62</v>
      </c>
      <c r="D222" s="47">
        <v>19.36</v>
      </c>
      <c r="E222" s="11"/>
      <c r="F222" s="11">
        <v>36</v>
      </c>
      <c r="G222" s="28"/>
      <c r="H222" s="31"/>
      <c r="I222" s="3"/>
      <c r="J222" s="28"/>
      <c r="K222" s="28"/>
      <c r="L222" s="28"/>
      <c r="M222" s="28"/>
    </row>
    <row r="223" spans="1:13" ht="15.75" customHeight="1" x14ac:dyDescent="0.25">
      <c r="A223" s="28"/>
      <c r="B223" s="9" t="s">
        <v>64</v>
      </c>
      <c r="C223" s="300"/>
      <c r="D223" s="47">
        <v>33.31</v>
      </c>
      <c r="E223" s="11"/>
      <c r="F223" s="11">
        <v>47</v>
      </c>
      <c r="G223" s="28"/>
      <c r="H223" s="31"/>
      <c r="I223" s="3"/>
      <c r="J223" s="28"/>
      <c r="K223" s="28"/>
      <c r="L223" s="28"/>
      <c r="M223" s="28"/>
    </row>
    <row r="224" spans="1:13" ht="15.75" customHeight="1" x14ac:dyDescent="0.25">
      <c r="A224" s="28"/>
      <c r="B224" s="9" t="s">
        <v>65</v>
      </c>
      <c r="C224" s="301"/>
      <c r="D224" s="47">
        <v>41.74</v>
      </c>
      <c r="E224" s="11"/>
      <c r="F224" s="11">
        <v>42</v>
      </c>
      <c r="G224" s="28"/>
      <c r="H224" s="31"/>
      <c r="I224" s="3"/>
      <c r="J224" s="28"/>
      <c r="K224" s="28"/>
      <c r="L224" s="28"/>
      <c r="M224" s="28"/>
    </row>
    <row r="225" spans="1:13" ht="15.75" customHeight="1" x14ac:dyDescent="0.25">
      <c r="A225" s="28"/>
      <c r="B225" s="41"/>
      <c r="C225" s="42"/>
      <c r="D225" s="42"/>
      <c r="E225" s="42"/>
      <c r="F225" s="11"/>
      <c r="G225" s="28"/>
      <c r="H225" s="31"/>
      <c r="I225" s="3"/>
      <c r="J225" s="28"/>
      <c r="K225" s="28"/>
      <c r="L225" s="28"/>
      <c r="M225" s="28"/>
    </row>
    <row r="226" spans="1:13" ht="15.75" customHeight="1" x14ac:dyDescent="0.25">
      <c r="A226" s="28"/>
      <c r="B226" s="9" t="s">
        <v>66</v>
      </c>
      <c r="C226" s="302" t="s">
        <v>68</v>
      </c>
      <c r="D226" s="47">
        <v>204.5</v>
      </c>
      <c r="E226" s="11"/>
      <c r="F226" s="11">
        <v>273</v>
      </c>
      <c r="G226" s="28"/>
      <c r="H226" s="31"/>
      <c r="I226" s="3"/>
      <c r="J226" s="28"/>
      <c r="K226" s="28"/>
      <c r="L226" s="28"/>
      <c r="M226" s="28"/>
    </row>
    <row r="227" spans="1:13" ht="15.75" customHeight="1" x14ac:dyDescent="0.25">
      <c r="A227" s="28"/>
      <c r="B227" s="49" t="s">
        <v>69</v>
      </c>
      <c r="C227" s="300"/>
      <c r="D227" s="50">
        <v>277.7</v>
      </c>
      <c r="E227" s="51"/>
      <c r="F227" s="51">
        <v>338</v>
      </c>
      <c r="G227" s="28"/>
      <c r="H227" s="31"/>
      <c r="I227" s="3"/>
      <c r="J227" s="28"/>
      <c r="K227" s="28"/>
      <c r="L227" s="28"/>
      <c r="M227" s="28"/>
    </row>
    <row r="228" spans="1:13" ht="15.75" customHeight="1" x14ac:dyDescent="0.25">
      <c r="A228" s="28"/>
      <c r="B228" s="44"/>
      <c r="C228" s="46"/>
      <c r="D228" s="46"/>
      <c r="E228" s="46"/>
      <c r="F228" s="46"/>
      <c r="G228" s="28"/>
      <c r="H228" s="28"/>
      <c r="I228" s="3"/>
      <c r="J228" s="28"/>
      <c r="K228" s="28"/>
      <c r="L228" s="28"/>
      <c r="M228" s="28"/>
    </row>
    <row r="229" spans="1:13" ht="15.75" customHeight="1" x14ac:dyDescent="0.25">
      <c r="A229" s="28"/>
      <c r="B229" s="9" t="s">
        <v>69</v>
      </c>
      <c r="C229" s="299" t="s">
        <v>71</v>
      </c>
      <c r="D229" s="47">
        <v>10.283300000000001</v>
      </c>
      <c r="E229" s="11"/>
      <c r="F229" s="11">
        <v>26</v>
      </c>
      <c r="G229" s="28"/>
      <c r="H229" s="31"/>
      <c r="I229" s="3"/>
      <c r="J229" s="28"/>
      <c r="K229" s="28"/>
      <c r="L229" s="28"/>
      <c r="M229" s="28"/>
    </row>
    <row r="230" spans="1:13" ht="15.75" customHeight="1" x14ac:dyDescent="0.25">
      <c r="A230" s="28"/>
      <c r="B230" s="9" t="s">
        <v>72</v>
      </c>
      <c r="C230" s="300"/>
      <c r="D230" s="47">
        <v>11.8833</v>
      </c>
      <c r="E230" s="11"/>
      <c r="F230" s="11">
        <v>22</v>
      </c>
      <c r="G230" s="28"/>
      <c r="H230" s="31"/>
      <c r="I230" s="3"/>
      <c r="J230" s="28"/>
      <c r="K230" s="28"/>
      <c r="L230" s="28"/>
      <c r="M230" s="28"/>
    </row>
    <row r="231" spans="1:13" ht="15.75" customHeight="1" x14ac:dyDescent="0.25">
      <c r="A231" s="28"/>
      <c r="B231" s="9" t="s">
        <v>73</v>
      </c>
      <c r="C231" s="301"/>
      <c r="D231" s="47">
        <v>17.433299999999999</v>
      </c>
      <c r="E231" s="11"/>
      <c r="F231" s="11">
        <v>34</v>
      </c>
      <c r="G231" s="28"/>
      <c r="H231" s="31"/>
      <c r="I231" s="3"/>
      <c r="J231" s="28"/>
      <c r="K231" s="28"/>
      <c r="L231" s="28"/>
      <c r="M231" s="28"/>
    </row>
    <row r="232" spans="1:13" ht="15.75" customHeight="1" x14ac:dyDescent="0.25">
      <c r="A232" s="28"/>
      <c r="B232" s="41"/>
      <c r="C232" s="42"/>
      <c r="D232" s="42"/>
      <c r="E232" s="42"/>
      <c r="F232" s="11"/>
      <c r="G232" s="28"/>
      <c r="H232" s="31"/>
      <c r="I232" s="3"/>
      <c r="J232" s="28"/>
      <c r="K232" s="28"/>
      <c r="L232" s="28"/>
      <c r="M232" s="28"/>
    </row>
    <row r="233" spans="1:13" ht="15.75" customHeight="1" x14ac:dyDescent="0.25">
      <c r="A233" s="28"/>
      <c r="B233" s="9" t="s">
        <v>76</v>
      </c>
      <c r="C233" s="302" t="s">
        <v>77</v>
      </c>
      <c r="D233" s="47">
        <v>117.467</v>
      </c>
      <c r="E233" s="11"/>
      <c r="F233" s="11">
        <v>224</v>
      </c>
      <c r="G233" s="28"/>
      <c r="H233" s="31"/>
      <c r="I233" s="3"/>
      <c r="J233" s="28"/>
      <c r="K233" s="28"/>
      <c r="L233" s="28"/>
      <c r="M233" s="28"/>
    </row>
    <row r="234" spans="1:13" ht="15.75" customHeight="1" x14ac:dyDescent="0.25">
      <c r="A234" s="28"/>
      <c r="B234" s="9" t="s">
        <v>78</v>
      </c>
      <c r="C234" s="300"/>
      <c r="D234" s="47">
        <v>187.833</v>
      </c>
      <c r="E234" s="11"/>
      <c r="F234" s="11">
        <v>166</v>
      </c>
      <c r="G234" s="28"/>
      <c r="H234" s="31"/>
      <c r="I234" s="3"/>
      <c r="J234" s="28"/>
      <c r="K234" s="28"/>
      <c r="L234" s="28"/>
      <c r="M234" s="28"/>
    </row>
    <row r="235" spans="1:13" ht="15.75" customHeight="1" x14ac:dyDescent="0.25">
      <c r="A235" s="28"/>
      <c r="B235" s="9" t="s">
        <v>79</v>
      </c>
      <c r="C235" s="300"/>
      <c r="D235" s="47">
        <v>218.333</v>
      </c>
      <c r="E235" s="11"/>
      <c r="F235" s="11">
        <v>292</v>
      </c>
      <c r="G235" s="28"/>
      <c r="H235" s="31"/>
      <c r="I235" s="3"/>
      <c r="J235" s="28"/>
      <c r="K235" s="28"/>
      <c r="L235" s="28"/>
      <c r="M235" s="28"/>
    </row>
    <row r="236" spans="1:13" ht="15.75" customHeight="1" x14ac:dyDescent="0.25">
      <c r="A236" s="28"/>
      <c r="B236" s="49" t="s">
        <v>80</v>
      </c>
      <c r="C236" s="300"/>
      <c r="D236" s="50">
        <v>238.5</v>
      </c>
      <c r="E236" s="51"/>
      <c r="F236" s="51">
        <v>151</v>
      </c>
      <c r="G236" s="28"/>
      <c r="H236" s="31"/>
      <c r="I236" s="3"/>
      <c r="J236" s="28"/>
      <c r="K236" s="28"/>
      <c r="L236" s="28"/>
      <c r="M236" s="28"/>
    </row>
    <row r="237" spans="1:13" ht="15.75" customHeight="1" x14ac:dyDescent="0.25">
      <c r="A237" s="28"/>
      <c r="B237" s="44"/>
      <c r="C237" s="46"/>
      <c r="D237" s="46"/>
      <c r="E237" s="46"/>
      <c r="F237" s="46"/>
      <c r="G237" s="28"/>
      <c r="H237" s="28"/>
      <c r="I237" s="3"/>
      <c r="J237" s="28"/>
      <c r="K237" s="28"/>
      <c r="L237" s="28"/>
      <c r="M237" s="28"/>
    </row>
    <row r="238" spans="1:13" ht="15.75" customHeight="1" x14ac:dyDescent="0.25">
      <c r="A238" s="28"/>
      <c r="B238" s="9" t="s">
        <v>81</v>
      </c>
      <c r="C238" s="299" t="s">
        <v>82</v>
      </c>
      <c r="D238" s="47">
        <v>2</v>
      </c>
      <c r="E238" s="11"/>
      <c r="F238" s="11">
        <v>2</v>
      </c>
      <c r="G238" s="28"/>
      <c r="H238" s="31"/>
      <c r="I238" s="3"/>
      <c r="J238" s="28"/>
      <c r="K238" s="28"/>
      <c r="L238" s="28"/>
      <c r="M238" s="28"/>
    </row>
    <row r="239" spans="1:13" ht="15.75" customHeight="1" x14ac:dyDescent="0.25">
      <c r="A239" s="28"/>
      <c r="B239" s="9" t="s">
        <v>83</v>
      </c>
      <c r="C239" s="300"/>
      <c r="D239" s="47">
        <v>7.133</v>
      </c>
      <c r="E239" s="11"/>
      <c r="F239" s="11">
        <v>24</v>
      </c>
      <c r="G239" s="28"/>
      <c r="H239" s="31"/>
      <c r="I239" s="3"/>
      <c r="J239" s="28"/>
      <c r="K239" s="28"/>
      <c r="L239" s="28"/>
      <c r="M239" s="28"/>
    </row>
    <row r="240" spans="1:13" ht="15.75" customHeight="1" x14ac:dyDescent="0.25">
      <c r="A240" s="28"/>
      <c r="B240" s="9" t="s">
        <v>84</v>
      </c>
      <c r="C240" s="301"/>
      <c r="D240" s="47">
        <v>10.72</v>
      </c>
      <c r="E240" s="11"/>
      <c r="F240" s="11">
        <v>21</v>
      </c>
      <c r="G240" s="28"/>
      <c r="H240" s="31"/>
      <c r="I240" s="3"/>
      <c r="J240" s="28"/>
      <c r="K240" s="28"/>
      <c r="L240" s="28"/>
      <c r="M240" s="28"/>
    </row>
    <row r="241" spans="1:28" ht="15.75" customHeight="1" x14ac:dyDescent="0.25">
      <c r="A241" s="28"/>
      <c r="B241" s="41"/>
      <c r="C241" s="42"/>
      <c r="D241" s="42"/>
      <c r="E241" s="42"/>
      <c r="F241" s="11"/>
      <c r="G241" s="28"/>
      <c r="H241" s="31"/>
      <c r="I241" s="3"/>
      <c r="J241" s="28"/>
      <c r="K241" s="28"/>
      <c r="L241" s="28"/>
      <c r="M241" s="28"/>
    </row>
    <row r="242" spans="1:28" ht="15.75" customHeight="1" x14ac:dyDescent="0.25">
      <c r="A242" s="28"/>
      <c r="B242" s="9" t="s">
        <v>86</v>
      </c>
      <c r="C242" s="302" t="s">
        <v>87</v>
      </c>
      <c r="D242" s="47">
        <v>20.466999999999999</v>
      </c>
      <c r="E242" s="11"/>
      <c r="F242" s="11">
        <v>26</v>
      </c>
      <c r="G242" s="28"/>
      <c r="H242" s="31"/>
      <c r="I242" s="3"/>
      <c r="J242" s="28"/>
      <c r="K242" s="28"/>
      <c r="L242" s="28"/>
      <c r="M242" s="28"/>
    </row>
    <row r="243" spans="1:28" ht="15.75" customHeight="1" x14ac:dyDescent="0.25">
      <c r="A243" s="28"/>
      <c r="B243" s="49" t="s">
        <v>88</v>
      </c>
      <c r="C243" s="300"/>
      <c r="D243" s="50">
        <v>20.367000000000001</v>
      </c>
      <c r="E243" s="51"/>
      <c r="F243" s="51">
        <v>26</v>
      </c>
      <c r="G243" s="28"/>
      <c r="H243" s="31"/>
      <c r="I243" s="3"/>
      <c r="J243" s="28"/>
      <c r="K243" s="28"/>
      <c r="L243" s="28"/>
      <c r="M243" s="28"/>
    </row>
    <row r="244" spans="1:28" ht="15.75" customHeight="1" x14ac:dyDescent="0.25">
      <c r="A244" s="28"/>
      <c r="B244" s="44"/>
      <c r="C244" s="46"/>
      <c r="D244" s="46"/>
      <c r="E244" s="46"/>
      <c r="F244" s="46"/>
      <c r="G244" s="28"/>
      <c r="H244" s="28"/>
      <c r="I244" s="3"/>
      <c r="J244" s="28"/>
      <c r="K244" s="28"/>
      <c r="L244" s="28"/>
      <c r="M244" s="28"/>
    </row>
    <row r="245" spans="1:28" ht="15.75" customHeight="1" x14ac:dyDescent="0.25">
      <c r="A245" s="28"/>
      <c r="B245" s="9" t="s">
        <v>89</v>
      </c>
      <c r="C245" s="299" t="s">
        <v>90</v>
      </c>
      <c r="D245" s="47">
        <v>5.15</v>
      </c>
      <c r="E245" s="11"/>
      <c r="F245" s="11">
        <v>19</v>
      </c>
      <c r="G245" s="28"/>
      <c r="H245" s="31"/>
      <c r="I245" s="3"/>
      <c r="J245" s="28"/>
      <c r="K245" s="28"/>
      <c r="L245" s="28"/>
      <c r="M245" s="28"/>
    </row>
    <row r="246" spans="1:28" ht="15.75" customHeight="1" x14ac:dyDescent="0.25">
      <c r="A246" s="28"/>
      <c r="B246" s="49" t="s">
        <v>91</v>
      </c>
      <c r="C246" s="300"/>
      <c r="D246" s="50">
        <v>16.2</v>
      </c>
      <c r="E246" s="51"/>
      <c r="F246" s="51">
        <v>19</v>
      </c>
      <c r="G246" s="28"/>
      <c r="H246" s="31"/>
      <c r="I246" s="3"/>
      <c r="J246" s="28"/>
      <c r="K246" s="28"/>
      <c r="L246" s="28"/>
      <c r="M246" s="28"/>
    </row>
    <row r="247" spans="1:28" ht="15.75" customHeight="1" x14ac:dyDescent="0.25">
      <c r="A247" s="28"/>
      <c r="B247" s="41"/>
      <c r="C247" s="42"/>
      <c r="D247" s="42"/>
      <c r="E247" s="42"/>
      <c r="F247" s="201"/>
      <c r="G247" s="28"/>
      <c r="H247" s="28"/>
      <c r="I247" s="3"/>
      <c r="J247" s="28"/>
      <c r="K247" s="28"/>
      <c r="L247" s="28"/>
      <c r="M247" s="28"/>
    </row>
    <row r="248" spans="1:28" ht="15.75" customHeight="1" x14ac:dyDescent="0.25">
      <c r="A248" s="28"/>
      <c r="B248" s="9" t="s">
        <v>94</v>
      </c>
      <c r="C248" s="299" t="s">
        <v>95</v>
      </c>
      <c r="D248" s="47">
        <v>50.082999999999998</v>
      </c>
      <c r="E248" s="11"/>
      <c r="F248" s="11">
        <v>120</v>
      </c>
      <c r="G248" s="28"/>
      <c r="H248" s="31"/>
      <c r="I248" s="3"/>
      <c r="J248" s="28"/>
      <c r="K248" s="28"/>
      <c r="L248" s="28"/>
      <c r="M248" s="28"/>
    </row>
    <row r="249" spans="1:28" ht="15.75" customHeight="1" x14ac:dyDescent="0.25">
      <c r="A249" s="28"/>
      <c r="B249" s="9" t="s">
        <v>96</v>
      </c>
      <c r="C249" s="300"/>
      <c r="D249" s="47">
        <v>93.992999999999995</v>
      </c>
      <c r="E249" s="11"/>
      <c r="F249" s="11">
        <v>125</v>
      </c>
      <c r="G249" s="28"/>
      <c r="H249" s="31"/>
      <c r="I249" s="3"/>
      <c r="J249" s="28"/>
      <c r="K249" s="28"/>
      <c r="L249" s="28"/>
      <c r="M249" s="28"/>
    </row>
    <row r="250" spans="1:28" ht="15.75" customHeight="1" x14ac:dyDescent="0.25">
      <c r="A250" s="28"/>
      <c r="B250" s="9" t="s">
        <v>97</v>
      </c>
      <c r="C250" s="300"/>
      <c r="D250" s="47">
        <v>95.516999999999996</v>
      </c>
      <c r="E250" s="11"/>
      <c r="F250" s="11">
        <v>120</v>
      </c>
      <c r="G250" s="28"/>
      <c r="H250" s="31"/>
      <c r="I250" s="3"/>
      <c r="J250" s="28"/>
      <c r="K250" s="28"/>
      <c r="L250" s="28"/>
      <c r="M250" s="28"/>
    </row>
    <row r="251" spans="1:28" ht="15.75" customHeight="1" x14ac:dyDescent="0.25">
      <c r="A251" s="28"/>
      <c r="B251" s="9" t="s">
        <v>98</v>
      </c>
      <c r="C251" s="300"/>
      <c r="D251" s="47">
        <v>100.92</v>
      </c>
      <c r="E251" s="11"/>
      <c r="F251" s="11">
        <v>126</v>
      </c>
      <c r="G251" s="28"/>
      <c r="H251" s="31"/>
      <c r="I251" s="3"/>
      <c r="J251" s="28"/>
      <c r="K251" s="28"/>
      <c r="L251" s="28"/>
      <c r="M251" s="28"/>
    </row>
    <row r="252" spans="1:28" ht="15.75" customHeight="1" x14ac:dyDescent="0.25">
      <c r="A252" s="28"/>
      <c r="B252" s="9" t="s">
        <v>99</v>
      </c>
      <c r="C252" s="301"/>
      <c r="D252" s="47">
        <v>115.37</v>
      </c>
      <c r="E252" s="11"/>
      <c r="F252" s="11">
        <v>129</v>
      </c>
      <c r="G252" s="28"/>
      <c r="H252" s="31"/>
      <c r="I252" s="3"/>
      <c r="J252" s="28"/>
      <c r="K252" s="28"/>
      <c r="L252" s="28"/>
      <c r="M252" s="28"/>
    </row>
    <row r="253" spans="1:28" ht="15.75" customHeight="1" x14ac:dyDescent="0.2"/>
    <row r="254" spans="1:28" ht="15.75" customHeight="1" x14ac:dyDescent="0.2"/>
    <row r="255" spans="1:28" ht="15.75" customHeight="1" x14ac:dyDescent="0.2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row>
    <row r="256" spans="1:28" ht="15.75" customHeight="1" x14ac:dyDescent="0.25">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row>
    <row r="257" spans="1:28" ht="15.75" customHeight="1" x14ac:dyDescent="0.25">
      <c r="A257" s="23" t="s">
        <v>868</v>
      </c>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row>
    <row r="258" spans="1:28" ht="15.75" customHeight="1" x14ac:dyDescent="0.25">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row>
    <row r="259" spans="1:28" ht="15.75" customHeight="1" x14ac:dyDescent="0.25">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row>
    <row r="260" spans="1:28" ht="15.75" customHeight="1" x14ac:dyDescent="0.25">
      <c r="A260" s="28"/>
      <c r="B260" s="212" t="s">
        <v>851</v>
      </c>
      <c r="C260" s="361">
        <v>43589</v>
      </c>
      <c r="D260" s="297"/>
      <c r="E260" s="297"/>
      <c r="F260" s="298"/>
      <c r="G260" s="28"/>
      <c r="H260" s="28"/>
      <c r="I260" s="3"/>
      <c r="J260" s="28"/>
      <c r="K260" s="28"/>
      <c r="L260" s="28"/>
      <c r="M260" s="28"/>
      <c r="N260" s="28"/>
      <c r="O260" s="28"/>
      <c r="P260" s="28"/>
      <c r="Q260" s="28"/>
      <c r="R260" s="28"/>
      <c r="S260" s="28"/>
      <c r="T260" s="28"/>
      <c r="U260" s="28"/>
      <c r="V260" s="28"/>
      <c r="W260" s="28"/>
      <c r="X260" s="28"/>
      <c r="Y260" s="28"/>
      <c r="Z260" s="28"/>
      <c r="AA260" s="28"/>
      <c r="AB260" s="28"/>
    </row>
    <row r="261" spans="1:28" ht="15.75" customHeight="1" x14ac:dyDescent="0.25">
      <c r="A261" s="28"/>
      <c r="B261" s="4" t="s">
        <v>0</v>
      </c>
      <c r="C261" s="5" t="s">
        <v>1</v>
      </c>
      <c r="D261" s="5" t="s">
        <v>2</v>
      </c>
      <c r="E261" s="5" t="s">
        <v>43</v>
      </c>
      <c r="F261" s="45" t="s">
        <v>125</v>
      </c>
      <c r="G261" s="28"/>
      <c r="H261" s="296" t="s">
        <v>6</v>
      </c>
      <c r="I261" s="297"/>
      <c r="J261" s="297"/>
      <c r="K261" s="297"/>
      <c r="L261" s="297"/>
      <c r="M261" s="298"/>
      <c r="N261" s="28"/>
      <c r="O261" s="28"/>
      <c r="P261" s="28"/>
      <c r="Q261" s="28"/>
      <c r="R261" s="28"/>
      <c r="S261" s="28"/>
      <c r="T261" s="28"/>
      <c r="U261" s="28"/>
      <c r="V261" s="28"/>
      <c r="W261" s="28"/>
      <c r="X261" s="28"/>
      <c r="Y261" s="28"/>
      <c r="Z261" s="28"/>
      <c r="AA261" s="28"/>
      <c r="AB261" s="28"/>
    </row>
    <row r="262" spans="1:28" ht="15.75" customHeight="1" x14ac:dyDescent="0.25">
      <c r="A262" s="28"/>
      <c r="B262" s="9" t="s">
        <v>7</v>
      </c>
      <c r="C262" s="302" t="s">
        <v>9</v>
      </c>
      <c r="D262" s="47">
        <v>28.1</v>
      </c>
      <c r="E262" s="11">
        <v>90</v>
      </c>
      <c r="F262" s="11">
        <v>30</v>
      </c>
      <c r="G262" s="28"/>
      <c r="H262" s="296" t="s">
        <v>106</v>
      </c>
      <c r="I262" s="297"/>
      <c r="J262" s="298"/>
      <c r="K262" s="296" t="s">
        <v>107</v>
      </c>
      <c r="L262" s="297"/>
      <c r="M262" s="298"/>
      <c r="N262" s="28"/>
      <c r="O262" s="28"/>
      <c r="P262" s="28"/>
      <c r="Q262" s="28"/>
      <c r="R262" s="28"/>
      <c r="S262" s="28"/>
      <c r="T262" s="28"/>
      <c r="U262" s="28"/>
      <c r="V262" s="28"/>
      <c r="W262" s="28"/>
      <c r="X262" s="28"/>
      <c r="Y262" s="28"/>
      <c r="Z262" s="28"/>
      <c r="AA262" s="28"/>
      <c r="AB262" s="28"/>
    </row>
    <row r="263" spans="1:28" ht="15.75" customHeight="1" x14ac:dyDescent="0.25">
      <c r="A263" s="28"/>
      <c r="B263" s="9" t="s">
        <v>17</v>
      </c>
      <c r="C263" s="300"/>
      <c r="D263" s="47">
        <v>63.911000000000001</v>
      </c>
      <c r="E263" s="11">
        <v>99</v>
      </c>
      <c r="F263" s="11">
        <v>81</v>
      </c>
      <c r="G263" s="28"/>
      <c r="H263" s="13" t="s">
        <v>13</v>
      </c>
      <c r="I263" s="39">
        <f>I265+I265*0.05</f>
        <v>739.2</v>
      </c>
      <c r="J263" s="17" t="s">
        <v>997</v>
      </c>
      <c r="K263" s="13" t="s">
        <v>13</v>
      </c>
      <c r="L263" s="39">
        <f>L265+L265*0.05</f>
        <v>706.65</v>
      </c>
      <c r="M263" s="17" t="s">
        <v>998</v>
      </c>
      <c r="N263" s="28"/>
      <c r="O263" s="28"/>
      <c r="P263" s="28"/>
      <c r="Q263" s="28"/>
      <c r="R263" s="28"/>
      <c r="S263" s="28"/>
      <c r="T263" s="28"/>
      <c r="U263" s="28"/>
      <c r="V263" s="28"/>
      <c r="W263" s="28"/>
      <c r="X263" s="28"/>
      <c r="Y263" s="28"/>
      <c r="Z263" s="28"/>
      <c r="AA263" s="28"/>
      <c r="AB263" s="28"/>
    </row>
    <row r="264" spans="1:28" ht="15.75" customHeight="1" x14ac:dyDescent="0.25">
      <c r="A264" s="28"/>
      <c r="B264" s="9" t="s">
        <v>26</v>
      </c>
      <c r="C264" s="300"/>
      <c r="D264" s="47">
        <v>69.921999999999997</v>
      </c>
      <c r="E264" s="11">
        <v>100</v>
      </c>
      <c r="F264" s="11">
        <v>83</v>
      </c>
      <c r="G264" s="28"/>
      <c r="H264" s="13" t="s">
        <v>19</v>
      </c>
      <c r="I264" s="40">
        <f>I265-I265*0.05</f>
        <v>668.8</v>
      </c>
      <c r="J264" s="17" t="s">
        <v>999</v>
      </c>
      <c r="K264" s="13" t="s">
        <v>19</v>
      </c>
      <c r="L264" s="40">
        <f>L265-L265*0.05</f>
        <v>639.35</v>
      </c>
      <c r="M264" s="17" t="s">
        <v>1000</v>
      </c>
      <c r="N264" s="28"/>
      <c r="O264" s="28"/>
      <c r="P264" s="28"/>
      <c r="Q264" s="28"/>
      <c r="R264" s="28"/>
      <c r="S264" s="28"/>
      <c r="T264" s="28"/>
      <c r="U264" s="28"/>
      <c r="V264" s="28"/>
      <c r="W264" s="28"/>
      <c r="X264" s="28"/>
      <c r="Y264" s="28"/>
      <c r="Z264" s="28"/>
      <c r="AA264" s="28"/>
      <c r="AB264" s="28"/>
    </row>
    <row r="265" spans="1:28" ht="15.75" customHeight="1" x14ac:dyDescent="0.25">
      <c r="A265" s="28"/>
      <c r="B265" s="9" t="s">
        <v>32</v>
      </c>
      <c r="C265" s="300"/>
      <c r="D265" s="47">
        <v>96.744</v>
      </c>
      <c r="E265" s="11">
        <v>115</v>
      </c>
      <c r="F265" s="11">
        <v>95</v>
      </c>
      <c r="G265" s="28"/>
      <c r="H265" s="13" t="s">
        <v>27</v>
      </c>
      <c r="I265" s="20">
        <v>704</v>
      </c>
      <c r="J265" s="17" t="s">
        <v>1001</v>
      </c>
      <c r="K265" s="13" t="s">
        <v>27</v>
      </c>
      <c r="L265" s="20">
        <v>673</v>
      </c>
      <c r="M265" s="17" t="s">
        <v>1003</v>
      </c>
      <c r="N265" s="28"/>
      <c r="O265" s="28"/>
      <c r="P265" s="28"/>
      <c r="Q265" s="28"/>
      <c r="R265" s="28"/>
      <c r="S265" s="28"/>
      <c r="T265" s="28"/>
      <c r="U265" s="28"/>
      <c r="V265" s="28"/>
      <c r="W265" s="28"/>
      <c r="X265" s="28"/>
      <c r="Y265" s="28"/>
      <c r="Z265" s="28"/>
      <c r="AA265" s="28"/>
      <c r="AB265" s="28"/>
    </row>
    <row r="266" spans="1:28" ht="15.75" customHeight="1" x14ac:dyDescent="0.25">
      <c r="A266" s="28"/>
      <c r="B266" s="9" t="s">
        <v>33</v>
      </c>
      <c r="C266" s="301"/>
      <c r="D266" s="47">
        <v>128.11000000000001</v>
      </c>
      <c r="E266" s="11">
        <v>149</v>
      </c>
      <c r="F266" s="11">
        <v>127</v>
      </c>
      <c r="G266" s="28"/>
      <c r="H266" s="13" t="s">
        <v>121</v>
      </c>
      <c r="I266" s="20">
        <v>690</v>
      </c>
      <c r="J266" s="17" t="s">
        <v>1004</v>
      </c>
      <c r="K266" s="13" t="s">
        <v>121</v>
      </c>
      <c r="L266" s="182">
        <v>675</v>
      </c>
      <c r="M266" s="17" t="s">
        <v>1005</v>
      </c>
      <c r="N266" s="28"/>
      <c r="O266" s="28"/>
      <c r="P266" s="28"/>
      <c r="Q266" s="28"/>
      <c r="R266" s="28"/>
      <c r="S266" s="28"/>
      <c r="T266" s="28"/>
      <c r="U266" s="28"/>
      <c r="V266" s="28"/>
      <c r="W266" s="28"/>
      <c r="X266" s="28"/>
      <c r="Y266" s="28"/>
      <c r="Z266" s="28"/>
      <c r="AA266" s="28"/>
      <c r="AB266" s="28"/>
    </row>
    <row r="267" spans="1:28" ht="15.75" customHeight="1" x14ac:dyDescent="0.25">
      <c r="A267" s="28"/>
      <c r="B267" s="41"/>
      <c r="C267" s="42"/>
      <c r="D267" s="42"/>
      <c r="E267" s="42"/>
      <c r="F267" s="42"/>
      <c r="G267" s="28"/>
      <c r="H267" s="28"/>
      <c r="I267" s="3"/>
      <c r="J267" s="28"/>
      <c r="K267" s="28"/>
      <c r="L267" s="28"/>
      <c r="M267" s="28"/>
      <c r="N267" s="28"/>
      <c r="O267" s="28"/>
      <c r="P267" s="28"/>
      <c r="Q267" s="28"/>
      <c r="R267" s="28"/>
      <c r="S267" s="28"/>
      <c r="T267" s="28"/>
      <c r="U267" s="28"/>
      <c r="V267" s="28"/>
      <c r="W267" s="28"/>
      <c r="X267" s="28"/>
      <c r="Y267" s="28"/>
      <c r="Z267" s="28"/>
      <c r="AA267" s="28"/>
      <c r="AB267" s="28"/>
    </row>
    <row r="268" spans="1:28" ht="15.75" customHeight="1" x14ac:dyDescent="0.25">
      <c r="A268" s="28"/>
      <c r="B268" s="9" t="s">
        <v>35</v>
      </c>
      <c r="C268" s="302" t="s">
        <v>36</v>
      </c>
      <c r="D268" s="47">
        <v>207.78</v>
      </c>
      <c r="E268" s="11">
        <v>246</v>
      </c>
      <c r="F268" s="11">
        <v>204</v>
      </c>
      <c r="G268" s="28"/>
      <c r="H268" s="28"/>
      <c r="I268" s="3"/>
      <c r="J268" s="28"/>
      <c r="K268" s="28"/>
      <c r="L268" s="28"/>
      <c r="M268" s="28"/>
      <c r="N268" s="28"/>
      <c r="O268" s="28"/>
      <c r="P268" s="28"/>
      <c r="Q268" s="28"/>
      <c r="R268" s="28"/>
      <c r="S268" s="28"/>
      <c r="T268" s="28"/>
      <c r="U268" s="28"/>
      <c r="V268" s="28"/>
      <c r="W268" s="28"/>
      <c r="X268" s="28"/>
      <c r="Y268" s="28"/>
      <c r="Z268" s="28"/>
      <c r="AA268" s="28"/>
      <c r="AB268" s="28"/>
    </row>
    <row r="269" spans="1:28" ht="15.75" customHeight="1" x14ac:dyDescent="0.25">
      <c r="A269" s="28"/>
      <c r="B269" s="9" t="s">
        <v>37</v>
      </c>
      <c r="C269" s="300"/>
      <c r="D269" s="47">
        <v>444.11</v>
      </c>
      <c r="E269" s="11">
        <v>501</v>
      </c>
      <c r="F269" s="11">
        <v>234</v>
      </c>
      <c r="G269" s="23"/>
      <c r="H269" s="28"/>
      <c r="I269" s="28"/>
      <c r="J269" s="217"/>
      <c r="K269" s="28"/>
      <c r="L269" s="28"/>
      <c r="M269" s="28"/>
      <c r="N269" s="28"/>
      <c r="O269" s="28"/>
      <c r="P269" s="28"/>
      <c r="Q269" s="28"/>
      <c r="R269" s="28"/>
      <c r="S269" s="28"/>
      <c r="T269" s="28"/>
      <c r="U269" s="28"/>
      <c r="V269" s="28"/>
      <c r="W269" s="28"/>
      <c r="X269" s="28"/>
      <c r="Y269" s="28"/>
      <c r="Z269" s="28"/>
      <c r="AA269" s="28"/>
      <c r="AB269" s="28"/>
    </row>
    <row r="270" spans="1:28" ht="15.75" customHeight="1" x14ac:dyDescent="0.25">
      <c r="A270" s="28"/>
      <c r="B270" s="9" t="s">
        <v>38</v>
      </c>
      <c r="C270" s="300"/>
      <c r="D270" s="47">
        <v>579.55999999999995</v>
      </c>
      <c r="E270" s="11">
        <v>581</v>
      </c>
      <c r="F270" s="11">
        <v>499</v>
      </c>
      <c r="G270" s="28"/>
      <c r="H270" s="28"/>
      <c r="I270" s="3"/>
      <c r="J270" s="28"/>
      <c r="K270" s="28"/>
      <c r="L270" s="28"/>
      <c r="M270" s="28"/>
      <c r="N270" s="28"/>
      <c r="O270" s="28"/>
      <c r="P270" s="28"/>
      <c r="Q270" s="28"/>
      <c r="R270" s="28"/>
      <c r="S270" s="28"/>
      <c r="T270" s="28"/>
      <c r="U270" s="28"/>
      <c r="V270" s="28"/>
      <c r="W270" s="28"/>
      <c r="X270" s="28"/>
      <c r="Y270" s="28"/>
      <c r="Z270" s="28"/>
      <c r="AA270" s="28"/>
      <c r="AB270" s="28"/>
    </row>
    <row r="271" spans="1:28" ht="15.75" customHeight="1" x14ac:dyDescent="0.25">
      <c r="A271" s="28"/>
      <c r="B271" s="9" t="s">
        <v>39</v>
      </c>
      <c r="C271" s="300"/>
      <c r="D271" s="47">
        <v>746.22</v>
      </c>
      <c r="E271" s="11">
        <v>764</v>
      </c>
      <c r="F271" s="11">
        <v>647</v>
      </c>
      <c r="G271" s="28"/>
      <c r="H271" s="28"/>
      <c r="I271" s="3"/>
      <c r="J271" s="28"/>
      <c r="K271" s="28"/>
      <c r="L271" s="28"/>
      <c r="M271" s="28"/>
      <c r="N271" s="28"/>
      <c r="O271" s="28"/>
      <c r="P271" s="28"/>
      <c r="Q271" s="28"/>
      <c r="R271" s="28"/>
      <c r="S271" s="28"/>
      <c r="T271" s="28"/>
      <c r="U271" s="28"/>
      <c r="V271" s="28"/>
      <c r="W271" s="28"/>
      <c r="X271" s="28"/>
      <c r="Y271" s="28"/>
      <c r="Z271" s="28"/>
      <c r="AA271" s="28"/>
      <c r="AB271" s="28"/>
    </row>
    <row r="272" spans="1:28" ht="15.75" customHeight="1" x14ac:dyDescent="0.25">
      <c r="A272" s="28"/>
      <c r="B272" s="49" t="s">
        <v>41</v>
      </c>
      <c r="C272" s="300"/>
      <c r="D272" s="50">
        <v>869.5</v>
      </c>
      <c r="E272" s="51">
        <v>845</v>
      </c>
      <c r="F272" s="51">
        <v>715</v>
      </c>
      <c r="G272" s="28"/>
      <c r="H272" s="28"/>
      <c r="I272" s="3"/>
      <c r="J272" s="28"/>
      <c r="K272" s="28"/>
      <c r="L272" s="28"/>
      <c r="M272" s="28"/>
      <c r="N272" s="28"/>
      <c r="O272" s="28"/>
      <c r="P272" s="28"/>
      <c r="Q272" s="28"/>
      <c r="R272" s="28"/>
      <c r="S272" s="28"/>
      <c r="T272" s="28"/>
      <c r="U272" s="28"/>
      <c r="V272" s="28"/>
      <c r="W272" s="28"/>
      <c r="X272" s="28"/>
      <c r="Y272" s="28"/>
      <c r="Z272" s="28"/>
      <c r="AA272" s="28"/>
      <c r="AB272" s="28"/>
    </row>
    <row r="273" spans="1:28" ht="15.75" customHeight="1" x14ac:dyDescent="0.25">
      <c r="A273" s="28"/>
      <c r="B273" s="79"/>
      <c r="C273" s="81"/>
      <c r="D273" s="81"/>
      <c r="E273" s="81"/>
      <c r="F273" s="81"/>
      <c r="G273" s="28"/>
      <c r="H273" s="28"/>
      <c r="I273" s="3"/>
      <c r="J273" s="28"/>
      <c r="K273" s="28"/>
      <c r="L273" s="28"/>
      <c r="M273" s="28"/>
      <c r="N273" s="28"/>
      <c r="O273" s="28"/>
      <c r="P273" s="28"/>
      <c r="Q273" s="28"/>
      <c r="R273" s="28"/>
      <c r="S273" s="28"/>
      <c r="T273" s="28"/>
      <c r="U273" s="28"/>
      <c r="V273" s="28"/>
      <c r="W273" s="28"/>
      <c r="X273" s="28"/>
      <c r="Y273" s="28"/>
      <c r="Z273" s="28"/>
      <c r="AA273" s="28"/>
      <c r="AB273" s="28"/>
    </row>
    <row r="274" spans="1:28" ht="15.75" customHeight="1" x14ac:dyDescent="0.25">
      <c r="A274" s="28"/>
      <c r="B274" s="9" t="s">
        <v>46</v>
      </c>
      <c r="C274" s="299" t="s">
        <v>47</v>
      </c>
      <c r="D274" s="47">
        <v>88.4</v>
      </c>
      <c r="E274" s="11">
        <v>107</v>
      </c>
      <c r="F274" s="11">
        <v>91</v>
      </c>
      <c r="G274" s="28"/>
      <c r="H274" s="31"/>
      <c r="I274" s="3"/>
      <c r="J274" s="28"/>
      <c r="K274" s="28"/>
      <c r="L274" s="28"/>
      <c r="M274" s="28"/>
      <c r="N274" s="28"/>
      <c r="O274" s="28"/>
      <c r="P274" s="28"/>
      <c r="Q274" s="28"/>
      <c r="R274" s="28"/>
      <c r="S274" s="28"/>
      <c r="T274" s="28"/>
      <c r="U274" s="28"/>
      <c r="V274" s="28"/>
      <c r="W274" s="28"/>
      <c r="X274" s="28"/>
      <c r="Y274" s="28"/>
      <c r="Z274" s="28"/>
      <c r="AA274" s="28"/>
      <c r="AB274" s="28"/>
    </row>
    <row r="275" spans="1:28" ht="15.75" customHeight="1" x14ac:dyDescent="0.25">
      <c r="A275" s="28"/>
      <c r="B275" s="9" t="s">
        <v>48</v>
      </c>
      <c r="C275" s="300"/>
      <c r="D275" s="47">
        <v>94.6</v>
      </c>
      <c r="E275" s="11">
        <v>110</v>
      </c>
      <c r="F275" s="11">
        <v>93</v>
      </c>
      <c r="G275" s="28"/>
      <c r="H275" s="31"/>
      <c r="I275" s="3"/>
      <c r="J275" s="28"/>
      <c r="K275" s="28"/>
      <c r="L275" s="28"/>
      <c r="M275" s="28"/>
      <c r="N275" s="28"/>
      <c r="O275" s="28"/>
      <c r="P275" s="28"/>
      <c r="Q275" s="28"/>
      <c r="R275" s="28"/>
      <c r="S275" s="28"/>
      <c r="T275" s="28"/>
      <c r="U275" s="28"/>
      <c r="V275" s="28"/>
      <c r="W275" s="28"/>
      <c r="X275" s="28"/>
      <c r="Y275" s="28"/>
      <c r="Z275" s="28"/>
      <c r="AA275" s="28"/>
      <c r="AB275" s="28"/>
    </row>
    <row r="276" spans="1:28" ht="15.75" customHeight="1" x14ac:dyDescent="0.25">
      <c r="A276" s="28"/>
      <c r="B276" s="41"/>
      <c r="C276" s="42"/>
      <c r="D276" s="42"/>
      <c r="E276" s="42"/>
      <c r="F276" s="42"/>
      <c r="G276" s="28"/>
      <c r="H276" s="31"/>
      <c r="I276" s="3"/>
      <c r="J276" s="28"/>
      <c r="K276" s="28"/>
      <c r="L276" s="28"/>
      <c r="M276" s="28"/>
      <c r="N276" s="28"/>
      <c r="O276" s="28"/>
      <c r="P276" s="28"/>
      <c r="Q276" s="28"/>
      <c r="R276" s="28"/>
      <c r="S276" s="28"/>
      <c r="T276" s="28"/>
      <c r="U276" s="28"/>
      <c r="V276" s="28"/>
      <c r="W276" s="28"/>
      <c r="X276" s="28"/>
      <c r="Y276" s="28"/>
      <c r="Z276" s="28"/>
      <c r="AA276" s="28"/>
      <c r="AB276" s="28"/>
    </row>
    <row r="277" spans="1:28" ht="15.75" customHeight="1" x14ac:dyDescent="0.25">
      <c r="A277" s="28"/>
      <c r="B277" s="9" t="s">
        <v>50</v>
      </c>
      <c r="C277" s="302" t="s">
        <v>51</v>
      </c>
      <c r="D277" s="47">
        <v>271.44400000000002</v>
      </c>
      <c r="E277" s="11">
        <v>562</v>
      </c>
      <c r="F277" s="11">
        <v>280</v>
      </c>
      <c r="G277" s="28"/>
      <c r="H277" s="31"/>
      <c r="I277" s="3"/>
      <c r="J277" s="28"/>
      <c r="K277" s="28"/>
      <c r="L277" s="28"/>
      <c r="M277" s="28"/>
      <c r="N277" s="28"/>
      <c r="O277" s="28"/>
      <c r="P277" s="28"/>
      <c r="Q277" s="28"/>
      <c r="R277" s="28"/>
      <c r="S277" s="28"/>
      <c r="T277" s="28"/>
      <c r="U277" s="28"/>
      <c r="V277" s="28"/>
      <c r="W277" s="28"/>
      <c r="X277" s="28"/>
      <c r="Y277" s="28"/>
      <c r="Z277" s="28"/>
      <c r="AA277" s="28"/>
      <c r="AB277" s="28"/>
    </row>
    <row r="278" spans="1:28" ht="15.75" customHeight="1" x14ac:dyDescent="0.25">
      <c r="A278" s="28"/>
      <c r="B278" s="9" t="s">
        <v>54</v>
      </c>
      <c r="C278" s="300"/>
      <c r="D278" s="47">
        <v>550.22199999999998</v>
      </c>
      <c r="E278" s="11">
        <v>613</v>
      </c>
      <c r="F278" s="11">
        <v>505</v>
      </c>
      <c r="G278" s="28"/>
      <c r="H278" s="31"/>
      <c r="I278" s="3"/>
      <c r="J278" s="28"/>
      <c r="K278" s="28"/>
      <c r="L278" s="28"/>
      <c r="M278" s="28"/>
      <c r="N278" s="28"/>
      <c r="O278" s="28"/>
      <c r="P278" s="28"/>
      <c r="Q278" s="28"/>
      <c r="R278" s="28"/>
      <c r="S278" s="28"/>
      <c r="T278" s="28"/>
      <c r="U278" s="28"/>
      <c r="V278" s="28"/>
      <c r="W278" s="28"/>
      <c r="X278" s="28"/>
      <c r="Y278" s="28"/>
      <c r="Z278" s="28"/>
      <c r="AA278" s="28"/>
      <c r="AB278" s="28"/>
    </row>
    <row r="279" spans="1:28" ht="15.75" customHeight="1" x14ac:dyDescent="0.25">
      <c r="A279" s="28"/>
      <c r="B279" s="9" t="s">
        <v>55</v>
      </c>
      <c r="C279" s="300"/>
      <c r="D279" s="47">
        <v>609</v>
      </c>
      <c r="E279" s="11">
        <v>749</v>
      </c>
      <c r="F279" s="11">
        <v>644</v>
      </c>
      <c r="G279" s="28"/>
      <c r="H279" s="31"/>
      <c r="I279" s="3"/>
      <c r="J279" s="28"/>
      <c r="K279" s="28"/>
      <c r="L279" s="28"/>
      <c r="M279" s="28"/>
      <c r="N279" s="28"/>
      <c r="O279" s="28"/>
      <c r="P279" s="28"/>
      <c r="Q279" s="28"/>
      <c r="R279" s="28"/>
      <c r="S279" s="28"/>
      <c r="T279" s="28"/>
      <c r="U279" s="28"/>
      <c r="V279" s="28"/>
      <c r="W279" s="28"/>
      <c r="X279" s="28"/>
      <c r="Y279" s="28"/>
      <c r="Z279" s="28"/>
      <c r="AA279" s="28"/>
      <c r="AB279" s="28"/>
    </row>
    <row r="280" spans="1:28" ht="15.75" customHeight="1" x14ac:dyDescent="0.25">
      <c r="A280" s="28"/>
      <c r="B280" s="9" t="s">
        <v>56</v>
      </c>
      <c r="C280" s="300"/>
      <c r="D280" s="47">
        <v>739.11099999999999</v>
      </c>
      <c r="E280" s="11">
        <v>922</v>
      </c>
      <c r="F280" s="11">
        <v>778</v>
      </c>
      <c r="G280" s="28"/>
      <c r="H280" s="31"/>
      <c r="I280" s="3"/>
      <c r="J280" s="28"/>
      <c r="K280" s="28"/>
      <c r="L280" s="28"/>
      <c r="M280" s="28"/>
      <c r="N280" s="28"/>
      <c r="O280" s="28"/>
      <c r="P280" s="28"/>
      <c r="Q280" s="28"/>
      <c r="R280" s="28"/>
      <c r="S280" s="28"/>
      <c r="T280" s="28"/>
      <c r="U280" s="28"/>
      <c r="V280" s="28"/>
      <c r="W280" s="28"/>
      <c r="X280" s="28"/>
      <c r="Y280" s="28"/>
      <c r="Z280" s="28"/>
      <c r="AA280" s="28"/>
      <c r="AB280" s="28"/>
    </row>
    <row r="281" spans="1:28" ht="15.75" customHeight="1" x14ac:dyDescent="0.25">
      <c r="A281" s="28"/>
      <c r="B281" s="49" t="s">
        <v>57</v>
      </c>
      <c r="C281" s="300"/>
      <c r="D281" s="50">
        <v>746.88900000000001</v>
      </c>
      <c r="E281" s="51">
        <v>705</v>
      </c>
      <c r="F281" s="51">
        <v>583</v>
      </c>
      <c r="G281" s="28"/>
      <c r="H281" s="31"/>
      <c r="I281" s="3"/>
      <c r="J281" s="28"/>
      <c r="K281" s="28"/>
      <c r="L281" s="28"/>
      <c r="M281" s="28"/>
      <c r="N281" s="28"/>
      <c r="O281" s="28"/>
      <c r="P281" s="28"/>
      <c r="Q281" s="28"/>
      <c r="R281" s="28"/>
      <c r="S281" s="28"/>
      <c r="T281" s="28"/>
      <c r="U281" s="28"/>
      <c r="V281" s="28"/>
      <c r="W281" s="28"/>
      <c r="X281" s="28"/>
      <c r="Y281" s="28"/>
      <c r="Z281" s="28"/>
      <c r="AA281" s="28"/>
      <c r="AB281" s="28"/>
    </row>
    <row r="282" spans="1:28" ht="15.75" customHeight="1" x14ac:dyDescent="0.25">
      <c r="A282" s="28"/>
      <c r="B282" s="79"/>
      <c r="C282" s="81"/>
      <c r="D282" s="81"/>
      <c r="E282" s="81"/>
      <c r="F282" s="81"/>
      <c r="G282" s="28"/>
      <c r="H282" s="28"/>
      <c r="I282" s="3"/>
      <c r="J282" s="28"/>
      <c r="K282" s="28"/>
      <c r="L282" s="28"/>
      <c r="M282" s="28"/>
      <c r="N282" s="28"/>
      <c r="O282" s="28"/>
      <c r="P282" s="28"/>
      <c r="Q282" s="28"/>
      <c r="R282" s="28"/>
      <c r="S282" s="28"/>
      <c r="T282" s="28"/>
      <c r="U282" s="28"/>
      <c r="V282" s="28"/>
      <c r="W282" s="28"/>
      <c r="X282" s="28"/>
      <c r="Y282" s="28"/>
      <c r="Z282" s="28"/>
      <c r="AA282" s="28"/>
      <c r="AB282" s="28"/>
    </row>
    <row r="283" spans="1:28" ht="15.75" customHeight="1" x14ac:dyDescent="0.25">
      <c r="A283" s="28"/>
      <c r="B283" s="9" t="s">
        <v>60</v>
      </c>
      <c r="C283" s="299" t="s">
        <v>62</v>
      </c>
      <c r="D283" s="47">
        <v>19.36</v>
      </c>
      <c r="E283" s="11">
        <v>38</v>
      </c>
      <c r="F283" s="11">
        <v>19</v>
      </c>
      <c r="G283" s="28"/>
      <c r="H283" s="31"/>
      <c r="I283" s="3"/>
      <c r="J283" s="28"/>
      <c r="K283" s="28"/>
      <c r="L283" s="28"/>
      <c r="M283" s="28"/>
      <c r="N283" s="28"/>
      <c r="O283" s="28"/>
      <c r="P283" s="28"/>
      <c r="Q283" s="28"/>
      <c r="R283" s="28"/>
      <c r="S283" s="28"/>
      <c r="T283" s="28"/>
      <c r="U283" s="28"/>
      <c r="V283" s="28"/>
      <c r="W283" s="28"/>
      <c r="X283" s="28"/>
      <c r="Y283" s="28"/>
      <c r="Z283" s="28"/>
      <c r="AA283" s="28"/>
      <c r="AB283" s="28"/>
    </row>
    <row r="284" spans="1:28" ht="15.75" customHeight="1" x14ac:dyDescent="0.25">
      <c r="A284" s="28"/>
      <c r="B284" s="9" t="s">
        <v>64</v>
      </c>
      <c r="C284" s="300"/>
      <c r="D284" s="47">
        <v>33.31</v>
      </c>
      <c r="E284" s="11">
        <v>49</v>
      </c>
      <c r="F284" s="11">
        <v>38</v>
      </c>
      <c r="G284" s="28"/>
      <c r="H284" s="31"/>
      <c r="I284" s="3"/>
      <c r="J284" s="28"/>
      <c r="K284" s="28"/>
      <c r="L284" s="28"/>
      <c r="M284" s="28"/>
      <c r="N284" s="28"/>
      <c r="O284" s="28"/>
      <c r="P284" s="28"/>
      <c r="Q284" s="28"/>
      <c r="R284" s="28"/>
      <c r="S284" s="28"/>
      <c r="T284" s="28"/>
      <c r="U284" s="28"/>
      <c r="V284" s="28"/>
      <c r="W284" s="28"/>
      <c r="X284" s="28"/>
      <c r="Y284" s="28"/>
      <c r="Z284" s="28"/>
      <c r="AA284" s="28"/>
      <c r="AB284" s="28"/>
    </row>
    <row r="285" spans="1:28" ht="15.75" customHeight="1" x14ac:dyDescent="0.25">
      <c r="A285" s="28"/>
      <c r="B285" s="9" t="s">
        <v>65</v>
      </c>
      <c r="C285" s="301"/>
      <c r="D285" s="47">
        <v>41.74</v>
      </c>
      <c r="E285" s="11">
        <v>42</v>
      </c>
      <c r="F285" s="11">
        <v>33</v>
      </c>
      <c r="G285" s="28"/>
      <c r="H285" s="31"/>
      <c r="I285" s="3"/>
      <c r="J285" s="28"/>
      <c r="K285" s="28"/>
      <c r="L285" s="28"/>
      <c r="M285" s="28"/>
      <c r="N285" s="28"/>
      <c r="O285" s="28"/>
      <c r="P285" s="28"/>
      <c r="Q285" s="28"/>
      <c r="R285" s="28"/>
      <c r="S285" s="28"/>
      <c r="T285" s="28"/>
      <c r="U285" s="28"/>
      <c r="V285" s="28"/>
      <c r="W285" s="28"/>
      <c r="X285" s="28"/>
      <c r="Y285" s="28"/>
      <c r="Z285" s="28"/>
      <c r="AA285" s="28"/>
      <c r="AB285" s="28"/>
    </row>
    <row r="286" spans="1:28" ht="15.75" customHeight="1" x14ac:dyDescent="0.25">
      <c r="A286" s="28"/>
      <c r="B286" s="41"/>
      <c r="C286" s="42"/>
      <c r="D286" s="42"/>
      <c r="E286" s="42"/>
      <c r="F286" s="11"/>
      <c r="G286" s="28"/>
      <c r="H286" s="31"/>
      <c r="I286" s="3"/>
      <c r="J286" s="28"/>
      <c r="K286" s="28"/>
      <c r="L286" s="28"/>
      <c r="M286" s="28"/>
      <c r="N286" s="28"/>
      <c r="O286" s="28"/>
      <c r="P286" s="28"/>
      <c r="Q286" s="28"/>
      <c r="R286" s="28"/>
      <c r="S286" s="28"/>
      <c r="T286" s="28"/>
      <c r="U286" s="28"/>
      <c r="V286" s="28"/>
      <c r="W286" s="28"/>
      <c r="X286" s="28"/>
      <c r="Y286" s="28"/>
      <c r="Z286" s="28"/>
      <c r="AA286" s="28"/>
      <c r="AB286" s="28"/>
    </row>
    <row r="287" spans="1:28" ht="15.75" customHeight="1" x14ac:dyDescent="0.25">
      <c r="A287" s="28"/>
      <c r="B287" s="9" t="s">
        <v>66</v>
      </c>
      <c r="C287" s="302" t="s">
        <v>68</v>
      </c>
      <c r="D287" s="47">
        <v>204.5</v>
      </c>
      <c r="E287" s="11">
        <v>273</v>
      </c>
      <c r="F287" s="11">
        <v>216</v>
      </c>
      <c r="G287" s="28"/>
      <c r="H287" s="31"/>
      <c r="I287" s="3"/>
      <c r="J287" s="28"/>
      <c r="K287" s="28"/>
      <c r="L287" s="28"/>
      <c r="M287" s="28"/>
      <c r="N287" s="28"/>
      <c r="O287" s="28"/>
      <c r="P287" s="28"/>
      <c r="Q287" s="28"/>
      <c r="R287" s="28"/>
      <c r="S287" s="28"/>
      <c r="T287" s="28"/>
      <c r="U287" s="28"/>
      <c r="V287" s="28"/>
      <c r="W287" s="28"/>
      <c r="X287" s="28"/>
      <c r="Y287" s="28"/>
      <c r="Z287" s="28"/>
      <c r="AA287" s="28"/>
      <c r="AB287" s="28"/>
    </row>
    <row r="288" spans="1:28" ht="15.75" customHeight="1" x14ac:dyDescent="0.25">
      <c r="A288" s="28"/>
      <c r="B288" s="49" t="s">
        <v>69</v>
      </c>
      <c r="C288" s="300"/>
      <c r="D288" s="50">
        <v>277.7</v>
      </c>
      <c r="E288" s="51">
        <v>335</v>
      </c>
      <c r="F288" s="51">
        <v>272</v>
      </c>
      <c r="G288" s="28"/>
      <c r="H288" s="31"/>
      <c r="I288" s="3"/>
      <c r="J288" s="28"/>
      <c r="K288" s="28"/>
      <c r="L288" s="28"/>
      <c r="M288" s="28"/>
      <c r="N288" s="28"/>
      <c r="O288" s="28"/>
      <c r="P288" s="28"/>
      <c r="Q288" s="28"/>
      <c r="R288" s="28"/>
      <c r="S288" s="28"/>
      <c r="T288" s="28"/>
      <c r="U288" s="28"/>
      <c r="V288" s="28"/>
      <c r="W288" s="28"/>
      <c r="X288" s="28"/>
      <c r="Y288" s="28"/>
      <c r="Z288" s="28"/>
      <c r="AA288" s="28"/>
      <c r="AB288" s="28"/>
    </row>
    <row r="289" spans="1:28" ht="15.75" customHeight="1" x14ac:dyDescent="0.25">
      <c r="A289" s="28"/>
      <c r="B289" s="44"/>
      <c r="C289" s="46"/>
      <c r="D289" s="46"/>
      <c r="E289" s="46"/>
      <c r="F289" s="46"/>
      <c r="G289" s="28"/>
      <c r="H289" s="28"/>
      <c r="I289" s="3"/>
      <c r="J289" s="28"/>
      <c r="K289" s="28"/>
      <c r="L289" s="28"/>
      <c r="M289" s="28"/>
      <c r="N289" s="28"/>
      <c r="O289" s="28"/>
      <c r="P289" s="28"/>
      <c r="Q289" s="28"/>
      <c r="R289" s="28"/>
      <c r="S289" s="28"/>
      <c r="T289" s="28"/>
      <c r="U289" s="28"/>
      <c r="V289" s="28"/>
      <c r="W289" s="28"/>
      <c r="X289" s="28"/>
      <c r="Y289" s="28"/>
      <c r="Z289" s="28"/>
      <c r="AA289" s="28"/>
      <c r="AB289" s="28"/>
    </row>
    <row r="290" spans="1:28" ht="15.75" customHeight="1" x14ac:dyDescent="0.25">
      <c r="A290" s="28"/>
      <c r="B290" s="9" t="s">
        <v>69</v>
      </c>
      <c r="C290" s="299" t="s">
        <v>71</v>
      </c>
      <c r="D290" s="47">
        <v>10.283300000000001</v>
      </c>
      <c r="E290" s="11">
        <v>27</v>
      </c>
      <c r="F290" s="11">
        <v>14</v>
      </c>
      <c r="G290" s="28"/>
      <c r="H290" s="31"/>
      <c r="I290" s="3"/>
      <c r="J290" s="28"/>
      <c r="K290" s="28"/>
      <c r="L290" s="28"/>
      <c r="M290" s="28"/>
      <c r="N290" s="28"/>
      <c r="O290" s="28"/>
      <c r="P290" s="28"/>
      <c r="Q290" s="28"/>
      <c r="R290" s="28"/>
      <c r="S290" s="28"/>
      <c r="T290" s="28"/>
      <c r="U290" s="28"/>
      <c r="V290" s="28"/>
      <c r="W290" s="28"/>
      <c r="X290" s="28"/>
      <c r="Y290" s="28"/>
      <c r="Z290" s="28"/>
      <c r="AA290" s="28"/>
      <c r="AB290" s="28"/>
    </row>
    <row r="291" spans="1:28" ht="15.75" customHeight="1" x14ac:dyDescent="0.25">
      <c r="A291" s="28"/>
      <c r="B291" s="9" t="s">
        <v>72</v>
      </c>
      <c r="C291" s="300"/>
      <c r="D291" s="47">
        <v>11.8833</v>
      </c>
      <c r="E291" s="11">
        <v>31</v>
      </c>
      <c r="F291" s="11">
        <v>17</v>
      </c>
      <c r="G291" s="28"/>
      <c r="H291" s="31"/>
      <c r="I291" s="3"/>
      <c r="J291" s="28"/>
      <c r="K291" s="28"/>
      <c r="L291" s="28"/>
      <c r="M291" s="28"/>
      <c r="N291" s="28"/>
      <c r="O291" s="28"/>
      <c r="P291" s="28"/>
      <c r="Q291" s="28"/>
      <c r="R291" s="28"/>
      <c r="S291" s="28"/>
      <c r="T291" s="28"/>
      <c r="U291" s="28"/>
      <c r="V291" s="28"/>
      <c r="W291" s="28"/>
      <c r="X291" s="28"/>
      <c r="Y291" s="28"/>
      <c r="Z291" s="28"/>
      <c r="AA291" s="28"/>
      <c r="AB291" s="28"/>
    </row>
    <row r="292" spans="1:28" ht="15.75" customHeight="1" x14ac:dyDescent="0.25">
      <c r="A292" s="28"/>
      <c r="B292" s="9" t="s">
        <v>73</v>
      </c>
      <c r="C292" s="301"/>
      <c r="D292" s="47">
        <v>17.433299999999999</v>
      </c>
      <c r="E292" s="11">
        <v>34</v>
      </c>
      <c r="F292" s="11">
        <v>21</v>
      </c>
      <c r="G292" s="28"/>
      <c r="H292" s="31"/>
      <c r="I292" s="3"/>
      <c r="J292" s="28"/>
      <c r="K292" s="28"/>
      <c r="L292" s="28"/>
      <c r="M292" s="28"/>
      <c r="N292" s="28"/>
      <c r="O292" s="28"/>
      <c r="P292" s="28"/>
      <c r="Q292" s="28"/>
      <c r="R292" s="28"/>
      <c r="S292" s="28"/>
      <c r="T292" s="28"/>
      <c r="U292" s="28"/>
      <c r="V292" s="28"/>
      <c r="W292" s="28"/>
      <c r="X292" s="28"/>
      <c r="Y292" s="28"/>
      <c r="Z292" s="28"/>
      <c r="AA292" s="28"/>
      <c r="AB292" s="28"/>
    </row>
    <row r="293" spans="1:28" ht="15.75" customHeight="1" x14ac:dyDescent="0.25">
      <c r="A293" s="28"/>
      <c r="B293" s="41"/>
      <c r="C293" s="42"/>
      <c r="D293" s="42"/>
      <c r="E293" s="42"/>
      <c r="F293" s="11"/>
      <c r="G293" s="28"/>
      <c r="H293" s="31"/>
      <c r="I293" s="3"/>
      <c r="J293" s="28"/>
      <c r="K293" s="28"/>
      <c r="L293" s="28"/>
      <c r="M293" s="28"/>
      <c r="N293" s="28"/>
      <c r="O293" s="28"/>
      <c r="P293" s="28"/>
      <c r="Q293" s="28"/>
      <c r="R293" s="28"/>
      <c r="S293" s="28"/>
      <c r="T293" s="28"/>
      <c r="U293" s="28"/>
      <c r="V293" s="28"/>
      <c r="W293" s="28"/>
      <c r="X293" s="28"/>
      <c r="Y293" s="28"/>
      <c r="Z293" s="28"/>
      <c r="AA293" s="28"/>
      <c r="AB293" s="28"/>
    </row>
    <row r="294" spans="1:28" ht="15.75" customHeight="1" x14ac:dyDescent="0.25">
      <c r="A294" s="28"/>
      <c r="B294" s="9" t="s">
        <v>1023</v>
      </c>
      <c r="C294" s="302" t="s">
        <v>77</v>
      </c>
      <c r="D294" s="47">
        <v>117.467</v>
      </c>
      <c r="E294" s="11">
        <v>152</v>
      </c>
      <c r="F294" s="11">
        <v>110</v>
      </c>
      <c r="G294" s="28"/>
      <c r="H294" s="31"/>
      <c r="I294" s="3"/>
      <c r="J294" s="28"/>
      <c r="K294" s="28"/>
      <c r="L294" s="28"/>
      <c r="M294" s="28"/>
      <c r="N294" s="28"/>
      <c r="O294" s="28"/>
      <c r="P294" s="28"/>
      <c r="Q294" s="28"/>
      <c r="R294" s="28"/>
      <c r="S294" s="28"/>
      <c r="T294" s="28"/>
      <c r="U294" s="28"/>
      <c r="V294" s="28"/>
      <c r="W294" s="28"/>
      <c r="X294" s="28"/>
      <c r="Y294" s="28"/>
      <c r="Z294" s="28"/>
      <c r="AA294" s="28"/>
      <c r="AB294" s="28"/>
    </row>
    <row r="295" spans="1:28" ht="15.75" customHeight="1" x14ac:dyDescent="0.25">
      <c r="A295" s="28"/>
      <c r="B295" s="9" t="s">
        <v>78</v>
      </c>
      <c r="C295" s="300"/>
      <c r="D295" s="47">
        <v>187.833</v>
      </c>
      <c r="E295" s="11">
        <v>165</v>
      </c>
      <c r="F295" s="11">
        <v>145</v>
      </c>
      <c r="G295" s="28"/>
      <c r="H295" s="31"/>
      <c r="I295" s="3"/>
      <c r="J295" s="28"/>
      <c r="K295" s="28"/>
      <c r="L295" s="28"/>
      <c r="M295" s="28"/>
      <c r="N295" s="28"/>
      <c r="O295" s="28"/>
      <c r="P295" s="28"/>
      <c r="Q295" s="28"/>
      <c r="R295" s="28"/>
      <c r="S295" s="28"/>
      <c r="T295" s="28"/>
      <c r="U295" s="28"/>
      <c r="V295" s="28"/>
      <c r="W295" s="28"/>
      <c r="X295" s="28"/>
      <c r="Y295" s="28"/>
      <c r="Z295" s="28"/>
      <c r="AA295" s="28"/>
      <c r="AB295" s="28"/>
    </row>
    <row r="296" spans="1:28" ht="15.75" customHeight="1" x14ac:dyDescent="0.25">
      <c r="A296" s="28"/>
      <c r="B296" s="9" t="s">
        <v>79</v>
      </c>
      <c r="C296" s="300"/>
      <c r="D296" s="47">
        <v>218.333</v>
      </c>
      <c r="E296" s="11">
        <v>291</v>
      </c>
      <c r="F296" s="11">
        <v>224</v>
      </c>
      <c r="G296" s="28"/>
      <c r="H296" s="31"/>
      <c r="I296" s="3"/>
      <c r="J296" s="28"/>
      <c r="K296" s="28"/>
      <c r="L296" s="28"/>
      <c r="M296" s="28"/>
      <c r="N296" s="28"/>
      <c r="O296" s="28"/>
      <c r="P296" s="28"/>
      <c r="Q296" s="28"/>
      <c r="R296" s="28"/>
      <c r="S296" s="28"/>
      <c r="T296" s="28"/>
      <c r="U296" s="28"/>
      <c r="V296" s="28"/>
      <c r="W296" s="28"/>
      <c r="X296" s="28"/>
      <c r="Y296" s="28"/>
      <c r="Z296" s="28"/>
      <c r="AA296" s="28"/>
      <c r="AB296" s="28"/>
    </row>
    <row r="297" spans="1:28" ht="15.75" customHeight="1" x14ac:dyDescent="0.25">
      <c r="A297" s="28"/>
      <c r="B297" s="49" t="s">
        <v>1025</v>
      </c>
      <c r="C297" s="300"/>
      <c r="D297" s="50">
        <v>238.5</v>
      </c>
      <c r="E297" s="51">
        <v>223</v>
      </c>
      <c r="F297" s="51">
        <v>176</v>
      </c>
      <c r="G297" s="28"/>
      <c r="H297" s="31"/>
      <c r="I297" s="3"/>
      <c r="J297" s="28"/>
      <c r="K297" s="28"/>
      <c r="L297" s="28"/>
      <c r="M297" s="28"/>
      <c r="N297" s="28"/>
      <c r="O297" s="28"/>
      <c r="P297" s="28"/>
      <c r="Q297" s="28"/>
      <c r="R297" s="28"/>
      <c r="S297" s="28"/>
      <c r="T297" s="28"/>
      <c r="U297" s="28"/>
      <c r="V297" s="28"/>
      <c r="W297" s="28"/>
      <c r="X297" s="28"/>
      <c r="Y297" s="28"/>
      <c r="Z297" s="28"/>
      <c r="AA297" s="28"/>
      <c r="AB297" s="28"/>
    </row>
    <row r="298" spans="1:28" ht="15.75" customHeight="1" x14ac:dyDescent="0.25">
      <c r="A298" s="28"/>
      <c r="B298" s="44"/>
      <c r="C298" s="46"/>
      <c r="D298" s="46"/>
      <c r="E298" s="46"/>
      <c r="F298" s="46"/>
      <c r="G298" s="28"/>
      <c r="H298" s="28"/>
      <c r="I298" s="3"/>
      <c r="J298" s="28"/>
      <c r="K298" s="28"/>
      <c r="L298" s="28"/>
      <c r="M298" s="28"/>
      <c r="N298" s="28"/>
      <c r="O298" s="28"/>
      <c r="P298" s="28"/>
      <c r="Q298" s="28"/>
      <c r="R298" s="28"/>
      <c r="S298" s="28"/>
      <c r="T298" s="28"/>
      <c r="U298" s="28"/>
      <c r="V298" s="28"/>
      <c r="W298" s="28"/>
      <c r="X298" s="28"/>
      <c r="Y298" s="28"/>
      <c r="Z298" s="28"/>
      <c r="AA298" s="28"/>
      <c r="AB298" s="28"/>
    </row>
    <row r="299" spans="1:28" ht="15.75" customHeight="1" x14ac:dyDescent="0.25">
      <c r="A299" s="28"/>
      <c r="B299" s="9" t="s">
        <v>81</v>
      </c>
      <c r="C299" s="299" t="s">
        <v>82</v>
      </c>
      <c r="D299" s="47">
        <v>2</v>
      </c>
      <c r="E299" s="11">
        <v>3</v>
      </c>
      <c r="F299" s="11">
        <v>2</v>
      </c>
      <c r="G299" s="28"/>
      <c r="H299" s="31"/>
      <c r="I299" s="3"/>
      <c r="J299" s="28"/>
      <c r="K299" s="28"/>
      <c r="L299" s="28"/>
      <c r="M299" s="28"/>
      <c r="N299" s="28"/>
      <c r="O299" s="28"/>
      <c r="P299" s="28"/>
      <c r="Q299" s="28"/>
      <c r="R299" s="28"/>
      <c r="S299" s="28"/>
      <c r="T299" s="28"/>
      <c r="U299" s="28"/>
      <c r="V299" s="28"/>
      <c r="W299" s="28"/>
      <c r="X299" s="28"/>
      <c r="Y299" s="28"/>
      <c r="Z299" s="28"/>
      <c r="AA299" s="28"/>
      <c r="AB299" s="28"/>
    </row>
    <row r="300" spans="1:28" ht="15.75" customHeight="1" x14ac:dyDescent="0.25">
      <c r="A300" s="28"/>
      <c r="B300" s="9" t="s">
        <v>83</v>
      </c>
      <c r="C300" s="300"/>
      <c r="D300" s="47">
        <v>7.133</v>
      </c>
      <c r="E300" s="11">
        <v>25</v>
      </c>
      <c r="F300" s="11">
        <v>3</v>
      </c>
      <c r="G300" s="28"/>
      <c r="H300" s="31"/>
      <c r="I300" s="3"/>
      <c r="J300" s="28"/>
      <c r="K300" s="28"/>
      <c r="L300" s="28"/>
      <c r="M300" s="28"/>
      <c r="N300" s="28"/>
      <c r="O300" s="28"/>
      <c r="P300" s="28"/>
      <c r="Q300" s="28"/>
      <c r="R300" s="28"/>
      <c r="S300" s="28"/>
      <c r="T300" s="28"/>
      <c r="U300" s="28"/>
      <c r="V300" s="28"/>
      <c r="W300" s="28"/>
      <c r="X300" s="28"/>
      <c r="Y300" s="28"/>
      <c r="Z300" s="28"/>
      <c r="AA300" s="28"/>
      <c r="AB300" s="28"/>
    </row>
    <row r="301" spans="1:28" ht="15.75" customHeight="1" x14ac:dyDescent="0.25">
      <c r="A301" s="28"/>
      <c r="B301" s="9" t="s">
        <v>84</v>
      </c>
      <c r="C301" s="301"/>
      <c r="D301" s="47">
        <v>10.72</v>
      </c>
      <c r="E301" s="11">
        <v>23</v>
      </c>
      <c r="F301" s="11">
        <v>3</v>
      </c>
      <c r="G301" s="28"/>
      <c r="H301" s="31"/>
      <c r="I301" s="3"/>
      <c r="J301" s="28"/>
      <c r="K301" s="28"/>
      <c r="L301" s="28"/>
      <c r="M301" s="28"/>
      <c r="N301" s="28"/>
      <c r="O301" s="28"/>
      <c r="P301" s="28"/>
      <c r="Q301" s="28"/>
      <c r="R301" s="28"/>
      <c r="S301" s="28"/>
      <c r="T301" s="28"/>
      <c r="U301" s="28"/>
      <c r="V301" s="28"/>
      <c r="W301" s="28"/>
      <c r="X301" s="28"/>
      <c r="Y301" s="28"/>
      <c r="Z301" s="28"/>
      <c r="AA301" s="28"/>
      <c r="AB301" s="28"/>
    </row>
    <row r="302" spans="1:28" ht="15.75" customHeight="1" x14ac:dyDescent="0.25">
      <c r="A302" s="28"/>
      <c r="B302" s="41"/>
      <c r="C302" s="42"/>
      <c r="D302" s="42"/>
      <c r="E302" s="42"/>
      <c r="F302" s="11"/>
      <c r="G302" s="28"/>
      <c r="H302" s="31"/>
      <c r="I302" s="3"/>
      <c r="J302" s="28"/>
      <c r="K302" s="28"/>
      <c r="L302" s="28"/>
      <c r="M302" s="28"/>
      <c r="N302" s="28"/>
      <c r="O302" s="28"/>
      <c r="P302" s="28"/>
      <c r="Q302" s="28"/>
      <c r="R302" s="28"/>
      <c r="S302" s="28"/>
      <c r="T302" s="28"/>
      <c r="U302" s="28"/>
      <c r="V302" s="28"/>
      <c r="W302" s="28"/>
      <c r="X302" s="28"/>
      <c r="Y302" s="28"/>
      <c r="Z302" s="28"/>
      <c r="AA302" s="28"/>
      <c r="AB302" s="28"/>
    </row>
    <row r="303" spans="1:28" ht="15.75" customHeight="1" x14ac:dyDescent="0.25">
      <c r="A303" s="28"/>
      <c r="B303" s="9" t="s">
        <v>86</v>
      </c>
      <c r="C303" s="302" t="s">
        <v>87</v>
      </c>
      <c r="D303" s="47">
        <v>20.466999999999999</v>
      </c>
      <c r="E303" s="11">
        <v>26</v>
      </c>
      <c r="F303" s="11">
        <v>22</v>
      </c>
      <c r="G303" s="28"/>
      <c r="H303" s="31"/>
      <c r="I303" s="3"/>
      <c r="J303" s="28"/>
      <c r="K303" s="28"/>
      <c r="L303" s="28"/>
      <c r="M303" s="28"/>
      <c r="N303" s="28"/>
      <c r="O303" s="28"/>
      <c r="P303" s="28"/>
      <c r="Q303" s="28"/>
      <c r="R303" s="28"/>
      <c r="S303" s="28"/>
      <c r="T303" s="28"/>
      <c r="U303" s="28"/>
      <c r="V303" s="28"/>
      <c r="W303" s="28"/>
      <c r="X303" s="28"/>
      <c r="Y303" s="28"/>
      <c r="Z303" s="28"/>
      <c r="AA303" s="28"/>
      <c r="AB303" s="28"/>
    </row>
    <row r="304" spans="1:28" ht="15.75" customHeight="1" x14ac:dyDescent="0.25">
      <c r="A304" s="28"/>
      <c r="B304" s="49" t="s">
        <v>88</v>
      </c>
      <c r="C304" s="300"/>
      <c r="D304" s="50">
        <v>20.367000000000001</v>
      </c>
      <c r="E304" s="51">
        <v>26</v>
      </c>
      <c r="F304" s="51">
        <v>22</v>
      </c>
      <c r="G304" s="28"/>
      <c r="H304" s="31"/>
      <c r="I304" s="3"/>
      <c r="J304" s="28"/>
      <c r="K304" s="28"/>
      <c r="L304" s="28"/>
      <c r="M304" s="28"/>
      <c r="N304" s="28"/>
      <c r="O304" s="28"/>
      <c r="P304" s="28"/>
      <c r="Q304" s="28"/>
      <c r="R304" s="28"/>
      <c r="S304" s="28"/>
      <c r="T304" s="28"/>
      <c r="U304" s="28"/>
      <c r="V304" s="28"/>
      <c r="W304" s="28"/>
      <c r="X304" s="28"/>
      <c r="Y304" s="28"/>
      <c r="Z304" s="28"/>
      <c r="AA304" s="28"/>
      <c r="AB304" s="28"/>
    </row>
    <row r="305" spans="1:28" ht="15.75" customHeight="1" x14ac:dyDescent="0.25">
      <c r="A305" s="28"/>
      <c r="B305" s="44"/>
      <c r="C305" s="46"/>
      <c r="D305" s="46"/>
      <c r="E305" s="46"/>
      <c r="F305" s="46"/>
      <c r="G305" s="28"/>
      <c r="H305" s="28"/>
      <c r="I305" s="3"/>
      <c r="J305" s="28"/>
      <c r="K305" s="28"/>
      <c r="L305" s="28"/>
      <c r="M305" s="28"/>
      <c r="N305" s="28"/>
      <c r="O305" s="28"/>
      <c r="P305" s="28"/>
      <c r="Q305" s="28"/>
      <c r="R305" s="28"/>
      <c r="S305" s="28"/>
      <c r="T305" s="28"/>
      <c r="U305" s="28"/>
      <c r="V305" s="28"/>
      <c r="W305" s="28"/>
      <c r="X305" s="28"/>
      <c r="Y305" s="28"/>
      <c r="Z305" s="28"/>
      <c r="AA305" s="28"/>
      <c r="AB305" s="28"/>
    </row>
    <row r="306" spans="1:28" ht="15.75" customHeight="1" x14ac:dyDescent="0.25">
      <c r="A306" s="28"/>
      <c r="B306" s="9" t="s">
        <v>89</v>
      </c>
      <c r="C306" s="299" t="s">
        <v>90</v>
      </c>
      <c r="D306" s="47">
        <v>5.15</v>
      </c>
      <c r="E306" s="11">
        <v>19</v>
      </c>
      <c r="F306" s="11">
        <v>17</v>
      </c>
      <c r="G306" s="28"/>
      <c r="H306" s="31"/>
      <c r="I306" s="3"/>
      <c r="J306" s="28"/>
      <c r="K306" s="28"/>
      <c r="L306" s="28"/>
      <c r="M306" s="28"/>
      <c r="N306" s="28"/>
      <c r="O306" s="28"/>
      <c r="P306" s="28"/>
      <c r="Q306" s="28"/>
      <c r="R306" s="28"/>
      <c r="S306" s="28"/>
      <c r="T306" s="28"/>
      <c r="U306" s="28"/>
      <c r="V306" s="28"/>
      <c r="W306" s="28"/>
      <c r="X306" s="28"/>
      <c r="Y306" s="28"/>
      <c r="Z306" s="28"/>
      <c r="AA306" s="28"/>
      <c r="AB306" s="28"/>
    </row>
    <row r="307" spans="1:28" ht="15.75" customHeight="1" x14ac:dyDescent="0.25">
      <c r="A307" s="28"/>
      <c r="B307" s="49" t="s">
        <v>91</v>
      </c>
      <c r="C307" s="300"/>
      <c r="D307" s="50">
        <v>16.2</v>
      </c>
      <c r="E307" s="51">
        <v>20</v>
      </c>
      <c r="F307" s="51">
        <v>17</v>
      </c>
      <c r="G307" s="28"/>
      <c r="H307" s="31"/>
      <c r="I307" s="3"/>
      <c r="J307" s="28"/>
      <c r="K307" s="28"/>
      <c r="L307" s="28"/>
      <c r="M307" s="28"/>
      <c r="N307" s="28"/>
      <c r="O307" s="28"/>
      <c r="P307" s="28"/>
      <c r="Q307" s="28"/>
      <c r="R307" s="28"/>
      <c r="S307" s="28"/>
      <c r="T307" s="28"/>
      <c r="U307" s="28"/>
      <c r="V307" s="28"/>
      <c r="W307" s="28"/>
      <c r="X307" s="28"/>
      <c r="Y307" s="28"/>
      <c r="Z307" s="28"/>
      <c r="AA307" s="28"/>
      <c r="AB307" s="28"/>
    </row>
    <row r="308" spans="1:28" ht="15.75" customHeight="1" x14ac:dyDescent="0.25">
      <c r="A308" s="28"/>
      <c r="B308" s="41"/>
      <c r="C308" s="42"/>
      <c r="D308" s="42"/>
      <c r="E308" s="42"/>
      <c r="F308" s="201"/>
      <c r="G308" s="28"/>
      <c r="H308" s="28"/>
      <c r="I308" s="3"/>
      <c r="J308" s="28"/>
      <c r="K308" s="28"/>
      <c r="L308" s="28"/>
      <c r="M308" s="28"/>
      <c r="N308" s="28"/>
      <c r="O308" s="28"/>
      <c r="P308" s="28"/>
      <c r="Q308" s="28"/>
      <c r="R308" s="28"/>
      <c r="S308" s="28"/>
      <c r="T308" s="28"/>
      <c r="U308" s="28"/>
      <c r="V308" s="28"/>
      <c r="W308" s="28"/>
      <c r="X308" s="28"/>
      <c r="Y308" s="28"/>
      <c r="Z308" s="28"/>
      <c r="AA308" s="28"/>
      <c r="AB308" s="28"/>
    </row>
    <row r="309" spans="1:28" ht="15.75" customHeight="1" x14ac:dyDescent="0.25">
      <c r="A309" s="28"/>
      <c r="B309" s="9" t="s">
        <v>94</v>
      </c>
      <c r="C309" s="299" t="s">
        <v>95</v>
      </c>
      <c r="D309" s="47">
        <v>50.082999999999998</v>
      </c>
      <c r="E309" s="11">
        <v>119</v>
      </c>
      <c r="F309" s="11">
        <v>56</v>
      </c>
      <c r="G309" s="28"/>
      <c r="H309" s="31"/>
      <c r="I309" s="3"/>
      <c r="J309" s="28"/>
      <c r="K309" s="28"/>
      <c r="L309" s="28"/>
      <c r="M309" s="28"/>
      <c r="N309" s="28"/>
      <c r="O309" s="28"/>
      <c r="P309" s="28"/>
      <c r="Q309" s="28"/>
      <c r="R309" s="28"/>
      <c r="S309" s="28"/>
      <c r="T309" s="28"/>
      <c r="U309" s="28"/>
      <c r="V309" s="28"/>
      <c r="W309" s="28"/>
      <c r="X309" s="28"/>
      <c r="Y309" s="28"/>
      <c r="Z309" s="28"/>
      <c r="AA309" s="28"/>
      <c r="AB309" s="28"/>
    </row>
    <row r="310" spans="1:28" ht="15.75" customHeight="1" x14ac:dyDescent="0.25">
      <c r="A310" s="28"/>
      <c r="B310" s="9" t="s">
        <v>96</v>
      </c>
      <c r="C310" s="300"/>
      <c r="D310" s="47">
        <v>93.992999999999995</v>
      </c>
      <c r="E310" s="11">
        <v>124</v>
      </c>
      <c r="F310" s="11">
        <v>113</v>
      </c>
      <c r="G310" s="28"/>
      <c r="H310" s="31"/>
      <c r="I310" s="3"/>
      <c r="J310" s="28"/>
      <c r="K310" s="28"/>
      <c r="L310" s="28"/>
      <c r="M310" s="28"/>
      <c r="N310" s="28"/>
      <c r="O310" s="28"/>
      <c r="P310" s="28"/>
      <c r="Q310" s="28"/>
      <c r="R310" s="28"/>
      <c r="S310" s="28"/>
      <c r="T310" s="28"/>
      <c r="U310" s="28"/>
      <c r="V310" s="28"/>
      <c r="W310" s="28"/>
      <c r="X310" s="28"/>
      <c r="Y310" s="28"/>
      <c r="Z310" s="28"/>
      <c r="AA310" s="28"/>
      <c r="AB310" s="28"/>
    </row>
    <row r="311" spans="1:28" ht="15.75" customHeight="1" x14ac:dyDescent="0.25">
      <c r="A311" s="28"/>
      <c r="B311" s="9" t="s">
        <v>97</v>
      </c>
      <c r="C311" s="300"/>
      <c r="D311" s="47">
        <v>95.516999999999996</v>
      </c>
      <c r="E311" s="11">
        <v>121</v>
      </c>
      <c r="F311" s="11">
        <v>111</v>
      </c>
      <c r="G311" s="28"/>
      <c r="H311" s="31"/>
      <c r="I311" s="3"/>
      <c r="J311" s="28"/>
      <c r="K311" s="28"/>
      <c r="L311" s="28"/>
      <c r="M311" s="28"/>
      <c r="N311" s="28"/>
      <c r="O311" s="28"/>
      <c r="P311" s="28"/>
      <c r="Q311" s="28"/>
      <c r="R311" s="28"/>
      <c r="S311" s="28"/>
      <c r="T311" s="28"/>
      <c r="U311" s="28"/>
      <c r="V311" s="28"/>
      <c r="W311" s="28"/>
      <c r="X311" s="28"/>
      <c r="Y311" s="28"/>
      <c r="Z311" s="28"/>
      <c r="AA311" s="28"/>
      <c r="AB311" s="28"/>
    </row>
    <row r="312" spans="1:28" ht="15.75" customHeight="1" x14ac:dyDescent="0.25">
      <c r="A312" s="28"/>
      <c r="B312" s="9" t="s">
        <v>98</v>
      </c>
      <c r="C312" s="300"/>
      <c r="D312" s="47">
        <v>100.92</v>
      </c>
      <c r="E312" s="11">
        <v>127</v>
      </c>
      <c r="F312" s="11">
        <v>115</v>
      </c>
      <c r="G312" s="28"/>
      <c r="H312" s="31"/>
      <c r="I312" s="3"/>
      <c r="J312" s="28"/>
      <c r="K312" s="28"/>
      <c r="L312" s="28"/>
      <c r="M312" s="28"/>
      <c r="N312" s="28"/>
      <c r="O312" s="28"/>
      <c r="P312" s="28"/>
      <c r="Q312" s="28"/>
      <c r="R312" s="28"/>
      <c r="S312" s="28"/>
      <c r="T312" s="28"/>
      <c r="U312" s="28"/>
      <c r="V312" s="28"/>
      <c r="W312" s="28"/>
      <c r="X312" s="28"/>
      <c r="Y312" s="28"/>
      <c r="Z312" s="28"/>
      <c r="AA312" s="28"/>
      <c r="AB312" s="28"/>
    </row>
    <row r="313" spans="1:28" ht="15.75" customHeight="1" x14ac:dyDescent="0.25">
      <c r="A313" s="28"/>
      <c r="B313" s="9" t="s">
        <v>99</v>
      </c>
      <c r="C313" s="301"/>
      <c r="D313" s="47">
        <v>115.37</v>
      </c>
      <c r="E313" s="11">
        <v>130</v>
      </c>
      <c r="F313" s="11">
        <v>117</v>
      </c>
      <c r="G313" s="28"/>
      <c r="H313" s="31"/>
      <c r="I313" s="3"/>
      <c r="J313" s="28"/>
      <c r="K313" s="28"/>
      <c r="L313" s="28"/>
      <c r="M313" s="28"/>
      <c r="N313" s="28"/>
      <c r="O313" s="28"/>
      <c r="P313" s="28"/>
      <c r="Q313" s="28"/>
      <c r="R313" s="28"/>
      <c r="S313" s="28"/>
      <c r="T313" s="28"/>
      <c r="U313" s="28"/>
      <c r="V313" s="28"/>
      <c r="W313" s="28"/>
      <c r="X313" s="28"/>
      <c r="Y313" s="28"/>
      <c r="Z313" s="28"/>
      <c r="AA313" s="28"/>
      <c r="AB313" s="28"/>
    </row>
    <row r="314" spans="1:28" ht="15.75" customHeight="1" x14ac:dyDescent="0.25">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row>
    <row r="315" spans="1:28" ht="15.75" customHeight="1" x14ac:dyDescent="0.2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row>
    <row r="316" spans="1:28" ht="15.75" customHeight="1" x14ac:dyDescent="0.25">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row>
    <row r="317" spans="1:28" ht="15.75" customHeight="1" x14ac:dyDescent="0.25">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row>
    <row r="318" spans="1:28" ht="15.75" customHeight="1" x14ac:dyDescent="0.25">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row>
    <row r="319" spans="1:28" ht="15.75" customHeight="1" x14ac:dyDescent="0.25">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row>
    <row r="320" spans="1:28" ht="15.75" customHeight="1" x14ac:dyDescent="0.25">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row>
    <row r="321" spans="1:28" ht="15.75" customHeight="1" x14ac:dyDescent="0.25">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row>
    <row r="322" spans="1:28" ht="15.75" customHeight="1" x14ac:dyDescent="0.25">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row>
    <row r="323" spans="1:28" ht="15.75" customHeight="1" x14ac:dyDescent="0.25">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row>
    <row r="324" spans="1:28" ht="15.75" customHeight="1" x14ac:dyDescent="0.25">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row>
    <row r="325" spans="1:28" ht="15.75" customHeight="1" x14ac:dyDescent="0.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row>
    <row r="326" spans="1:28" ht="15.75" customHeight="1" x14ac:dyDescent="0.25">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row>
    <row r="327" spans="1:28" ht="15.75" customHeight="1" x14ac:dyDescent="0.25">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row>
    <row r="328" spans="1:28" ht="15.75" customHeight="1" x14ac:dyDescent="0.25">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row>
    <row r="329" spans="1:28" ht="15.75" customHeight="1" x14ac:dyDescent="0.2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row>
    <row r="330" spans="1:28" ht="15.75" customHeight="1" x14ac:dyDescent="0.25">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row>
    <row r="331" spans="1:28" ht="15.75" customHeight="1" x14ac:dyDescent="0.25">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row>
    <row r="332" spans="1:28" ht="15.75" customHeight="1" x14ac:dyDescent="0.25">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row>
    <row r="333" spans="1:28" ht="15.75" customHeight="1" x14ac:dyDescent="0.25">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row>
    <row r="334" spans="1:28" ht="15.75" customHeight="1" x14ac:dyDescent="0.25">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row>
    <row r="335" spans="1:28" ht="15.75" customHeight="1" x14ac:dyDescent="0.2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row>
    <row r="336" spans="1:28" ht="15.75" customHeight="1" x14ac:dyDescent="0.25">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row>
    <row r="337" spans="1:28" ht="15.75" customHeight="1" x14ac:dyDescent="0.25">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row>
    <row r="338" spans="1:28" ht="15.75" customHeight="1" x14ac:dyDescent="0.25">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row>
    <row r="339" spans="1:28" ht="15.75" customHeight="1" x14ac:dyDescent="0.25">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row>
    <row r="340" spans="1:28" ht="15.75" customHeight="1" x14ac:dyDescent="0.25">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row>
    <row r="341" spans="1:28" ht="15.75" customHeight="1" x14ac:dyDescent="0.25">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row>
    <row r="342" spans="1:28" ht="15.75" customHeight="1" x14ac:dyDescent="0.25">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row>
    <row r="343" spans="1:28" ht="15.75" customHeight="1" x14ac:dyDescent="0.25">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row>
    <row r="344" spans="1:28" ht="15.75" customHeight="1" x14ac:dyDescent="0.25">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row>
    <row r="345" spans="1:28" ht="15.75" customHeight="1" x14ac:dyDescent="0.2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row>
    <row r="346" spans="1:28" ht="15.75" customHeight="1" x14ac:dyDescent="0.25">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row>
    <row r="347" spans="1:28" ht="15.75" customHeight="1" x14ac:dyDescent="0.25">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row>
    <row r="348" spans="1:28" ht="15.75" customHeight="1" x14ac:dyDescent="0.25">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row>
    <row r="349" spans="1:28" ht="15.75" customHeight="1" x14ac:dyDescent="0.25">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row>
    <row r="350" spans="1:28" ht="15.75" customHeight="1" x14ac:dyDescent="0.25">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row>
    <row r="351" spans="1:28" ht="15.75" customHeight="1" x14ac:dyDescent="0.2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row>
    <row r="352" spans="1:28" ht="15.75" customHeight="1" x14ac:dyDescent="0.2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row>
    <row r="353" spans="1:28" ht="15.75" customHeight="1" x14ac:dyDescent="0.25">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row>
    <row r="354" spans="1:28" ht="15.75" customHeight="1" x14ac:dyDescent="0.2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row>
    <row r="355" spans="1:28" ht="15.75" customHeight="1" x14ac:dyDescent="0.2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row>
    <row r="356" spans="1:28" ht="15.75" customHeight="1" x14ac:dyDescent="0.25">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row>
    <row r="357" spans="1:28" ht="15.75" customHeight="1" x14ac:dyDescent="0.25">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row>
    <row r="358" spans="1:28" ht="15.75" customHeight="1" x14ac:dyDescent="0.25">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row>
    <row r="359" spans="1:28" ht="15.75" customHeight="1" x14ac:dyDescent="0.25">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row>
    <row r="360" spans="1:28" ht="15.75" customHeight="1" x14ac:dyDescent="0.25">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row>
    <row r="361" spans="1:28" ht="15.75" customHeight="1" x14ac:dyDescent="0.25">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row>
    <row r="362" spans="1:28" ht="15.75" customHeight="1" x14ac:dyDescent="0.25">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row>
    <row r="363" spans="1:28" ht="15.75" customHeight="1" x14ac:dyDescent="0.25">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row>
    <row r="364" spans="1:28" ht="15.75" customHeight="1" x14ac:dyDescent="0.25">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row>
    <row r="365" spans="1:28" ht="15.75" customHeight="1" x14ac:dyDescent="0.2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row>
    <row r="366" spans="1:28" ht="15.75" customHeight="1" x14ac:dyDescent="0.25">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row>
    <row r="367" spans="1:28" ht="15.75" customHeight="1" x14ac:dyDescent="0.25">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row>
    <row r="368" spans="1:28" ht="15.75" customHeight="1" x14ac:dyDescent="0.25">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row>
    <row r="369" spans="1:28" ht="15.75" customHeight="1" x14ac:dyDescent="0.25">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row>
    <row r="370" spans="1:28" ht="15.75" customHeight="1" x14ac:dyDescent="0.25">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row>
    <row r="371" spans="1:28" ht="15.75" customHeight="1" x14ac:dyDescent="0.25">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row>
    <row r="372" spans="1:28" ht="15.75" customHeight="1" x14ac:dyDescent="0.25">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row>
    <row r="373" spans="1:28" ht="15.75" customHeight="1" x14ac:dyDescent="0.25">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row>
    <row r="374" spans="1:28" ht="15.75" customHeight="1" x14ac:dyDescent="0.25">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row>
    <row r="375" spans="1:28" ht="15.75" customHeight="1" x14ac:dyDescent="0.2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row>
    <row r="376" spans="1:28" ht="15.75" customHeight="1" x14ac:dyDescent="0.25">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row>
    <row r="377" spans="1:28" ht="15.75" customHeight="1" x14ac:dyDescent="0.25">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row>
    <row r="378" spans="1:28" ht="15.75" customHeight="1" x14ac:dyDescent="0.25">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row>
    <row r="379" spans="1:28" ht="15.75" customHeight="1" x14ac:dyDescent="0.25">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row>
    <row r="380" spans="1:28" ht="15.75" customHeight="1" x14ac:dyDescent="0.25">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row>
    <row r="381" spans="1:28" ht="15.75" customHeight="1" x14ac:dyDescent="0.25">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row>
    <row r="382" spans="1:28" ht="15.75" customHeight="1" x14ac:dyDescent="0.25">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row>
    <row r="383" spans="1:28" ht="15.75" customHeight="1" x14ac:dyDescent="0.25">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row>
    <row r="384" spans="1:28" ht="15.75" customHeight="1" x14ac:dyDescent="0.25">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row>
    <row r="385" spans="1:28" ht="15.75" customHeight="1" x14ac:dyDescent="0.2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row>
    <row r="386" spans="1:28" ht="15.75" customHeight="1" x14ac:dyDescent="0.25">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row>
    <row r="387" spans="1:28" ht="15.75" customHeight="1" x14ac:dyDescent="0.25">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row>
    <row r="388" spans="1:28" ht="15.75" customHeight="1" x14ac:dyDescent="0.2"/>
    <row r="389" spans="1:28" ht="15.75" customHeight="1" x14ac:dyDescent="0.2"/>
    <row r="390" spans="1:28" ht="15.75" customHeight="1" x14ac:dyDescent="0.2"/>
    <row r="391" spans="1:28" ht="15.75" customHeight="1" x14ac:dyDescent="0.2"/>
    <row r="392" spans="1:28" ht="15.75" customHeight="1" x14ac:dyDescent="0.2"/>
    <row r="393" spans="1:28" ht="15.75" customHeight="1" x14ac:dyDescent="0.2"/>
    <row r="394" spans="1:28" ht="15.75" customHeight="1" x14ac:dyDescent="0.2"/>
    <row r="395" spans="1:28" ht="15.75" customHeight="1" x14ac:dyDescent="0.2"/>
    <row r="396" spans="1:28" ht="15.75" customHeight="1" x14ac:dyDescent="0.2"/>
    <row r="397" spans="1:28" ht="15.75" customHeight="1" x14ac:dyDescent="0.2"/>
    <row r="398" spans="1:28" ht="15.75" customHeight="1" x14ac:dyDescent="0.2"/>
    <row r="399" spans="1:28" ht="15.75" customHeight="1" x14ac:dyDescent="0.2"/>
    <row r="400" spans="1:28"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07">
    <mergeCell ref="H201:J201"/>
    <mergeCell ref="K201:M201"/>
    <mergeCell ref="A78:Y78"/>
    <mergeCell ref="Y79:Y100"/>
    <mergeCell ref="L82:Q83"/>
    <mergeCell ref="S89:W91"/>
    <mergeCell ref="L91:Q92"/>
    <mergeCell ref="Y103:Y124"/>
    <mergeCell ref="L105:Q105"/>
    <mergeCell ref="S105:W105"/>
    <mergeCell ref="L106:Q107"/>
    <mergeCell ref="S106:W106"/>
    <mergeCell ref="S113:W115"/>
    <mergeCell ref="L115:Q116"/>
    <mergeCell ref="C167:C169"/>
    <mergeCell ref="C171:C174"/>
    <mergeCell ref="C201:C205"/>
    <mergeCell ref="H200:M200"/>
    <mergeCell ref="S81:W81"/>
    <mergeCell ref="S82:W82"/>
    <mergeCell ref="A83:E83"/>
    <mergeCell ref="G83:J83"/>
    <mergeCell ref="C145:C149"/>
    <mergeCell ref="C151:C152"/>
    <mergeCell ref="C294:C297"/>
    <mergeCell ref="C299:C301"/>
    <mergeCell ref="C303:C304"/>
    <mergeCell ref="C306:C307"/>
    <mergeCell ref="C309:C313"/>
    <mergeCell ref="C262:C266"/>
    <mergeCell ref="C268:C272"/>
    <mergeCell ref="C274:C275"/>
    <mergeCell ref="C277:C281"/>
    <mergeCell ref="C283:C285"/>
    <mergeCell ref="C287:C288"/>
    <mergeCell ref="C290:C292"/>
    <mergeCell ref="H262:J262"/>
    <mergeCell ref="K262:M262"/>
    <mergeCell ref="C233:C236"/>
    <mergeCell ref="C238:C240"/>
    <mergeCell ref="C242:C243"/>
    <mergeCell ref="C245:C246"/>
    <mergeCell ref="C248:C252"/>
    <mergeCell ref="C260:F260"/>
    <mergeCell ref="H261:M261"/>
    <mergeCell ref="C207:C211"/>
    <mergeCell ref="C213:C214"/>
    <mergeCell ref="C216:C220"/>
    <mergeCell ref="C222:C224"/>
    <mergeCell ref="C226:C227"/>
    <mergeCell ref="C229:C231"/>
    <mergeCell ref="C176:C178"/>
    <mergeCell ref="C180:C181"/>
    <mergeCell ref="C183:C184"/>
    <mergeCell ref="C186:C190"/>
    <mergeCell ref="C199:F199"/>
    <mergeCell ref="C154:C158"/>
    <mergeCell ref="C160:C162"/>
    <mergeCell ref="C164:C165"/>
    <mergeCell ref="L81:Q81"/>
    <mergeCell ref="G82:J82"/>
    <mergeCell ref="G87:J87"/>
    <mergeCell ref="A88:E88"/>
    <mergeCell ref="A102:Y102"/>
    <mergeCell ref="G106:J106"/>
    <mergeCell ref="A107:E107"/>
    <mergeCell ref="G107:J107"/>
    <mergeCell ref="G111:J111"/>
    <mergeCell ref="A112:E112"/>
    <mergeCell ref="C137:F137"/>
    <mergeCell ref="H138:M138"/>
    <mergeCell ref="C139:C143"/>
    <mergeCell ref="H139:J139"/>
    <mergeCell ref="K139:M139"/>
    <mergeCell ref="C68:C69"/>
    <mergeCell ref="C71:C75"/>
    <mergeCell ref="C39:C43"/>
    <mergeCell ref="B44:F44"/>
    <mergeCell ref="C45:C47"/>
    <mergeCell ref="B48:E48"/>
    <mergeCell ref="C49:C50"/>
    <mergeCell ref="B51:F51"/>
    <mergeCell ref="B55:E55"/>
    <mergeCell ref="B60:F60"/>
    <mergeCell ref="B64:E64"/>
    <mergeCell ref="B67:F67"/>
    <mergeCell ref="B70:F70"/>
    <mergeCell ref="B29:E29"/>
    <mergeCell ref="C30:C34"/>
    <mergeCell ref="B35:F35"/>
    <mergeCell ref="C36:C37"/>
    <mergeCell ref="B38:E38"/>
    <mergeCell ref="C52:C54"/>
    <mergeCell ref="C56:C59"/>
    <mergeCell ref="C61:C63"/>
    <mergeCell ref="C65:C66"/>
    <mergeCell ref="H24:J24"/>
    <mergeCell ref="K24:M24"/>
    <mergeCell ref="B4:F4"/>
    <mergeCell ref="H5:K5"/>
    <mergeCell ref="B6:F6"/>
    <mergeCell ref="H6:K6"/>
    <mergeCell ref="H10:K10"/>
    <mergeCell ref="B11:F11"/>
    <mergeCell ref="H23:M23"/>
    <mergeCell ref="B22:E22"/>
    <mergeCell ref="C24:C28"/>
  </mergeCells>
  <pageMargins left="0.7" right="0.7" top="0.75" bottom="0.75" header="0" footer="0"/>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Z1000"/>
  <sheetViews>
    <sheetView workbookViewId="0"/>
  </sheetViews>
  <sheetFormatPr baseColWidth="10" defaultColWidth="12.625" defaultRowHeight="15" customHeight="1" x14ac:dyDescent="0.2"/>
  <cols>
    <col min="1" max="5" width="10" customWidth="1"/>
    <col min="6" max="6" width="12" customWidth="1"/>
    <col min="7" max="26" width="10" customWidth="1"/>
  </cols>
  <sheetData>
    <row r="1" spans="1:12" x14ac:dyDescent="0.25">
      <c r="A1" s="21" t="s">
        <v>865</v>
      </c>
    </row>
    <row r="5" spans="1:12" x14ac:dyDescent="0.25">
      <c r="B5" s="304" t="s">
        <v>866</v>
      </c>
      <c r="C5" s="297"/>
      <c r="D5" s="297"/>
      <c r="E5" s="297"/>
      <c r="F5" s="154"/>
      <c r="H5" s="3"/>
    </row>
    <row r="6" spans="1:12" ht="24" x14ac:dyDescent="0.2">
      <c r="B6" s="4" t="s">
        <v>0</v>
      </c>
      <c r="C6" s="5" t="s">
        <v>1</v>
      </c>
      <c r="D6" s="5" t="s">
        <v>2</v>
      </c>
      <c r="E6" s="5" t="s">
        <v>43</v>
      </c>
      <c r="F6" s="45" t="s">
        <v>125</v>
      </c>
      <c r="G6" s="296" t="s">
        <v>6</v>
      </c>
      <c r="H6" s="297"/>
      <c r="I6" s="297"/>
      <c r="J6" s="297"/>
      <c r="K6" s="297"/>
      <c r="L6" s="298"/>
    </row>
    <row r="7" spans="1:12" ht="14.25" x14ac:dyDescent="0.2">
      <c r="B7" s="9" t="s">
        <v>7</v>
      </c>
      <c r="C7" s="302" t="s">
        <v>9</v>
      </c>
      <c r="D7" s="11">
        <v>28.1</v>
      </c>
      <c r="E7" s="11"/>
      <c r="F7" s="11">
        <v>40</v>
      </c>
      <c r="G7" s="296" t="s">
        <v>106</v>
      </c>
      <c r="H7" s="297"/>
      <c r="I7" s="298"/>
      <c r="J7" s="296" t="s">
        <v>107</v>
      </c>
      <c r="K7" s="297"/>
      <c r="L7" s="298"/>
    </row>
    <row r="8" spans="1:12" ht="14.25" x14ac:dyDescent="0.2">
      <c r="B8" s="9" t="s">
        <v>17</v>
      </c>
      <c r="C8" s="300"/>
      <c r="D8" s="11">
        <v>63.911000000000001</v>
      </c>
      <c r="E8" s="11"/>
      <c r="F8" s="11">
        <v>75</v>
      </c>
      <c r="G8" s="13" t="s">
        <v>13</v>
      </c>
      <c r="H8" s="14"/>
      <c r="I8" s="17" t="s">
        <v>870</v>
      </c>
      <c r="J8" s="13" t="s">
        <v>13</v>
      </c>
      <c r="K8" s="14">
        <f>K10+K10*0.05</f>
        <v>689.85</v>
      </c>
      <c r="L8" s="17" t="s">
        <v>871</v>
      </c>
    </row>
    <row r="9" spans="1:12" ht="14.25" x14ac:dyDescent="0.2">
      <c r="B9" s="9" t="s">
        <v>26</v>
      </c>
      <c r="C9" s="300"/>
      <c r="D9" s="11">
        <v>69.921999999999997</v>
      </c>
      <c r="E9" s="11"/>
      <c r="F9" s="11">
        <v>85</v>
      </c>
      <c r="G9" s="13" t="s">
        <v>19</v>
      </c>
      <c r="H9" s="18"/>
      <c r="I9" s="17" t="s">
        <v>872</v>
      </c>
      <c r="J9" s="13" t="s">
        <v>19</v>
      </c>
      <c r="K9" s="18">
        <f>K10-K10*0.05</f>
        <v>624.15</v>
      </c>
      <c r="L9" s="17" t="s">
        <v>873</v>
      </c>
    </row>
    <row r="10" spans="1:12" ht="14.25" x14ac:dyDescent="0.2">
      <c r="B10" s="9" t="s">
        <v>32</v>
      </c>
      <c r="C10" s="300"/>
      <c r="D10" s="11">
        <v>96.744</v>
      </c>
      <c r="E10" s="11"/>
      <c r="F10" s="11">
        <v>120</v>
      </c>
      <c r="G10" s="13" t="s">
        <v>27</v>
      </c>
      <c r="H10" s="20"/>
      <c r="I10" s="17" t="s">
        <v>876</v>
      </c>
      <c r="J10" s="13" t="s">
        <v>27</v>
      </c>
      <c r="K10" s="20">
        <v>657</v>
      </c>
      <c r="L10" s="17" t="s">
        <v>877</v>
      </c>
    </row>
    <row r="11" spans="1:12" ht="14.25" x14ac:dyDescent="0.2">
      <c r="B11" s="9" t="s">
        <v>33</v>
      </c>
      <c r="C11" s="301"/>
      <c r="D11" s="11">
        <v>128.11000000000001</v>
      </c>
      <c r="E11" s="11"/>
      <c r="F11" s="11">
        <v>144</v>
      </c>
      <c r="G11" s="13" t="s">
        <v>121</v>
      </c>
      <c r="H11" s="20"/>
      <c r="I11" s="17" t="s">
        <v>878</v>
      </c>
      <c r="J11" s="13" t="s">
        <v>121</v>
      </c>
      <c r="K11" s="20">
        <v>655</v>
      </c>
      <c r="L11" s="17" t="s">
        <v>880</v>
      </c>
    </row>
    <row r="12" spans="1:12" x14ac:dyDescent="0.25">
      <c r="B12" s="296"/>
      <c r="C12" s="297"/>
      <c r="D12" s="297"/>
      <c r="E12" s="297"/>
      <c r="F12" s="11"/>
      <c r="H12" s="3"/>
    </row>
    <row r="13" spans="1:12" x14ac:dyDescent="0.25">
      <c r="B13" s="9" t="s">
        <v>35</v>
      </c>
      <c r="C13" s="302" t="s">
        <v>36</v>
      </c>
      <c r="D13" s="11">
        <v>207.78</v>
      </c>
      <c r="E13" s="11"/>
      <c r="F13" s="11">
        <v>238</v>
      </c>
      <c r="H13" s="3"/>
    </row>
    <row r="14" spans="1:12" x14ac:dyDescent="0.25">
      <c r="B14" s="9" t="s">
        <v>37</v>
      </c>
      <c r="C14" s="300"/>
      <c r="D14" s="11">
        <v>444.11</v>
      </c>
      <c r="E14" s="11"/>
      <c r="F14" s="11">
        <v>530</v>
      </c>
      <c r="H14" s="3"/>
    </row>
    <row r="15" spans="1:12" x14ac:dyDescent="0.25">
      <c r="B15" s="9" t="s">
        <v>38</v>
      </c>
      <c r="C15" s="300"/>
      <c r="D15" s="11">
        <v>579.55999999999995</v>
      </c>
      <c r="E15" s="11"/>
      <c r="F15" s="11">
        <v>571</v>
      </c>
      <c r="H15" s="3"/>
    </row>
    <row r="16" spans="1:12" x14ac:dyDescent="0.25">
      <c r="B16" s="9" t="s">
        <v>39</v>
      </c>
      <c r="C16" s="300"/>
      <c r="D16" s="11">
        <v>746.22</v>
      </c>
      <c r="E16" s="11"/>
      <c r="F16" s="11">
        <v>665</v>
      </c>
      <c r="H16" s="3"/>
    </row>
    <row r="17" spans="2:8" x14ac:dyDescent="0.25">
      <c r="B17" s="49" t="s">
        <v>41</v>
      </c>
      <c r="C17" s="300"/>
      <c r="D17" s="51">
        <v>869.5</v>
      </c>
      <c r="E17" s="51"/>
      <c r="F17" s="51">
        <v>716</v>
      </c>
      <c r="H17" s="3"/>
    </row>
    <row r="18" spans="2:8" x14ac:dyDescent="0.25">
      <c r="B18" s="308"/>
      <c r="C18" s="297"/>
      <c r="D18" s="297"/>
      <c r="E18" s="297"/>
      <c r="F18" s="306"/>
      <c r="H18" s="3"/>
    </row>
    <row r="19" spans="2:8" x14ac:dyDescent="0.25">
      <c r="B19" s="9" t="s">
        <v>46</v>
      </c>
      <c r="C19" s="299" t="s">
        <v>47</v>
      </c>
      <c r="D19" s="11">
        <v>88.4</v>
      </c>
      <c r="E19" s="11"/>
      <c r="F19" s="11">
        <v>110</v>
      </c>
      <c r="H19" s="3"/>
    </row>
    <row r="20" spans="2:8" x14ac:dyDescent="0.25">
      <c r="B20" s="9" t="s">
        <v>48</v>
      </c>
      <c r="C20" s="300"/>
      <c r="D20" s="11">
        <v>94.6</v>
      </c>
      <c r="E20" s="11"/>
      <c r="F20" s="11">
        <v>112</v>
      </c>
      <c r="H20" s="3"/>
    </row>
    <row r="21" spans="2:8" ht="15.75" customHeight="1" x14ac:dyDescent="0.25">
      <c r="B21" s="296"/>
      <c r="C21" s="297"/>
      <c r="D21" s="297"/>
      <c r="E21" s="297"/>
      <c r="F21" s="11"/>
      <c r="H21" s="3"/>
    </row>
    <row r="22" spans="2:8" ht="15.75" customHeight="1" x14ac:dyDescent="0.25">
      <c r="B22" s="9" t="s">
        <v>50</v>
      </c>
      <c r="C22" s="302" t="s">
        <v>51</v>
      </c>
      <c r="D22" s="11">
        <v>271.44400000000002</v>
      </c>
      <c r="E22" s="11"/>
      <c r="F22" s="11">
        <v>310</v>
      </c>
      <c r="H22" s="3"/>
    </row>
    <row r="23" spans="2:8" ht="15.75" customHeight="1" x14ac:dyDescent="0.25">
      <c r="B23" s="9" t="s">
        <v>54</v>
      </c>
      <c r="C23" s="300"/>
      <c r="D23" s="11">
        <v>550.22199999999998</v>
      </c>
      <c r="E23" s="11"/>
      <c r="F23" s="11">
        <v>630</v>
      </c>
      <c r="H23" s="3"/>
    </row>
    <row r="24" spans="2:8" ht="15.75" customHeight="1" x14ac:dyDescent="0.25">
      <c r="B24" s="9" t="s">
        <v>55</v>
      </c>
      <c r="C24" s="300"/>
      <c r="D24" s="11">
        <v>609</v>
      </c>
      <c r="E24" s="11"/>
      <c r="F24" s="11">
        <v>740</v>
      </c>
      <c r="H24" s="3"/>
    </row>
    <row r="25" spans="2:8" ht="15.75" customHeight="1" x14ac:dyDescent="0.25">
      <c r="B25" s="9" t="s">
        <v>56</v>
      </c>
      <c r="C25" s="300"/>
      <c r="D25" s="11">
        <v>739.11099999999999</v>
      </c>
      <c r="E25" s="11"/>
      <c r="F25" s="11">
        <v>780</v>
      </c>
      <c r="H25" s="3"/>
    </row>
    <row r="26" spans="2:8" ht="15.75" customHeight="1" x14ac:dyDescent="0.25">
      <c r="B26" s="49" t="s">
        <v>57</v>
      </c>
      <c r="C26" s="300"/>
      <c r="D26" s="51">
        <v>746.88900000000001</v>
      </c>
      <c r="E26" s="51"/>
      <c r="F26" s="51">
        <v>712</v>
      </c>
      <c r="H26" s="3"/>
    </row>
    <row r="27" spans="2:8" ht="15.75" customHeight="1" x14ac:dyDescent="0.25">
      <c r="B27" s="308"/>
      <c r="C27" s="297"/>
      <c r="D27" s="297"/>
      <c r="E27" s="297"/>
      <c r="F27" s="306"/>
      <c r="H27" s="3"/>
    </row>
    <row r="28" spans="2:8" ht="15.75" customHeight="1" x14ac:dyDescent="0.25">
      <c r="B28" s="9" t="s">
        <v>60</v>
      </c>
      <c r="C28" s="299" t="s">
        <v>62</v>
      </c>
      <c r="D28" s="11">
        <v>19.36</v>
      </c>
      <c r="E28" s="11"/>
      <c r="F28" s="11">
        <v>25</v>
      </c>
      <c r="H28" s="3"/>
    </row>
    <row r="29" spans="2:8" ht="15.75" customHeight="1" x14ac:dyDescent="0.25">
      <c r="B29" s="9" t="s">
        <v>64</v>
      </c>
      <c r="C29" s="300"/>
      <c r="D29" s="11">
        <v>33.31</v>
      </c>
      <c r="E29" s="11"/>
      <c r="F29" s="11">
        <v>45</v>
      </c>
      <c r="H29" s="3"/>
    </row>
    <row r="30" spans="2:8" ht="15.75" customHeight="1" x14ac:dyDescent="0.25">
      <c r="B30" s="9" t="s">
        <v>65</v>
      </c>
      <c r="C30" s="301"/>
      <c r="D30" s="11">
        <v>41.74</v>
      </c>
      <c r="E30" s="11"/>
      <c r="F30" s="11">
        <v>47</v>
      </c>
      <c r="H30" s="3"/>
    </row>
    <row r="31" spans="2:8" ht="15.75" customHeight="1" x14ac:dyDescent="0.25">
      <c r="B31" s="296"/>
      <c r="C31" s="297"/>
      <c r="D31" s="297"/>
      <c r="E31" s="297"/>
      <c r="F31" s="11"/>
      <c r="H31" s="3"/>
    </row>
    <row r="32" spans="2:8" ht="15.75" customHeight="1" x14ac:dyDescent="0.25">
      <c r="B32" s="9" t="s">
        <v>66</v>
      </c>
      <c r="C32" s="302" t="s">
        <v>68</v>
      </c>
      <c r="D32" s="11">
        <v>204.5</v>
      </c>
      <c r="E32" s="11"/>
      <c r="F32" s="11">
        <v>226</v>
      </c>
      <c r="H32" s="3"/>
    </row>
    <row r="33" spans="2:8" ht="15.75" customHeight="1" x14ac:dyDescent="0.25">
      <c r="B33" s="49" t="s">
        <v>69</v>
      </c>
      <c r="C33" s="300"/>
      <c r="D33" s="51">
        <v>277.7</v>
      </c>
      <c r="E33" s="51"/>
      <c r="F33" s="51">
        <v>257</v>
      </c>
      <c r="H33" s="3"/>
    </row>
    <row r="34" spans="2:8" ht="15.75" customHeight="1" x14ac:dyDescent="0.25">
      <c r="B34" s="305"/>
      <c r="C34" s="297"/>
      <c r="D34" s="297"/>
      <c r="E34" s="297"/>
      <c r="F34" s="306"/>
      <c r="H34" s="3"/>
    </row>
    <row r="35" spans="2:8" ht="15.75" customHeight="1" x14ac:dyDescent="0.25">
      <c r="B35" s="9" t="s">
        <v>69</v>
      </c>
      <c r="C35" s="299" t="s">
        <v>71</v>
      </c>
      <c r="D35" s="11">
        <v>10.283300000000001</v>
      </c>
      <c r="E35" s="11"/>
      <c r="F35" s="11">
        <v>15</v>
      </c>
      <c r="H35" s="3"/>
    </row>
    <row r="36" spans="2:8" ht="15.75" customHeight="1" x14ac:dyDescent="0.25">
      <c r="B36" s="9" t="s">
        <v>72</v>
      </c>
      <c r="C36" s="300"/>
      <c r="D36" s="11">
        <v>11.8833</v>
      </c>
      <c r="E36" s="11"/>
      <c r="F36" s="11">
        <v>17</v>
      </c>
      <c r="H36" s="3"/>
    </row>
    <row r="37" spans="2:8" ht="15.75" customHeight="1" x14ac:dyDescent="0.25">
      <c r="B37" s="9" t="s">
        <v>73</v>
      </c>
      <c r="C37" s="301"/>
      <c r="D37" s="11">
        <v>17.433299999999999</v>
      </c>
      <c r="E37" s="11"/>
      <c r="F37" s="11">
        <v>25</v>
      </c>
      <c r="H37" s="3"/>
    </row>
    <row r="38" spans="2:8" ht="15.75" customHeight="1" x14ac:dyDescent="0.25">
      <c r="B38" s="296"/>
      <c r="C38" s="297"/>
      <c r="D38" s="297"/>
      <c r="E38" s="297"/>
      <c r="F38" s="11"/>
      <c r="H38" s="3"/>
    </row>
    <row r="39" spans="2:8" ht="15.75" customHeight="1" x14ac:dyDescent="0.25">
      <c r="B39" s="9" t="s">
        <v>76</v>
      </c>
      <c r="C39" s="302" t="s">
        <v>77</v>
      </c>
      <c r="D39" s="11">
        <v>117.467</v>
      </c>
      <c r="E39" s="11"/>
      <c r="F39" s="11">
        <v>213</v>
      </c>
      <c r="H39" s="3"/>
    </row>
    <row r="40" spans="2:8" ht="15.75" customHeight="1" x14ac:dyDescent="0.25">
      <c r="B40" s="9" t="s">
        <v>78</v>
      </c>
      <c r="C40" s="300"/>
      <c r="D40" s="11">
        <v>187.833</v>
      </c>
      <c r="E40" s="11"/>
      <c r="F40" s="11">
        <v>190</v>
      </c>
      <c r="H40" s="3"/>
    </row>
    <row r="41" spans="2:8" ht="15.75" customHeight="1" x14ac:dyDescent="0.25">
      <c r="B41" s="9" t="s">
        <v>79</v>
      </c>
      <c r="C41" s="300"/>
      <c r="D41" s="11">
        <v>218.333</v>
      </c>
      <c r="E41" s="11"/>
      <c r="F41" s="11">
        <v>223</v>
      </c>
      <c r="H41" s="3"/>
    </row>
    <row r="42" spans="2:8" ht="15.75" customHeight="1" x14ac:dyDescent="0.25">
      <c r="B42" s="49" t="s">
        <v>80</v>
      </c>
      <c r="C42" s="300"/>
      <c r="D42" s="51">
        <v>238.5</v>
      </c>
      <c r="E42" s="51"/>
      <c r="F42" s="51">
        <v>178</v>
      </c>
      <c r="H42" s="3"/>
    </row>
    <row r="43" spans="2:8" ht="15.75" customHeight="1" x14ac:dyDescent="0.25">
      <c r="B43" s="305"/>
      <c r="C43" s="297"/>
      <c r="D43" s="297"/>
      <c r="E43" s="297"/>
      <c r="F43" s="306"/>
      <c r="H43" s="3"/>
    </row>
    <row r="44" spans="2:8" ht="15.75" customHeight="1" x14ac:dyDescent="0.25">
      <c r="B44" s="9" t="s">
        <v>81</v>
      </c>
      <c r="C44" s="299" t="s">
        <v>82</v>
      </c>
      <c r="D44" s="11">
        <v>2</v>
      </c>
      <c r="E44" s="11"/>
      <c r="F44" s="11">
        <v>10</v>
      </c>
      <c r="H44" s="3"/>
    </row>
    <row r="45" spans="2:8" ht="15.75" customHeight="1" x14ac:dyDescent="0.25">
      <c r="B45" s="9" t="s">
        <v>83</v>
      </c>
      <c r="C45" s="300"/>
      <c r="D45" s="11">
        <v>7.133</v>
      </c>
      <c r="E45" s="11"/>
      <c r="F45" s="11">
        <v>15</v>
      </c>
      <c r="H45" s="3"/>
    </row>
    <row r="46" spans="2:8" ht="15.75" customHeight="1" x14ac:dyDescent="0.25">
      <c r="B46" s="9" t="s">
        <v>84</v>
      </c>
      <c r="C46" s="301"/>
      <c r="D46" s="11">
        <v>10.72</v>
      </c>
      <c r="E46" s="11"/>
      <c r="F46" s="11">
        <v>15</v>
      </c>
      <c r="H46" s="3"/>
    </row>
    <row r="47" spans="2:8" ht="15.75" customHeight="1" x14ac:dyDescent="0.25">
      <c r="B47" s="296"/>
      <c r="C47" s="297"/>
      <c r="D47" s="297"/>
      <c r="E47" s="297"/>
      <c r="F47" s="11"/>
      <c r="H47" s="3"/>
    </row>
    <row r="48" spans="2:8" ht="15.75" customHeight="1" x14ac:dyDescent="0.25">
      <c r="B48" s="9" t="s">
        <v>86</v>
      </c>
      <c r="C48" s="302" t="s">
        <v>87</v>
      </c>
      <c r="D48" s="11">
        <v>20.466999999999999</v>
      </c>
      <c r="E48" s="11"/>
      <c r="F48" s="11">
        <v>35</v>
      </c>
      <c r="H48" s="3"/>
    </row>
    <row r="49" spans="1:14" ht="15.75" customHeight="1" x14ac:dyDescent="0.25">
      <c r="B49" s="49" t="s">
        <v>88</v>
      </c>
      <c r="C49" s="300"/>
      <c r="D49" s="51">
        <v>20.367000000000001</v>
      </c>
      <c r="E49" s="51"/>
      <c r="F49" s="51">
        <v>35</v>
      </c>
      <c r="H49" s="3"/>
    </row>
    <row r="50" spans="1:14" ht="15.75" customHeight="1" x14ac:dyDescent="0.25">
      <c r="B50" s="305"/>
      <c r="C50" s="297"/>
      <c r="D50" s="297"/>
      <c r="E50" s="297"/>
      <c r="F50" s="306"/>
      <c r="H50" s="3"/>
    </row>
    <row r="51" spans="1:14" ht="15.75" customHeight="1" x14ac:dyDescent="0.25">
      <c r="B51" s="9" t="s">
        <v>89</v>
      </c>
      <c r="C51" s="299" t="s">
        <v>90</v>
      </c>
      <c r="D51" s="11">
        <v>5.15</v>
      </c>
      <c r="E51" s="11"/>
      <c r="F51" s="11">
        <v>25</v>
      </c>
      <c r="H51" s="3"/>
    </row>
    <row r="52" spans="1:14" ht="15.75" customHeight="1" x14ac:dyDescent="0.25">
      <c r="B52" s="49" t="s">
        <v>91</v>
      </c>
      <c r="C52" s="300"/>
      <c r="D52" s="51">
        <v>16.2</v>
      </c>
      <c r="E52" s="51"/>
      <c r="F52" s="51">
        <v>25</v>
      </c>
      <c r="H52" s="3"/>
    </row>
    <row r="53" spans="1:14" ht="15.75" customHeight="1" x14ac:dyDescent="0.25">
      <c r="B53" s="296"/>
      <c r="C53" s="297"/>
      <c r="D53" s="297"/>
      <c r="E53" s="297"/>
      <c r="F53" s="298"/>
      <c r="H53" s="3"/>
    </row>
    <row r="54" spans="1:14" ht="15.75" customHeight="1" x14ac:dyDescent="0.25">
      <c r="B54" s="9" t="s">
        <v>94</v>
      </c>
      <c r="C54" s="299" t="s">
        <v>95</v>
      </c>
      <c r="D54" s="11">
        <v>50.082999999999998</v>
      </c>
      <c r="E54" s="11"/>
      <c r="F54" s="11">
        <v>75</v>
      </c>
      <c r="H54" s="3"/>
    </row>
    <row r="55" spans="1:14" ht="15.75" customHeight="1" x14ac:dyDescent="0.25">
      <c r="B55" s="9" t="s">
        <v>96</v>
      </c>
      <c r="C55" s="300"/>
      <c r="D55" s="11">
        <v>93.992999999999995</v>
      </c>
      <c r="E55" s="11"/>
      <c r="F55" s="11">
        <v>144</v>
      </c>
      <c r="H55" s="3"/>
    </row>
    <row r="56" spans="1:14" ht="15.75" customHeight="1" x14ac:dyDescent="0.25">
      <c r="B56" s="9" t="s">
        <v>97</v>
      </c>
      <c r="C56" s="300"/>
      <c r="D56" s="11">
        <v>95.516999999999996</v>
      </c>
      <c r="E56" s="11"/>
      <c r="F56" s="11">
        <v>137</v>
      </c>
      <c r="H56" s="3"/>
    </row>
    <row r="57" spans="1:14" ht="15.75" customHeight="1" x14ac:dyDescent="0.25">
      <c r="B57" s="9" t="s">
        <v>98</v>
      </c>
      <c r="C57" s="300"/>
      <c r="D57" s="11">
        <v>100.92</v>
      </c>
      <c r="E57" s="11"/>
      <c r="F57" s="11">
        <v>163</v>
      </c>
      <c r="H57" s="3"/>
    </row>
    <row r="58" spans="1:14" ht="15.75" customHeight="1" x14ac:dyDescent="0.25">
      <c r="B58" s="9" t="s">
        <v>99</v>
      </c>
      <c r="C58" s="301"/>
      <c r="D58" s="11">
        <v>115.37</v>
      </c>
      <c r="E58" s="11"/>
      <c r="F58" s="11">
        <v>165</v>
      </c>
      <c r="H58" s="3"/>
    </row>
    <row r="59" spans="1:14" ht="15.75" customHeight="1" x14ac:dyDescent="0.25">
      <c r="B59" s="1"/>
      <c r="C59" s="1"/>
      <c r="D59" s="2"/>
      <c r="E59" s="2"/>
      <c r="F59" s="146"/>
      <c r="H59" s="3"/>
    </row>
    <row r="60" spans="1:14" ht="15.75" customHeight="1" x14ac:dyDescent="0.25">
      <c r="A60" s="29"/>
      <c r="B60" s="30"/>
      <c r="C60" s="30"/>
      <c r="D60" s="32"/>
      <c r="E60" s="32"/>
      <c r="F60" s="159"/>
      <c r="G60" s="29"/>
      <c r="H60" s="34"/>
      <c r="I60" s="29"/>
      <c r="J60" s="29"/>
      <c r="K60" s="29"/>
      <c r="L60" s="29"/>
      <c r="M60" s="29"/>
      <c r="N60" s="29"/>
    </row>
    <row r="61" spans="1:14" ht="15.75" customHeight="1" x14ac:dyDescent="0.2"/>
    <row r="62" spans="1:14" ht="15.75" customHeight="1" x14ac:dyDescent="0.25">
      <c r="B62" s="23" t="s">
        <v>887</v>
      </c>
      <c r="C62" s="28"/>
      <c r="D62" s="28"/>
      <c r="E62" s="28"/>
      <c r="F62" s="28"/>
      <c r="G62" s="28"/>
      <c r="H62" s="28"/>
      <c r="I62" s="28"/>
      <c r="J62" s="28"/>
      <c r="K62" s="28"/>
    </row>
    <row r="63" spans="1:14" ht="15.75" customHeight="1" x14ac:dyDescent="0.25">
      <c r="B63" s="28"/>
      <c r="C63" s="23"/>
      <c r="D63" s="23"/>
      <c r="E63" s="23"/>
      <c r="F63" s="23"/>
      <c r="G63" s="28"/>
      <c r="H63" s="28"/>
      <c r="I63" s="28"/>
      <c r="J63" s="28"/>
      <c r="K63" s="28"/>
    </row>
    <row r="64" spans="1:14" ht="15.75" customHeight="1" x14ac:dyDescent="0.25">
      <c r="B64" s="332"/>
      <c r="C64" s="297"/>
      <c r="D64" s="297"/>
      <c r="E64" s="297"/>
      <c r="F64" s="297"/>
    </row>
    <row r="65" spans="2:11" ht="15.75" customHeight="1" x14ac:dyDescent="0.2">
      <c r="B65" s="4" t="s">
        <v>0</v>
      </c>
      <c r="C65" s="5" t="s">
        <v>1</v>
      </c>
      <c r="D65" s="5" t="s">
        <v>42</v>
      </c>
      <c r="E65" s="5" t="s">
        <v>43</v>
      </c>
      <c r="F65" s="5" t="s">
        <v>44</v>
      </c>
      <c r="H65" s="296" t="s">
        <v>45</v>
      </c>
      <c r="I65" s="297"/>
      <c r="J65" s="297"/>
      <c r="K65" s="298"/>
    </row>
    <row r="66" spans="2:11" ht="15.75" customHeight="1" x14ac:dyDescent="0.2">
      <c r="B66" s="310" t="s">
        <v>275</v>
      </c>
      <c r="C66" s="297"/>
      <c r="D66" s="297"/>
      <c r="E66" s="297"/>
      <c r="F66" s="306"/>
      <c r="H66" s="305" t="s">
        <v>275</v>
      </c>
      <c r="I66" s="297"/>
      <c r="J66" s="297"/>
      <c r="K66" s="298"/>
    </row>
    <row r="67" spans="2:11" ht="15.75" customHeight="1" x14ac:dyDescent="0.2">
      <c r="B67" s="9" t="s">
        <v>11</v>
      </c>
      <c r="C67" s="12" t="s">
        <v>12</v>
      </c>
      <c r="D67" s="17">
        <v>470</v>
      </c>
      <c r="E67" s="177">
        <v>0</v>
      </c>
      <c r="F67" s="17">
        <v>472</v>
      </c>
      <c r="H67" s="12"/>
      <c r="I67" s="12" t="s">
        <v>52</v>
      </c>
      <c r="J67" s="12" t="s">
        <v>53</v>
      </c>
      <c r="K67" s="12"/>
    </row>
    <row r="68" spans="2:11" ht="15.75" customHeight="1" x14ac:dyDescent="0.2">
      <c r="B68" s="9" t="s">
        <v>11</v>
      </c>
      <c r="C68" s="12" t="s">
        <v>18</v>
      </c>
      <c r="D68" s="17">
        <v>0</v>
      </c>
      <c r="E68" s="177">
        <v>0</v>
      </c>
      <c r="F68" s="17">
        <v>0</v>
      </c>
      <c r="H68" s="12" t="s">
        <v>12</v>
      </c>
      <c r="I68" s="17">
        <v>0</v>
      </c>
      <c r="J68" s="17">
        <f>D67</f>
        <v>470</v>
      </c>
      <c r="K68" s="17" t="s">
        <v>888</v>
      </c>
    </row>
    <row r="69" spans="2:11" ht="15.75" customHeight="1" x14ac:dyDescent="0.2">
      <c r="B69" s="9" t="s">
        <v>21</v>
      </c>
      <c r="C69" s="12" t="s">
        <v>59</v>
      </c>
      <c r="D69" s="17">
        <v>440</v>
      </c>
      <c r="E69" s="177">
        <v>0</v>
      </c>
      <c r="F69" s="17">
        <v>447</v>
      </c>
      <c r="H69" s="12" t="s">
        <v>18</v>
      </c>
      <c r="I69" s="24">
        <v>0</v>
      </c>
      <c r="J69" s="24">
        <v>0</v>
      </c>
      <c r="K69" s="24" t="s">
        <v>889</v>
      </c>
    </row>
    <row r="70" spans="2:11" ht="15.75" customHeight="1" x14ac:dyDescent="0.2">
      <c r="B70" s="12" t="s">
        <v>21</v>
      </c>
      <c r="C70" s="12" t="s">
        <v>63</v>
      </c>
      <c r="D70" s="24">
        <v>160</v>
      </c>
      <c r="E70" s="218">
        <v>0</v>
      </c>
      <c r="F70" s="24">
        <v>156</v>
      </c>
      <c r="H70" s="330"/>
      <c r="I70" s="315"/>
      <c r="J70" s="315"/>
      <c r="K70" s="315"/>
    </row>
    <row r="71" spans="2:11" ht="15.75" customHeight="1" x14ac:dyDescent="0.2"/>
    <row r="72" spans="2:11" ht="15.75" customHeight="1" x14ac:dyDescent="0.25">
      <c r="B72" s="332"/>
      <c r="C72" s="297"/>
      <c r="D72" s="297"/>
      <c r="E72" s="297"/>
      <c r="F72" s="297"/>
    </row>
    <row r="73" spans="2:11" ht="15.75" customHeight="1" x14ac:dyDescent="0.2">
      <c r="B73" s="4" t="s">
        <v>0</v>
      </c>
      <c r="C73" s="5" t="s">
        <v>1</v>
      </c>
      <c r="D73" s="5" t="s">
        <v>42</v>
      </c>
      <c r="E73" s="5" t="s">
        <v>43</v>
      </c>
      <c r="F73" s="5" t="s">
        <v>44</v>
      </c>
      <c r="H73" s="296" t="s">
        <v>45</v>
      </c>
      <c r="I73" s="297"/>
      <c r="J73" s="297"/>
      <c r="K73" s="298"/>
    </row>
    <row r="74" spans="2:11" ht="15.75" customHeight="1" x14ac:dyDescent="0.2">
      <c r="B74" s="310" t="s">
        <v>313</v>
      </c>
      <c r="C74" s="297"/>
      <c r="D74" s="297"/>
      <c r="E74" s="297"/>
      <c r="F74" s="306"/>
      <c r="H74" s="305" t="s">
        <v>313</v>
      </c>
      <c r="I74" s="297"/>
      <c r="J74" s="297"/>
      <c r="K74" s="298"/>
    </row>
    <row r="75" spans="2:11" ht="15.75" customHeight="1" x14ac:dyDescent="0.2">
      <c r="B75" s="9" t="s">
        <v>11</v>
      </c>
      <c r="C75" s="12" t="s">
        <v>12</v>
      </c>
      <c r="D75" s="17">
        <v>440</v>
      </c>
      <c r="E75" s="177">
        <v>0</v>
      </c>
      <c r="F75" s="17">
        <v>438</v>
      </c>
      <c r="H75" s="12"/>
      <c r="I75" s="12" t="s">
        <v>52</v>
      </c>
      <c r="J75" s="12" t="s">
        <v>53</v>
      </c>
      <c r="K75" s="12"/>
    </row>
    <row r="76" spans="2:11" ht="15.75" customHeight="1" x14ac:dyDescent="0.2">
      <c r="B76" s="9" t="s">
        <v>11</v>
      </c>
      <c r="C76" s="12" t="s">
        <v>18</v>
      </c>
      <c r="D76" s="17">
        <v>0</v>
      </c>
      <c r="E76" s="177">
        <v>0</v>
      </c>
      <c r="F76" s="17">
        <v>0</v>
      </c>
      <c r="H76" s="12" t="s">
        <v>12</v>
      </c>
      <c r="I76" s="17">
        <v>0</v>
      </c>
      <c r="J76" s="17">
        <f>D75</f>
        <v>440</v>
      </c>
      <c r="K76" s="17" t="s">
        <v>891</v>
      </c>
    </row>
    <row r="77" spans="2:11" ht="15.75" customHeight="1" x14ac:dyDescent="0.2">
      <c r="B77" s="9" t="s">
        <v>21</v>
      </c>
      <c r="C77" s="12" t="s">
        <v>59</v>
      </c>
      <c r="D77" s="17">
        <v>430</v>
      </c>
      <c r="E77" s="177">
        <v>0</v>
      </c>
      <c r="F77" s="17">
        <v>429</v>
      </c>
      <c r="H77" s="12" t="s">
        <v>18</v>
      </c>
      <c r="I77" s="24">
        <v>0</v>
      </c>
      <c r="J77" s="24">
        <v>0</v>
      </c>
      <c r="K77" s="24" t="s">
        <v>892</v>
      </c>
    </row>
    <row r="78" spans="2:11" ht="15.75" customHeight="1" x14ac:dyDescent="0.2">
      <c r="B78" s="12" t="s">
        <v>21</v>
      </c>
      <c r="C78" s="12" t="s">
        <v>63</v>
      </c>
      <c r="D78" s="24">
        <v>150</v>
      </c>
      <c r="E78" s="218">
        <v>0</v>
      </c>
      <c r="F78" s="24">
        <v>152</v>
      </c>
      <c r="H78" s="330"/>
      <c r="I78" s="315"/>
      <c r="J78" s="315"/>
      <c r="K78" s="315"/>
    </row>
    <row r="79" spans="2:11" ht="15.75" customHeight="1" x14ac:dyDescent="0.2"/>
    <row r="80" spans="2:11" ht="15.75" customHeight="1" x14ac:dyDescent="0.2"/>
    <row r="81" spans="1:26" ht="15.75" customHeight="1" x14ac:dyDescent="0.2"/>
    <row r="82" spans="1:26" ht="15.75" customHeight="1" x14ac:dyDescent="0.25">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spans="1:26" ht="15.75" customHeight="1" x14ac:dyDescent="0.2"/>
    <row r="84" spans="1:26" ht="15.75" customHeight="1" x14ac:dyDescent="0.25">
      <c r="A84" s="21" t="s">
        <v>865</v>
      </c>
    </row>
    <row r="85" spans="1:26" ht="15.75" customHeight="1" x14ac:dyDescent="0.2"/>
    <row r="86" spans="1:26" ht="15.75" customHeight="1" x14ac:dyDescent="0.2"/>
    <row r="87" spans="1:26" ht="15.75" customHeight="1" x14ac:dyDescent="0.2"/>
    <row r="88" spans="1:26" ht="15.75" customHeight="1" x14ac:dyDescent="0.25">
      <c r="B88" s="304" t="s">
        <v>894</v>
      </c>
      <c r="C88" s="297"/>
      <c r="D88" s="297"/>
      <c r="E88" s="297"/>
      <c r="F88" s="154"/>
      <c r="H88" s="3"/>
    </row>
    <row r="89" spans="1:26" ht="15.75" customHeight="1" x14ac:dyDescent="0.2">
      <c r="B89" s="4" t="s">
        <v>0</v>
      </c>
      <c r="C89" s="5" t="s">
        <v>1</v>
      </c>
      <c r="D89" s="5" t="s">
        <v>2</v>
      </c>
      <c r="E89" s="5" t="s">
        <v>43</v>
      </c>
      <c r="F89" s="45" t="s">
        <v>125</v>
      </c>
      <c r="G89" s="296" t="s">
        <v>6</v>
      </c>
      <c r="H89" s="297"/>
      <c r="I89" s="297"/>
      <c r="J89" s="297"/>
      <c r="K89" s="297"/>
      <c r="L89" s="298"/>
    </row>
    <row r="90" spans="1:26" ht="15.75" customHeight="1" x14ac:dyDescent="0.2">
      <c r="B90" s="9" t="s">
        <v>7</v>
      </c>
      <c r="C90" s="302" t="s">
        <v>9</v>
      </c>
      <c r="D90" s="47">
        <v>28.1</v>
      </c>
      <c r="E90" s="11">
        <v>40</v>
      </c>
      <c r="F90" s="11">
        <v>101</v>
      </c>
      <c r="G90" s="296" t="s">
        <v>106</v>
      </c>
      <c r="H90" s="297"/>
      <c r="I90" s="298"/>
      <c r="J90" s="296" t="s">
        <v>107</v>
      </c>
      <c r="K90" s="297"/>
      <c r="L90" s="298"/>
    </row>
    <row r="91" spans="1:26" ht="15.75" customHeight="1" x14ac:dyDescent="0.2">
      <c r="B91" s="9" t="s">
        <v>17</v>
      </c>
      <c r="C91" s="300"/>
      <c r="D91" s="47">
        <v>63.911000000000001</v>
      </c>
      <c r="E91" s="11">
        <v>75</v>
      </c>
      <c r="F91" s="11">
        <v>106</v>
      </c>
      <c r="G91" s="13" t="s">
        <v>13</v>
      </c>
      <c r="H91" s="14">
        <f>H93+H93*0.05</f>
        <v>689.85</v>
      </c>
      <c r="I91" s="17" t="s">
        <v>898</v>
      </c>
      <c r="J91" s="13" t="s">
        <v>13</v>
      </c>
      <c r="K91" s="39">
        <f>K93+K93*0.05</f>
        <v>719.25</v>
      </c>
      <c r="L91" s="17" t="s">
        <v>900</v>
      </c>
    </row>
    <row r="92" spans="1:26" ht="15.75" customHeight="1" x14ac:dyDescent="0.2">
      <c r="B92" s="9" t="s">
        <v>26</v>
      </c>
      <c r="C92" s="300"/>
      <c r="D92" s="47">
        <v>69.921999999999997</v>
      </c>
      <c r="E92" s="11">
        <v>85</v>
      </c>
      <c r="F92" s="11">
        <v>108</v>
      </c>
      <c r="G92" s="13" t="s">
        <v>19</v>
      </c>
      <c r="H92" s="18">
        <f>H93-H93*0.05</f>
        <v>624.15</v>
      </c>
      <c r="I92" s="17" t="s">
        <v>902</v>
      </c>
      <c r="J92" s="13" t="s">
        <v>19</v>
      </c>
      <c r="K92" s="40">
        <f>K93-K93*0.05</f>
        <v>650.75</v>
      </c>
      <c r="L92" s="17" t="s">
        <v>903</v>
      </c>
    </row>
    <row r="93" spans="1:26" ht="15.75" customHeight="1" x14ac:dyDescent="0.2">
      <c r="B93" s="9" t="s">
        <v>32</v>
      </c>
      <c r="C93" s="300"/>
      <c r="D93" s="47">
        <v>96.744</v>
      </c>
      <c r="E93" s="11">
        <v>120</v>
      </c>
      <c r="F93" s="11">
        <v>121</v>
      </c>
      <c r="G93" s="13" t="s">
        <v>27</v>
      </c>
      <c r="H93" s="20">
        <v>657</v>
      </c>
      <c r="I93" s="17" t="s">
        <v>904</v>
      </c>
      <c r="J93" s="13" t="s">
        <v>27</v>
      </c>
      <c r="K93" s="20">
        <v>685</v>
      </c>
      <c r="L93" s="17" t="s">
        <v>905</v>
      </c>
    </row>
    <row r="94" spans="1:26" ht="15.75" customHeight="1" x14ac:dyDescent="0.2">
      <c r="B94" s="9" t="s">
        <v>33</v>
      </c>
      <c r="C94" s="301"/>
      <c r="D94" s="47">
        <v>128.11000000000001</v>
      </c>
      <c r="E94" s="11">
        <v>144</v>
      </c>
      <c r="F94" s="11">
        <v>146</v>
      </c>
      <c r="G94" s="13" t="s">
        <v>121</v>
      </c>
      <c r="H94" s="20">
        <v>655</v>
      </c>
      <c r="I94" s="17" t="s">
        <v>907</v>
      </c>
      <c r="J94" s="13" t="s">
        <v>121</v>
      </c>
      <c r="K94" s="20">
        <v>683</v>
      </c>
      <c r="L94" s="17" t="s">
        <v>908</v>
      </c>
    </row>
    <row r="95" spans="1:26" ht="15.75" customHeight="1" x14ac:dyDescent="0.25">
      <c r="B95" s="41"/>
      <c r="C95" s="42"/>
      <c r="D95" s="69"/>
      <c r="E95" s="11"/>
      <c r="F95" s="11"/>
      <c r="H95" s="3"/>
    </row>
    <row r="96" spans="1:26" ht="15.75" customHeight="1" x14ac:dyDescent="0.25">
      <c r="B96" s="9" t="s">
        <v>35</v>
      </c>
      <c r="C96" s="302" t="s">
        <v>36</v>
      </c>
      <c r="D96" s="47">
        <v>207.78</v>
      </c>
      <c r="E96" s="11">
        <v>238</v>
      </c>
      <c r="F96" s="11">
        <v>238</v>
      </c>
      <c r="H96" s="3"/>
    </row>
    <row r="97" spans="2:8" ht="15.75" customHeight="1" x14ac:dyDescent="0.25">
      <c r="B97" s="9" t="s">
        <v>37</v>
      </c>
      <c r="C97" s="300"/>
      <c r="D97" s="47">
        <v>444.11</v>
      </c>
      <c r="E97" s="11">
        <v>530</v>
      </c>
      <c r="F97" s="11">
        <v>534</v>
      </c>
      <c r="H97" s="3"/>
    </row>
    <row r="98" spans="2:8" ht="15.75" customHeight="1" x14ac:dyDescent="0.25">
      <c r="B98" s="9" t="s">
        <v>38</v>
      </c>
      <c r="C98" s="300"/>
      <c r="D98" s="47">
        <v>579.55999999999995</v>
      </c>
      <c r="E98" s="11">
        <v>571</v>
      </c>
      <c r="F98" s="11">
        <v>571</v>
      </c>
      <c r="H98" s="3"/>
    </row>
    <row r="99" spans="2:8" ht="15.75" customHeight="1" x14ac:dyDescent="0.25">
      <c r="B99" s="9" t="s">
        <v>39</v>
      </c>
      <c r="C99" s="300"/>
      <c r="D99" s="47">
        <v>746.22</v>
      </c>
      <c r="E99" s="11">
        <v>665</v>
      </c>
      <c r="F99" s="11">
        <v>655</v>
      </c>
      <c r="H99" s="3"/>
    </row>
    <row r="100" spans="2:8" ht="15.75" customHeight="1" x14ac:dyDescent="0.25">
      <c r="B100" s="49" t="s">
        <v>41</v>
      </c>
      <c r="C100" s="300"/>
      <c r="D100" s="50">
        <v>869.5</v>
      </c>
      <c r="E100" s="51">
        <v>716</v>
      </c>
      <c r="F100" s="51">
        <v>705</v>
      </c>
      <c r="H100" s="3"/>
    </row>
    <row r="101" spans="2:8" ht="15.75" customHeight="1" x14ac:dyDescent="0.25">
      <c r="B101" s="79"/>
      <c r="C101" s="81"/>
      <c r="D101" s="83"/>
      <c r="E101" s="81"/>
      <c r="F101" s="81"/>
      <c r="H101" s="3"/>
    </row>
    <row r="102" spans="2:8" ht="15.75" customHeight="1" x14ac:dyDescent="0.25">
      <c r="B102" s="9" t="s">
        <v>46</v>
      </c>
      <c r="C102" s="299" t="s">
        <v>47</v>
      </c>
      <c r="D102" s="47">
        <v>88.4</v>
      </c>
      <c r="E102" s="11">
        <v>110</v>
      </c>
      <c r="F102" s="11">
        <v>118</v>
      </c>
      <c r="H102" s="3"/>
    </row>
    <row r="103" spans="2:8" ht="15.75" customHeight="1" x14ac:dyDescent="0.25">
      <c r="B103" s="9" t="s">
        <v>48</v>
      </c>
      <c r="C103" s="300"/>
      <c r="D103" s="47">
        <v>94.6</v>
      </c>
      <c r="E103" s="11">
        <v>112</v>
      </c>
      <c r="F103" s="11">
        <v>119</v>
      </c>
      <c r="H103" s="3"/>
    </row>
    <row r="104" spans="2:8" ht="15.75" customHeight="1" x14ac:dyDescent="0.25">
      <c r="B104" s="41"/>
      <c r="C104" s="42"/>
      <c r="D104" s="69"/>
      <c r="E104" s="11"/>
      <c r="F104" s="11"/>
      <c r="H104" s="3"/>
    </row>
    <row r="105" spans="2:8" ht="15.75" customHeight="1" x14ac:dyDescent="0.25">
      <c r="B105" s="9" t="s">
        <v>50</v>
      </c>
      <c r="C105" s="302" t="s">
        <v>51</v>
      </c>
      <c r="D105" s="47">
        <v>271.44400000000002</v>
      </c>
      <c r="E105" s="11">
        <v>310</v>
      </c>
      <c r="F105" s="11">
        <v>364</v>
      </c>
      <c r="H105" s="3"/>
    </row>
    <row r="106" spans="2:8" ht="15.75" customHeight="1" x14ac:dyDescent="0.25">
      <c r="B106" s="9" t="s">
        <v>54</v>
      </c>
      <c r="C106" s="300"/>
      <c r="D106" s="47">
        <v>550.22199999999998</v>
      </c>
      <c r="E106" s="11">
        <v>630</v>
      </c>
      <c r="F106" s="11">
        <v>663</v>
      </c>
      <c r="H106" s="3"/>
    </row>
    <row r="107" spans="2:8" ht="15.75" customHeight="1" x14ac:dyDescent="0.25">
      <c r="B107" s="9" t="s">
        <v>55</v>
      </c>
      <c r="C107" s="300"/>
      <c r="D107" s="47">
        <v>609</v>
      </c>
      <c r="E107" s="11">
        <v>740</v>
      </c>
      <c r="F107" s="11">
        <v>681</v>
      </c>
      <c r="H107" s="3"/>
    </row>
    <row r="108" spans="2:8" ht="15.75" customHeight="1" x14ac:dyDescent="0.25">
      <c r="B108" s="9" t="s">
        <v>56</v>
      </c>
      <c r="C108" s="300"/>
      <c r="D108" s="47">
        <v>739.11099999999999</v>
      </c>
      <c r="E108" s="11">
        <v>780</v>
      </c>
      <c r="F108" s="11">
        <v>808</v>
      </c>
      <c r="H108" s="3"/>
    </row>
    <row r="109" spans="2:8" ht="15.75" customHeight="1" x14ac:dyDescent="0.25">
      <c r="B109" s="49" t="s">
        <v>57</v>
      </c>
      <c r="C109" s="300"/>
      <c r="D109" s="50">
        <v>746.88900000000001</v>
      </c>
      <c r="E109" s="51">
        <v>712</v>
      </c>
      <c r="F109" s="51">
        <v>709</v>
      </c>
      <c r="H109" s="3"/>
    </row>
    <row r="110" spans="2:8" ht="15.75" customHeight="1" x14ac:dyDescent="0.25">
      <c r="B110" s="79"/>
      <c r="C110" s="81"/>
      <c r="D110" s="83"/>
      <c r="E110" s="81"/>
      <c r="F110" s="81"/>
      <c r="H110" s="3"/>
    </row>
    <row r="111" spans="2:8" ht="15.75" customHeight="1" x14ac:dyDescent="0.25">
      <c r="B111" s="9" t="s">
        <v>60</v>
      </c>
      <c r="C111" s="299" t="s">
        <v>62</v>
      </c>
      <c r="D111" s="47">
        <v>19.36</v>
      </c>
      <c r="E111" s="11">
        <v>25</v>
      </c>
      <c r="F111" s="11">
        <v>51</v>
      </c>
      <c r="H111" s="3"/>
    </row>
    <row r="112" spans="2:8" ht="15.75" customHeight="1" x14ac:dyDescent="0.25">
      <c r="B112" s="9" t="s">
        <v>64</v>
      </c>
      <c r="C112" s="300"/>
      <c r="D112" s="47">
        <v>33.31</v>
      </c>
      <c r="E112" s="11">
        <v>45</v>
      </c>
      <c r="F112" s="11">
        <v>54</v>
      </c>
      <c r="H112" s="3"/>
    </row>
    <row r="113" spans="2:8" ht="15.75" customHeight="1" x14ac:dyDescent="0.25">
      <c r="B113" s="9" t="s">
        <v>65</v>
      </c>
      <c r="C113" s="301"/>
      <c r="D113" s="47">
        <v>41.74</v>
      </c>
      <c r="E113" s="11">
        <v>47</v>
      </c>
      <c r="F113" s="11">
        <v>53</v>
      </c>
      <c r="H113" s="3"/>
    </row>
    <row r="114" spans="2:8" ht="15.75" customHeight="1" x14ac:dyDescent="0.25">
      <c r="B114" s="41"/>
      <c r="C114" s="42"/>
      <c r="D114" s="69"/>
      <c r="E114" s="11"/>
      <c r="F114" s="11"/>
      <c r="H114" s="3"/>
    </row>
    <row r="115" spans="2:8" ht="15.75" customHeight="1" x14ac:dyDescent="0.25">
      <c r="B115" s="9" t="s">
        <v>66</v>
      </c>
      <c r="C115" s="302" t="s">
        <v>68</v>
      </c>
      <c r="D115" s="47">
        <v>204.5</v>
      </c>
      <c r="E115" s="11">
        <v>226</v>
      </c>
      <c r="F115" s="11">
        <v>247</v>
      </c>
      <c r="H115" s="3"/>
    </row>
    <row r="116" spans="2:8" ht="15.75" customHeight="1" x14ac:dyDescent="0.25">
      <c r="B116" s="49" t="s">
        <v>69</v>
      </c>
      <c r="C116" s="300"/>
      <c r="D116" s="50">
        <v>277.7</v>
      </c>
      <c r="E116" s="51">
        <v>257</v>
      </c>
      <c r="F116" s="51">
        <v>280</v>
      </c>
      <c r="H116" s="3"/>
    </row>
    <row r="117" spans="2:8" ht="15.75" customHeight="1" x14ac:dyDescent="0.25">
      <c r="B117" s="44"/>
      <c r="C117" s="46"/>
      <c r="D117" s="83"/>
      <c r="E117" s="46"/>
      <c r="F117" s="46"/>
      <c r="H117" s="3"/>
    </row>
    <row r="118" spans="2:8" ht="15.75" customHeight="1" x14ac:dyDescent="0.25">
      <c r="B118" s="9" t="s">
        <v>69</v>
      </c>
      <c r="C118" s="299" t="s">
        <v>71</v>
      </c>
      <c r="D118" s="47">
        <v>10.283300000000001</v>
      </c>
      <c r="E118" s="11">
        <v>15</v>
      </c>
      <c r="F118" s="11">
        <v>37</v>
      </c>
      <c r="H118" s="3"/>
    </row>
    <row r="119" spans="2:8" ht="15.75" customHeight="1" x14ac:dyDescent="0.25">
      <c r="B119" s="9" t="s">
        <v>72</v>
      </c>
      <c r="C119" s="300"/>
      <c r="D119" s="47">
        <v>11.8833</v>
      </c>
      <c r="E119" s="11">
        <v>17</v>
      </c>
      <c r="F119" s="11">
        <v>39</v>
      </c>
      <c r="H119" s="3"/>
    </row>
    <row r="120" spans="2:8" ht="15.75" customHeight="1" x14ac:dyDescent="0.25">
      <c r="B120" s="9" t="s">
        <v>73</v>
      </c>
      <c r="C120" s="301"/>
      <c r="D120" s="47">
        <v>17.433299999999999</v>
      </c>
      <c r="E120" s="11">
        <v>25</v>
      </c>
      <c r="F120" s="11">
        <v>40</v>
      </c>
      <c r="H120" s="3"/>
    </row>
    <row r="121" spans="2:8" ht="15.75" customHeight="1" x14ac:dyDescent="0.25">
      <c r="B121" s="41"/>
      <c r="C121" s="42"/>
      <c r="D121" s="69"/>
      <c r="E121" s="11"/>
      <c r="F121" s="11"/>
      <c r="H121" s="3"/>
    </row>
    <row r="122" spans="2:8" ht="15.75" customHeight="1" x14ac:dyDescent="0.25">
      <c r="B122" s="9" t="s">
        <v>76</v>
      </c>
      <c r="C122" s="302" t="s">
        <v>77</v>
      </c>
      <c r="D122" s="47">
        <v>117.467</v>
      </c>
      <c r="E122" s="11">
        <v>213</v>
      </c>
      <c r="F122" s="11">
        <v>228</v>
      </c>
      <c r="H122" s="3"/>
    </row>
    <row r="123" spans="2:8" ht="15.75" customHeight="1" x14ac:dyDescent="0.25">
      <c r="B123" s="9" t="s">
        <v>78</v>
      </c>
      <c r="C123" s="300"/>
      <c r="D123" s="47">
        <v>187.833</v>
      </c>
      <c r="E123" s="11">
        <v>190</v>
      </c>
      <c r="F123" s="11">
        <v>208</v>
      </c>
      <c r="H123" s="3"/>
    </row>
    <row r="124" spans="2:8" ht="15.75" customHeight="1" x14ac:dyDescent="0.25">
      <c r="B124" s="9" t="s">
        <v>79</v>
      </c>
      <c r="C124" s="300"/>
      <c r="D124" s="47">
        <v>218.333</v>
      </c>
      <c r="E124" s="11">
        <v>223</v>
      </c>
      <c r="F124" s="11">
        <v>249</v>
      </c>
      <c r="H124" s="3"/>
    </row>
    <row r="125" spans="2:8" ht="15.75" customHeight="1" x14ac:dyDescent="0.25">
      <c r="B125" s="49" t="s">
        <v>80</v>
      </c>
      <c r="C125" s="300"/>
      <c r="D125" s="50">
        <v>238.5</v>
      </c>
      <c r="E125" s="51">
        <v>178</v>
      </c>
      <c r="F125" s="51">
        <v>197</v>
      </c>
      <c r="H125" s="3"/>
    </row>
    <row r="126" spans="2:8" ht="15.75" customHeight="1" x14ac:dyDescent="0.25">
      <c r="B126" s="44"/>
      <c r="C126" s="46"/>
      <c r="D126" s="83"/>
      <c r="E126" s="46"/>
      <c r="F126" s="46"/>
      <c r="H126" s="3"/>
    </row>
    <row r="127" spans="2:8" ht="15.75" customHeight="1" x14ac:dyDescent="0.25">
      <c r="B127" s="9" t="s">
        <v>81</v>
      </c>
      <c r="C127" s="299" t="s">
        <v>82</v>
      </c>
      <c r="D127" s="47">
        <v>2</v>
      </c>
      <c r="E127" s="11">
        <v>10</v>
      </c>
      <c r="F127" s="11">
        <v>48</v>
      </c>
      <c r="H127" s="3"/>
    </row>
    <row r="128" spans="2:8" ht="15.75" customHeight="1" x14ac:dyDescent="0.25">
      <c r="B128" s="9" t="s">
        <v>83</v>
      </c>
      <c r="C128" s="300"/>
      <c r="D128" s="47">
        <v>7.133</v>
      </c>
      <c r="E128" s="11">
        <v>15</v>
      </c>
      <c r="F128" s="11">
        <v>55</v>
      </c>
      <c r="H128" s="3"/>
    </row>
    <row r="129" spans="1:12" ht="15.75" customHeight="1" x14ac:dyDescent="0.25">
      <c r="B129" s="9" t="s">
        <v>84</v>
      </c>
      <c r="C129" s="301"/>
      <c r="D129" s="47">
        <v>10.72</v>
      </c>
      <c r="E129" s="11">
        <v>15</v>
      </c>
      <c r="F129" s="11">
        <v>53</v>
      </c>
      <c r="H129" s="3"/>
    </row>
    <row r="130" spans="1:12" ht="15.75" customHeight="1" x14ac:dyDescent="0.25">
      <c r="B130" s="41"/>
      <c r="C130" s="42"/>
      <c r="D130" s="69"/>
      <c r="E130" s="11"/>
      <c r="F130" s="11"/>
      <c r="H130" s="3"/>
    </row>
    <row r="131" spans="1:12" ht="15.75" customHeight="1" x14ac:dyDescent="0.25">
      <c r="B131" s="9" t="s">
        <v>86</v>
      </c>
      <c r="C131" s="302" t="s">
        <v>87</v>
      </c>
      <c r="D131" s="47">
        <v>20.466999999999999</v>
      </c>
      <c r="E131" s="11">
        <v>35</v>
      </c>
      <c r="F131" s="11">
        <v>50</v>
      </c>
      <c r="H131" s="3"/>
    </row>
    <row r="132" spans="1:12" ht="15.75" customHeight="1" x14ac:dyDescent="0.25">
      <c r="B132" s="49" t="s">
        <v>88</v>
      </c>
      <c r="C132" s="300"/>
      <c r="D132" s="50">
        <v>20.367000000000001</v>
      </c>
      <c r="E132" s="51">
        <v>35</v>
      </c>
      <c r="F132" s="51">
        <v>50</v>
      </c>
      <c r="H132" s="3"/>
    </row>
    <row r="133" spans="1:12" ht="15.75" customHeight="1" x14ac:dyDescent="0.25">
      <c r="B133" s="44"/>
      <c r="C133" s="46"/>
      <c r="D133" s="83"/>
      <c r="E133" s="46"/>
      <c r="F133" s="46"/>
      <c r="H133" s="3"/>
    </row>
    <row r="134" spans="1:12" ht="15.75" customHeight="1" x14ac:dyDescent="0.25">
      <c r="B134" s="9" t="s">
        <v>89</v>
      </c>
      <c r="C134" s="299" t="s">
        <v>90</v>
      </c>
      <c r="D134" s="47">
        <v>5.15</v>
      </c>
      <c r="E134" s="11">
        <v>25</v>
      </c>
      <c r="F134" s="11">
        <v>40</v>
      </c>
      <c r="H134" s="3"/>
    </row>
    <row r="135" spans="1:12" ht="15.75" customHeight="1" x14ac:dyDescent="0.25">
      <c r="B135" s="49" t="s">
        <v>91</v>
      </c>
      <c r="C135" s="300"/>
      <c r="D135" s="50">
        <v>16.2</v>
      </c>
      <c r="E135" s="51">
        <v>25</v>
      </c>
      <c r="F135" s="51">
        <v>41</v>
      </c>
      <c r="H135" s="3"/>
    </row>
    <row r="136" spans="1:12" ht="15.75" customHeight="1" x14ac:dyDescent="0.25">
      <c r="B136" s="41"/>
      <c r="C136" s="42"/>
      <c r="D136" s="69"/>
      <c r="E136" s="201"/>
      <c r="F136" s="201"/>
      <c r="H136" s="3"/>
    </row>
    <row r="137" spans="1:12" ht="15.75" customHeight="1" x14ac:dyDescent="0.25">
      <c r="B137" s="9" t="s">
        <v>94</v>
      </c>
      <c r="C137" s="299" t="s">
        <v>95</v>
      </c>
      <c r="D137" s="47">
        <v>50.082999999999998</v>
      </c>
      <c r="E137" s="11">
        <v>75</v>
      </c>
      <c r="F137" s="11">
        <v>161</v>
      </c>
      <c r="H137" s="3"/>
    </row>
    <row r="138" spans="1:12" ht="15.75" customHeight="1" x14ac:dyDescent="0.25">
      <c r="B138" s="9" t="s">
        <v>96</v>
      </c>
      <c r="C138" s="300"/>
      <c r="D138" s="47">
        <v>93.992999999999995</v>
      </c>
      <c r="E138" s="11">
        <v>144</v>
      </c>
      <c r="F138" s="11">
        <v>164</v>
      </c>
      <c r="H138" s="3"/>
    </row>
    <row r="139" spans="1:12" ht="15.75" customHeight="1" x14ac:dyDescent="0.25">
      <c r="B139" s="9" t="s">
        <v>97</v>
      </c>
      <c r="C139" s="300"/>
      <c r="D139" s="47">
        <v>95.516999999999996</v>
      </c>
      <c r="E139" s="11">
        <v>137</v>
      </c>
      <c r="F139" s="11">
        <v>167</v>
      </c>
      <c r="H139" s="3"/>
    </row>
    <row r="140" spans="1:12" ht="15.75" customHeight="1" x14ac:dyDescent="0.25">
      <c r="B140" s="9" t="s">
        <v>98</v>
      </c>
      <c r="C140" s="300"/>
      <c r="D140" s="47">
        <v>100.92</v>
      </c>
      <c r="E140" s="11">
        <v>163</v>
      </c>
      <c r="F140" s="11">
        <v>168</v>
      </c>
      <c r="H140" s="3"/>
    </row>
    <row r="141" spans="1:12" ht="15.75" customHeight="1" x14ac:dyDescent="0.25">
      <c r="B141" s="9" t="s">
        <v>99</v>
      </c>
      <c r="C141" s="301"/>
      <c r="D141" s="47">
        <v>115.37</v>
      </c>
      <c r="E141" s="11">
        <v>165</v>
      </c>
      <c r="F141" s="11">
        <v>172</v>
      </c>
      <c r="H141" s="3"/>
    </row>
    <row r="142" spans="1:12" ht="15.75" customHeight="1" x14ac:dyDescent="0.25">
      <c r="B142" s="1"/>
      <c r="C142" s="1"/>
      <c r="D142" s="2"/>
      <c r="E142" s="2"/>
      <c r="F142" s="146"/>
      <c r="H142" s="3"/>
    </row>
    <row r="143" spans="1:12" ht="15.75" customHeight="1" x14ac:dyDescent="0.25">
      <c r="A143" s="29"/>
      <c r="B143" s="30"/>
      <c r="C143" s="30"/>
      <c r="D143" s="32"/>
      <c r="E143" s="32"/>
      <c r="F143" s="159"/>
      <c r="G143" s="29"/>
      <c r="H143" s="34"/>
      <c r="I143" s="29"/>
      <c r="J143" s="29"/>
      <c r="K143" s="29"/>
      <c r="L143" s="29"/>
    </row>
    <row r="144" spans="1:12" ht="15.75" customHeight="1" x14ac:dyDescent="0.2"/>
    <row r="145" spans="1:26" ht="15.75" customHeight="1" x14ac:dyDescent="0.3">
      <c r="B145" s="23" t="s">
        <v>887</v>
      </c>
      <c r="C145" s="28"/>
      <c r="D145" s="28"/>
      <c r="E145" s="28"/>
      <c r="F145" s="28"/>
      <c r="G145" s="28"/>
      <c r="H145" s="28"/>
      <c r="I145" s="28"/>
      <c r="J145" s="28"/>
      <c r="K145" s="28"/>
      <c r="M145" s="320" t="s">
        <v>153</v>
      </c>
      <c r="N145" s="297"/>
      <c r="O145" s="297"/>
      <c r="P145" s="297"/>
      <c r="Q145" s="297"/>
      <c r="R145" s="298"/>
      <c r="T145" s="320" t="s">
        <v>154</v>
      </c>
      <c r="U145" s="297"/>
      <c r="V145" s="297"/>
      <c r="W145" s="297"/>
      <c r="X145" s="298"/>
    </row>
    <row r="146" spans="1:26" ht="15.75" customHeight="1" x14ac:dyDescent="0.25">
      <c r="B146" s="28"/>
      <c r="C146" s="23"/>
      <c r="D146" s="23"/>
      <c r="E146" s="23"/>
      <c r="F146" s="23"/>
      <c r="G146" s="28"/>
      <c r="H146" s="28"/>
      <c r="I146" s="28"/>
      <c r="J146" s="28"/>
      <c r="K146" s="28"/>
      <c r="M146" s="311" t="s">
        <v>157</v>
      </c>
      <c r="N146" s="312"/>
      <c r="O146" s="312"/>
      <c r="P146" s="312"/>
      <c r="Q146" s="312"/>
      <c r="R146" s="313"/>
      <c r="T146" s="325" t="s">
        <v>157</v>
      </c>
      <c r="U146" s="297"/>
      <c r="V146" s="297"/>
      <c r="W146" s="297"/>
      <c r="X146" s="298"/>
    </row>
    <row r="147" spans="1:26" ht="15.75" customHeight="1" x14ac:dyDescent="0.2">
      <c r="A147" s="121"/>
      <c r="B147" s="304" t="s">
        <v>894</v>
      </c>
      <c r="C147" s="297"/>
      <c r="D147" s="297"/>
      <c r="E147" s="297"/>
      <c r="F147" s="297"/>
      <c r="G147" s="121"/>
      <c r="H147" s="121"/>
      <c r="I147" s="121"/>
      <c r="J147" s="121"/>
      <c r="K147" s="121"/>
      <c r="L147" s="121"/>
      <c r="M147" s="317"/>
      <c r="N147" s="318"/>
      <c r="O147" s="318"/>
      <c r="P147" s="318"/>
      <c r="Q147" s="318"/>
      <c r="R147" s="319"/>
      <c r="S147" s="121"/>
      <c r="T147" s="58" t="s">
        <v>160</v>
      </c>
      <c r="U147" s="59" t="s">
        <v>161</v>
      </c>
      <c r="V147" s="59" t="s">
        <v>162</v>
      </c>
      <c r="W147" s="61" t="s">
        <v>163</v>
      </c>
      <c r="X147" s="62" t="s">
        <v>165</v>
      </c>
      <c r="Y147" s="121"/>
      <c r="Z147" s="121"/>
    </row>
    <row r="148" spans="1:26" ht="15.75" customHeight="1" x14ac:dyDescent="0.25">
      <c r="B148" s="4" t="s">
        <v>0</v>
      </c>
      <c r="C148" s="5" t="s">
        <v>1</v>
      </c>
      <c r="D148" s="5" t="s">
        <v>42</v>
      </c>
      <c r="E148" s="5" t="s">
        <v>43</v>
      </c>
      <c r="F148" s="5" t="s">
        <v>44</v>
      </c>
      <c r="H148" s="296" t="s">
        <v>45</v>
      </c>
      <c r="I148" s="297"/>
      <c r="J148" s="297"/>
      <c r="K148" s="298"/>
      <c r="M148" s="63" t="s">
        <v>168</v>
      </c>
      <c r="N148" s="64" t="s">
        <v>169</v>
      </c>
      <c r="O148" s="64" t="s">
        <v>171</v>
      </c>
      <c r="P148" s="64" t="s">
        <v>172</v>
      </c>
      <c r="Q148" s="65" t="s">
        <v>173</v>
      </c>
      <c r="R148" s="66" t="s">
        <v>175</v>
      </c>
      <c r="T148" s="63" t="s">
        <v>176</v>
      </c>
      <c r="U148" s="67">
        <v>0.19</v>
      </c>
      <c r="V148" s="68">
        <v>2.254</v>
      </c>
      <c r="W148" s="70">
        <f t="shared" ref="W148:W152" si="0">+V148/U148</f>
        <v>11.863157894736842</v>
      </c>
      <c r="X148" s="72"/>
    </row>
    <row r="149" spans="1:26" ht="15.75" customHeight="1" x14ac:dyDescent="0.25">
      <c r="B149" s="310" t="s">
        <v>275</v>
      </c>
      <c r="C149" s="297"/>
      <c r="D149" s="297"/>
      <c r="E149" s="297"/>
      <c r="F149" s="306"/>
      <c r="H149" s="305" t="s">
        <v>275</v>
      </c>
      <c r="I149" s="297"/>
      <c r="J149" s="297"/>
      <c r="K149" s="298"/>
      <c r="M149" s="73">
        <v>440</v>
      </c>
      <c r="N149" s="74">
        <v>20</v>
      </c>
      <c r="O149" s="74">
        <f>+V148</f>
        <v>2.254</v>
      </c>
      <c r="P149" s="76">
        <f>+V151</f>
        <v>0</v>
      </c>
      <c r="Q149" s="77">
        <f>+V149</f>
        <v>2.0649999999999999</v>
      </c>
      <c r="R149" s="78">
        <f>(M149-N149)*(O149-P149)/(Q149-P149)+N149</f>
        <v>478.4406779661017</v>
      </c>
      <c r="T149" s="80" t="s">
        <v>188</v>
      </c>
      <c r="U149" s="74">
        <v>0.184</v>
      </c>
      <c r="V149" s="82">
        <v>2.0649999999999999</v>
      </c>
      <c r="W149" s="84">
        <f t="shared" si="0"/>
        <v>11.222826086956522</v>
      </c>
      <c r="X149" s="86">
        <f>(V149-V151)/(V148-V151)</f>
        <v>0.91614906832298137</v>
      </c>
    </row>
    <row r="150" spans="1:26" ht="15.75" customHeight="1" x14ac:dyDescent="0.25">
      <c r="B150" s="9" t="s">
        <v>11</v>
      </c>
      <c r="C150" s="12" t="s">
        <v>12</v>
      </c>
      <c r="D150" s="17">
        <v>470</v>
      </c>
      <c r="E150" s="177">
        <v>470</v>
      </c>
      <c r="F150" s="17">
        <v>475</v>
      </c>
      <c r="H150" s="12"/>
      <c r="I150" s="12" t="s">
        <v>52</v>
      </c>
      <c r="J150" s="12" t="s">
        <v>53</v>
      </c>
      <c r="K150" s="12"/>
      <c r="M150" s="80" t="s">
        <v>168</v>
      </c>
      <c r="N150" s="93" t="s">
        <v>171</v>
      </c>
      <c r="O150" s="93" t="s">
        <v>190</v>
      </c>
      <c r="P150" s="93" t="s">
        <v>191</v>
      </c>
      <c r="Q150" s="94" t="s">
        <v>173</v>
      </c>
      <c r="R150" s="87" t="s">
        <v>192</v>
      </c>
      <c r="T150" s="80" t="s">
        <v>193</v>
      </c>
      <c r="U150" s="74">
        <v>0.13200000000000001</v>
      </c>
      <c r="V150" s="82">
        <v>0.52700000000000002</v>
      </c>
      <c r="W150" s="84">
        <f t="shared" si="0"/>
        <v>3.9924242424242422</v>
      </c>
      <c r="X150" s="86">
        <f>(V150-V151)/(V148-V151)</f>
        <v>0.23380656610470277</v>
      </c>
    </row>
    <row r="151" spans="1:26" ht="15.75" customHeight="1" x14ac:dyDescent="0.25">
      <c r="B151" s="9" t="s">
        <v>11</v>
      </c>
      <c r="C151" s="12" t="s">
        <v>18</v>
      </c>
      <c r="D151" s="17">
        <v>0</v>
      </c>
      <c r="E151" s="177">
        <v>0</v>
      </c>
      <c r="F151" s="17">
        <v>0</v>
      </c>
      <c r="H151" s="12" t="s">
        <v>12</v>
      </c>
      <c r="I151" s="17">
        <v>470</v>
      </c>
      <c r="J151" s="17"/>
      <c r="K151" s="17" t="s">
        <v>911</v>
      </c>
      <c r="M151" s="73">
        <v>160</v>
      </c>
      <c r="N151" s="74">
        <f>+V148</f>
        <v>2.254</v>
      </c>
      <c r="O151" s="76">
        <f>+V151</f>
        <v>0</v>
      </c>
      <c r="P151" s="89">
        <f>+R149</f>
        <v>478.4406779661017</v>
      </c>
      <c r="Q151" s="77">
        <f>+V150</f>
        <v>0.52700000000000002</v>
      </c>
      <c r="R151" s="90">
        <f>(M151*(N151-O151)-P151*(Q151-O151))/(N151-Q151)</f>
        <v>62.826730001079561</v>
      </c>
      <c r="T151" s="80" t="s">
        <v>194</v>
      </c>
      <c r="U151" s="74">
        <v>0.112</v>
      </c>
      <c r="V151" s="91">
        <v>0</v>
      </c>
      <c r="W151" s="84">
        <f t="shared" si="0"/>
        <v>0</v>
      </c>
      <c r="X151" s="86"/>
    </row>
    <row r="152" spans="1:26" ht="15.75" customHeight="1" x14ac:dyDescent="0.25">
      <c r="B152" s="9" t="s">
        <v>21</v>
      </c>
      <c r="C152" s="12" t="s">
        <v>59</v>
      </c>
      <c r="D152" s="17">
        <v>440</v>
      </c>
      <c r="E152" s="177">
        <v>0</v>
      </c>
      <c r="F152" s="17">
        <v>435</v>
      </c>
      <c r="H152" s="12" t="s">
        <v>18</v>
      </c>
      <c r="I152" s="24">
        <v>0</v>
      </c>
      <c r="J152" s="24">
        <v>0</v>
      </c>
      <c r="K152" s="24" t="s">
        <v>913</v>
      </c>
      <c r="M152" s="80" t="s">
        <v>196</v>
      </c>
      <c r="N152" s="93"/>
      <c r="O152" s="93"/>
      <c r="P152" s="93"/>
      <c r="Q152" s="94"/>
      <c r="R152" s="95"/>
      <c r="T152" s="96" t="s">
        <v>197</v>
      </c>
      <c r="U152" s="97">
        <v>0.11799999999999999</v>
      </c>
      <c r="V152" s="99">
        <v>5.6000000000000001E-2</v>
      </c>
      <c r="W152" s="100">
        <f t="shared" si="0"/>
        <v>0.47457627118644069</v>
      </c>
      <c r="X152" s="101">
        <f>+(V152-V151)/(V148-V151)</f>
        <v>2.4844720496894412E-2</v>
      </c>
    </row>
    <row r="153" spans="1:26" ht="15.75" customHeight="1" x14ac:dyDescent="0.2">
      <c r="B153" s="12" t="s">
        <v>21</v>
      </c>
      <c r="C153" s="12" t="s">
        <v>63</v>
      </c>
      <c r="D153" s="24">
        <v>160</v>
      </c>
      <c r="E153" s="218">
        <v>0</v>
      </c>
      <c r="F153" s="24">
        <v>159</v>
      </c>
      <c r="H153" s="330"/>
      <c r="I153" s="315"/>
      <c r="J153" s="315"/>
      <c r="K153" s="315"/>
      <c r="M153" s="80" t="s">
        <v>199</v>
      </c>
      <c r="N153" s="93" t="s">
        <v>169</v>
      </c>
      <c r="O153" s="93" t="s">
        <v>200</v>
      </c>
      <c r="P153" s="93" t="s">
        <v>201</v>
      </c>
      <c r="Q153" s="94" t="s">
        <v>191</v>
      </c>
      <c r="R153" s="87" t="s">
        <v>915</v>
      </c>
      <c r="T153" s="311" t="s">
        <v>203</v>
      </c>
      <c r="U153" s="312"/>
      <c r="V153" s="312"/>
      <c r="W153" s="312"/>
      <c r="X153" s="313"/>
    </row>
    <row r="154" spans="1:26" ht="15.75" customHeight="1" x14ac:dyDescent="0.25">
      <c r="B154" s="12" t="s">
        <v>218</v>
      </c>
      <c r="C154" s="12" t="s">
        <v>218</v>
      </c>
      <c r="D154" s="24">
        <v>0</v>
      </c>
      <c r="E154" s="218">
        <v>0</v>
      </c>
      <c r="F154" s="24">
        <v>0</v>
      </c>
      <c r="M154" s="102">
        <f>+V152</f>
        <v>5.6000000000000001E-2</v>
      </c>
      <c r="N154" s="103">
        <f>+R151</f>
        <v>62.826730001079561</v>
      </c>
      <c r="O154" s="97">
        <f>+V148</f>
        <v>2.254</v>
      </c>
      <c r="P154" s="104">
        <f>+V151</f>
        <v>0</v>
      </c>
      <c r="Q154" s="105">
        <f>+R149</f>
        <v>478.4406779661017</v>
      </c>
      <c r="R154" s="106">
        <f>N154+(Q154-N154)*(M154-P154)/(O154-P154)</f>
        <v>73.152542372881356</v>
      </c>
      <c r="S154" s="21">
        <v>80</v>
      </c>
      <c r="T154" s="314"/>
      <c r="U154" s="315"/>
      <c r="V154" s="315"/>
      <c r="W154" s="315"/>
      <c r="X154" s="316"/>
    </row>
    <row r="155" spans="1:26" ht="15.75" customHeight="1" x14ac:dyDescent="0.2">
      <c r="M155" s="311" t="s">
        <v>204</v>
      </c>
      <c r="N155" s="312"/>
      <c r="O155" s="312"/>
      <c r="P155" s="312"/>
      <c r="Q155" s="312"/>
      <c r="R155" s="313"/>
      <c r="T155" s="317"/>
      <c r="U155" s="318"/>
      <c r="V155" s="318"/>
      <c r="W155" s="318"/>
      <c r="X155" s="319"/>
    </row>
    <row r="156" spans="1:26" ht="15.75" customHeight="1" x14ac:dyDescent="0.25">
      <c r="B156" s="332"/>
      <c r="C156" s="297"/>
      <c r="D156" s="297"/>
      <c r="E156" s="297"/>
      <c r="F156" s="297"/>
      <c r="M156" s="317"/>
      <c r="N156" s="318"/>
      <c r="O156" s="318"/>
      <c r="P156" s="318"/>
      <c r="Q156" s="318"/>
      <c r="R156" s="319"/>
      <c r="T156" s="58" t="s">
        <v>160</v>
      </c>
      <c r="U156" s="59" t="s">
        <v>161</v>
      </c>
      <c r="V156" s="59" t="s">
        <v>162</v>
      </c>
      <c r="W156" s="61" t="s">
        <v>163</v>
      </c>
      <c r="X156" s="62" t="s">
        <v>165</v>
      </c>
    </row>
    <row r="157" spans="1:26" ht="15.75" customHeight="1" x14ac:dyDescent="0.25">
      <c r="B157" s="4" t="s">
        <v>0</v>
      </c>
      <c r="C157" s="5" t="s">
        <v>1</v>
      </c>
      <c r="D157" s="5" t="s">
        <v>42</v>
      </c>
      <c r="E157" s="5" t="s">
        <v>43</v>
      </c>
      <c r="F157" s="5" t="s">
        <v>44</v>
      </c>
      <c r="H157" s="296" t="s">
        <v>45</v>
      </c>
      <c r="I157" s="297"/>
      <c r="J157" s="297"/>
      <c r="K157" s="298"/>
      <c r="M157" s="63" t="s">
        <v>168</v>
      </c>
      <c r="N157" s="64" t="s">
        <v>169</v>
      </c>
      <c r="O157" s="64" t="s">
        <v>171</v>
      </c>
      <c r="P157" s="64" t="s">
        <v>172</v>
      </c>
      <c r="Q157" s="65" t="s">
        <v>173</v>
      </c>
      <c r="R157" s="66" t="s">
        <v>175</v>
      </c>
      <c r="T157" s="63" t="s">
        <v>176</v>
      </c>
      <c r="U157" s="67"/>
      <c r="V157" s="68"/>
      <c r="W157" s="70"/>
      <c r="X157" s="107"/>
    </row>
    <row r="158" spans="1:26" ht="15.75" customHeight="1" x14ac:dyDescent="0.25">
      <c r="B158" s="310" t="s">
        <v>313</v>
      </c>
      <c r="C158" s="297"/>
      <c r="D158" s="297"/>
      <c r="E158" s="297"/>
      <c r="F158" s="306"/>
      <c r="H158" s="305" t="s">
        <v>313</v>
      </c>
      <c r="I158" s="297"/>
      <c r="J158" s="297"/>
      <c r="K158" s="298"/>
      <c r="M158" s="73">
        <v>420</v>
      </c>
      <c r="N158" s="74">
        <v>20</v>
      </c>
      <c r="O158" s="74">
        <f>+V157</f>
        <v>0</v>
      </c>
      <c r="P158" s="76">
        <f>+V160</f>
        <v>0</v>
      </c>
      <c r="Q158" s="77">
        <f>+V158</f>
        <v>0</v>
      </c>
      <c r="R158" s="108" t="e">
        <f>(M158-N158)*(O158-P158)/(Q158-P158)+N158</f>
        <v>#DIV/0!</v>
      </c>
      <c r="T158" s="80" t="s">
        <v>188</v>
      </c>
      <c r="U158" s="74"/>
      <c r="V158" s="82"/>
      <c r="W158" s="84"/>
      <c r="X158" s="86"/>
    </row>
    <row r="159" spans="1:26" ht="15.75" customHeight="1" x14ac:dyDescent="0.25">
      <c r="B159" s="9" t="s">
        <v>11</v>
      </c>
      <c r="C159" s="12" t="s">
        <v>12</v>
      </c>
      <c r="D159" s="17">
        <v>440</v>
      </c>
      <c r="E159" s="177">
        <v>0</v>
      </c>
      <c r="F159" s="17">
        <v>445</v>
      </c>
      <c r="H159" s="12"/>
      <c r="I159" s="12" t="s">
        <v>52</v>
      </c>
      <c r="J159" s="12" t="s">
        <v>53</v>
      </c>
      <c r="K159" s="12"/>
      <c r="M159" s="73" t="s">
        <v>168</v>
      </c>
      <c r="N159" s="74" t="s">
        <v>171</v>
      </c>
      <c r="O159" s="74" t="s">
        <v>190</v>
      </c>
      <c r="P159" s="74" t="s">
        <v>191</v>
      </c>
      <c r="Q159" s="77" t="s">
        <v>173</v>
      </c>
      <c r="R159" s="87" t="s">
        <v>192</v>
      </c>
      <c r="T159" s="80" t="s">
        <v>193</v>
      </c>
      <c r="U159" s="74"/>
      <c r="V159" s="91"/>
      <c r="W159" s="84"/>
      <c r="X159" s="86"/>
    </row>
    <row r="160" spans="1:26" ht="15.75" customHeight="1" x14ac:dyDescent="0.25">
      <c r="B160" s="9" t="s">
        <v>11</v>
      </c>
      <c r="C160" s="12" t="s">
        <v>18</v>
      </c>
      <c r="D160" s="17">
        <v>0</v>
      </c>
      <c r="E160" s="177">
        <v>0</v>
      </c>
      <c r="F160" s="17">
        <v>0</v>
      </c>
      <c r="H160" s="12" t="s">
        <v>12</v>
      </c>
      <c r="I160" s="17">
        <v>440</v>
      </c>
      <c r="J160" s="17"/>
      <c r="K160" s="17" t="s">
        <v>918</v>
      </c>
      <c r="M160" s="73">
        <v>140</v>
      </c>
      <c r="N160" s="74">
        <f>+V157</f>
        <v>0</v>
      </c>
      <c r="O160" s="76">
        <f>+V160</f>
        <v>0</v>
      </c>
      <c r="P160" s="74" t="e">
        <f>+R158</f>
        <v>#DIV/0!</v>
      </c>
      <c r="Q160" s="109">
        <f>+V159</f>
        <v>0</v>
      </c>
      <c r="R160" s="78" t="e">
        <f>(M160*(N160-O160)-P160*(Q160-O160))/(N160-Q160)</f>
        <v>#DIV/0!</v>
      </c>
      <c r="T160" s="80" t="s">
        <v>194</v>
      </c>
      <c r="U160" s="74"/>
      <c r="V160" s="91"/>
      <c r="W160" s="84"/>
      <c r="X160" s="86"/>
    </row>
    <row r="161" spans="1:26" ht="15.75" customHeight="1" x14ac:dyDescent="0.25">
      <c r="B161" s="9" t="s">
        <v>21</v>
      </c>
      <c r="C161" s="12" t="s">
        <v>59</v>
      </c>
      <c r="D161" s="17">
        <v>430</v>
      </c>
      <c r="E161" s="177">
        <v>0</v>
      </c>
      <c r="F161" s="17">
        <v>420</v>
      </c>
      <c r="H161" s="12" t="s">
        <v>18</v>
      </c>
      <c r="I161" s="24">
        <v>0</v>
      </c>
      <c r="J161" s="24">
        <v>0</v>
      </c>
      <c r="K161" s="24" t="s">
        <v>919</v>
      </c>
      <c r="M161" s="80" t="s">
        <v>196</v>
      </c>
      <c r="N161" s="93"/>
      <c r="O161" s="93"/>
      <c r="P161" s="93"/>
      <c r="Q161" s="94"/>
      <c r="R161" s="95"/>
      <c r="T161" s="111" t="s">
        <v>197</v>
      </c>
      <c r="U161" s="112"/>
      <c r="V161" s="113"/>
      <c r="W161" s="114"/>
      <c r="X161" s="115"/>
    </row>
    <row r="162" spans="1:26" ht="15.75" customHeight="1" x14ac:dyDescent="0.2">
      <c r="B162" s="12" t="s">
        <v>21</v>
      </c>
      <c r="C162" s="12" t="s">
        <v>63</v>
      </c>
      <c r="D162" s="24">
        <v>150</v>
      </c>
      <c r="E162" s="218">
        <v>0</v>
      </c>
      <c r="F162" s="24">
        <v>149</v>
      </c>
      <c r="H162" s="330"/>
      <c r="I162" s="315"/>
      <c r="J162" s="315"/>
      <c r="K162" s="315"/>
      <c r="M162" s="80" t="s">
        <v>199</v>
      </c>
      <c r="N162" s="93" t="s">
        <v>169</v>
      </c>
      <c r="O162" s="93" t="s">
        <v>200</v>
      </c>
      <c r="P162" s="93" t="s">
        <v>201</v>
      </c>
      <c r="Q162" s="94" t="s">
        <v>191</v>
      </c>
      <c r="R162" s="87" t="s">
        <v>202</v>
      </c>
    </row>
    <row r="163" spans="1:26" ht="15.75" customHeight="1" x14ac:dyDescent="0.2">
      <c r="B163" s="12" t="s">
        <v>218</v>
      </c>
      <c r="C163" s="12" t="s">
        <v>218</v>
      </c>
      <c r="D163" s="24">
        <v>0</v>
      </c>
      <c r="E163" s="218">
        <v>0</v>
      </c>
      <c r="F163" s="24"/>
      <c r="M163" s="116">
        <f>+V161</f>
        <v>0</v>
      </c>
      <c r="N163" s="112" t="e">
        <f>+R160</f>
        <v>#DIV/0!</v>
      </c>
      <c r="O163" s="112">
        <f>+V157</f>
        <v>0</v>
      </c>
      <c r="P163" s="118">
        <f>+V160</f>
        <v>0</v>
      </c>
      <c r="Q163" s="119" t="e">
        <f>+R158</f>
        <v>#DIV/0!</v>
      </c>
      <c r="R163" s="78" t="e">
        <f>N163+(Q163-N163)*(M163-P163)/(O163-P163)</f>
        <v>#DIV/0!</v>
      </c>
      <c r="U163" s="121"/>
    </row>
    <row r="164" spans="1:26" ht="15.75" customHeight="1" x14ac:dyDescent="0.2"/>
    <row r="165" spans="1:26" ht="15.75" customHeight="1" x14ac:dyDescent="0.2"/>
    <row r="166" spans="1:26" ht="15.75" customHeight="1" x14ac:dyDescent="0.2"/>
    <row r="167" spans="1:26" ht="15.75" customHeight="1" x14ac:dyDescent="0.25">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5.75" customHeight="1" x14ac:dyDescent="0.25">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5.75" customHeight="1" x14ac:dyDescent="0.25">
      <c r="A169" s="28" t="s">
        <v>865</v>
      </c>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5.75" customHeight="1" x14ac:dyDescent="0.2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5.75" customHeight="1" x14ac:dyDescent="0.25">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5.75" customHeight="1" x14ac:dyDescent="0.25">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5.75" customHeight="1" x14ac:dyDescent="0.25">
      <c r="A173" s="28"/>
      <c r="B173" s="304"/>
      <c r="C173" s="297"/>
      <c r="D173" s="297"/>
      <c r="E173" s="297"/>
      <c r="F173" s="154"/>
      <c r="G173" s="28"/>
      <c r="H173" s="3"/>
      <c r="I173" s="28"/>
      <c r="J173" s="28"/>
      <c r="K173" s="28"/>
      <c r="L173" s="28"/>
      <c r="M173" s="28"/>
      <c r="N173" s="28"/>
      <c r="O173" s="28"/>
      <c r="P173" s="28"/>
      <c r="Q173" s="28"/>
      <c r="R173" s="28"/>
      <c r="S173" s="28"/>
      <c r="T173" s="28"/>
      <c r="U173" s="28"/>
      <c r="V173" s="28"/>
      <c r="W173" s="28"/>
      <c r="X173" s="28"/>
      <c r="Y173" s="28"/>
      <c r="Z173" s="28"/>
    </row>
    <row r="174" spans="1:26" ht="15.75" customHeight="1" x14ac:dyDescent="0.25">
      <c r="A174" s="28"/>
      <c r="B174" s="4" t="s">
        <v>0</v>
      </c>
      <c r="C174" s="5" t="s">
        <v>1</v>
      </c>
      <c r="D174" s="5" t="s">
        <v>2</v>
      </c>
      <c r="E174" s="5" t="s">
        <v>43</v>
      </c>
      <c r="F174" s="45" t="s">
        <v>125</v>
      </c>
      <c r="G174" s="296" t="s">
        <v>6</v>
      </c>
      <c r="H174" s="297"/>
      <c r="I174" s="297"/>
      <c r="J174" s="297"/>
      <c r="K174" s="297"/>
      <c r="L174" s="298"/>
      <c r="M174" s="28"/>
      <c r="N174" s="28"/>
      <c r="O174" s="28"/>
      <c r="P174" s="28"/>
      <c r="Q174" s="28"/>
      <c r="R174" s="28"/>
      <c r="S174" s="28"/>
      <c r="T174" s="28"/>
      <c r="U174" s="28"/>
      <c r="V174" s="28"/>
      <c r="W174" s="28"/>
      <c r="X174" s="28"/>
      <c r="Y174" s="28"/>
      <c r="Z174" s="28"/>
    </row>
    <row r="175" spans="1:26" ht="15.75" customHeight="1" x14ac:dyDescent="0.25">
      <c r="A175" s="28"/>
      <c r="B175" s="9" t="s">
        <v>7</v>
      </c>
      <c r="C175" s="302" t="s">
        <v>9</v>
      </c>
      <c r="D175" s="47">
        <v>28.1</v>
      </c>
      <c r="E175" s="11">
        <v>101</v>
      </c>
      <c r="F175" s="11">
        <v>104</v>
      </c>
      <c r="G175" s="296" t="s">
        <v>106</v>
      </c>
      <c r="H175" s="297"/>
      <c r="I175" s="298"/>
      <c r="J175" s="296" t="s">
        <v>107</v>
      </c>
      <c r="K175" s="297"/>
      <c r="L175" s="298"/>
      <c r="M175" s="28"/>
      <c r="N175" s="28"/>
      <c r="O175" s="28"/>
      <c r="P175" s="28"/>
      <c r="Q175" s="28"/>
      <c r="R175" s="28"/>
      <c r="S175" s="28"/>
      <c r="T175" s="28"/>
      <c r="U175" s="28"/>
      <c r="V175" s="28"/>
      <c r="W175" s="28"/>
      <c r="X175" s="28"/>
      <c r="Y175" s="28"/>
      <c r="Z175" s="28"/>
    </row>
    <row r="176" spans="1:26" ht="15.75" customHeight="1" x14ac:dyDescent="0.25">
      <c r="A176" s="28"/>
      <c r="B176" s="9" t="s">
        <v>17</v>
      </c>
      <c r="C176" s="300"/>
      <c r="D176" s="47">
        <v>63.911000000000001</v>
      </c>
      <c r="E176" s="11">
        <v>106</v>
      </c>
      <c r="F176" s="11">
        <v>105</v>
      </c>
      <c r="G176" s="13" t="s">
        <v>13</v>
      </c>
      <c r="H176" s="14">
        <f>H178+H178*0.05</f>
        <v>719.25</v>
      </c>
      <c r="I176" s="17" t="s">
        <v>920</v>
      </c>
      <c r="J176" s="13" t="s">
        <v>13</v>
      </c>
      <c r="K176" s="39">
        <f>K178+K178*0.05</f>
        <v>727.65</v>
      </c>
      <c r="L176" s="17" t="s">
        <v>921</v>
      </c>
      <c r="M176" s="28"/>
      <c r="N176" s="28"/>
      <c r="O176" s="28"/>
      <c r="P176" s="28"/>
      <c r="Q176" s="28"/>
      <c r="R176" s="28"/>
      <c r="S176" s="28"/>
      <c r="T176" s="28"/>
      <c r="U176" s="28"/>
      <c r="V176" s="28"/>
      <c r="W176" s="28"/>
      <c r="X176" s="28"/>
      <c r="Y176" s="28"/>
      <c r="Z176" s="28"/>
    </row>
    <row r="177" spans="1:26" ht="15.75" customHeight="1" x14ac:dyDescent="0.25">
      <c r="A177" s="28"/>
      <c r="B177" s="9" t="s">
        <v>26</v>
      </c>
      <c r="C177" s="300"/>
      <c r="D177" s="47">
        <v>69.921999999999997</v>
      </c>
      <c r="E177" s="11">
        <v>108</v>
      </c>
      <c r="F177" s="11">
        <v>108</v>
      </c>
      <c r="G177" s="13" t="s">
        <v>19</v>
      </c>
      <c r="H177" s="18">
        <f>H178-H178*0.05</f>
        <v>650.75</v>
      </c>
      <c r="I177" s="17" t="s">
        <v>922</v>
      </c>
      <c r="J177" s="13" t="s">
        <v>19</v>
      </c>
      <c r="K177" s="40">
        <f>K178-K178*0.05</f>
        <v>658.35</v>
      </c>
      <c r="L177" s="17" t="s">
        <v>925</v>
      </c>
      <c r="M177" s="28"/>
      <c r="N177" s="28"/>
      <c r="O177" s="28"/>
      <c r="P177" s="28"/>
      <c r="Q177" s="28"/>
      <c r="R177" s="28"/>
      <c r="S177" s="28"/>
      <c r="T177" s="28"/>
      <c r="U177" s="28"/>
      <c r="V177" s="28"/>
      <c r="W177" s="28"/>
      <c r="X177" s="28"/>
      <c r="Y177" s="28"/>
      <c r="Z177" s="28"/>
    </row>
    <row r="178" spans="1:26" ht="15.75" customHeight="1" x14ac:dyDescent="0.25">
      <c r="A178" s="28"/>
      <c r="B178" s="9" t="s">
        <v>32</v>
      </c>
      <c r="C178" s="300"/>
      <c r="D178" s="47">
        <v>96.744</v>
      </c>
      <c r="E178" s="11">
        <v>121</v>
      </c>
      <c r="F178" s="11">
        <v>123</v>
      </c>
      <c r="G178" s="13" t="s">
        <v>27</v>
      </c>
      <c r="H178" s="20">
        <v>685</v>
      </c>
      <c r="I178" s="17" t="s">
        <v>926</v>
      </c>
      <c r="J178" s="13" t="s">
        <v>27</v>
      </c>
      <c r="K178" s="20">
        <v>693</v>
      </c>
      <c r="L178" s="17" t="s">
        <v>927</v>
      </c>
      <c r="M178" s="28"/>
      <c r="N178" s="28"/>
      <c r="O178" s="28"/>
      <c r="P178" s="28"/>
      <c r="Q178" s="28"/>
      <c r="R178" s="28"/>
      <c r="S178" s="28"/>
      <c r="T178" s="28"/>
      <c r="U178" s="28"/>
      <c r="V178" s="28"/>
      <c r="W178" s="28"/>
      <c r="X178" s="28"/>
      <c r="Y178" s="28"/>
      <c r="Z178" s="28"/>
    </row>
    <row r="179" spans="1:26" ht="15.75" customHeight="1" x14ac:dyDescent="0.25">
      <c r="A179" s="28"/>
      <c r="B179" s="9" t="s">
        <v>33</v>
      </c>
      <c r="C179" s="301"/>
      <c r="D179" s="47">
        <v>128.11000000000001</v>
      </c>
      <c r="E179" s="11">
        <v>146</v>
      </c>
      <c r="F179" s="11">
        <v>146</v>
      </c>
      <c r="G179" s="13" t="s">
        <v>121</v>
      </c>
      <c r="H179" s="20">
        <v>687</v>
      </c>
      <c r="I179" s="17" t="s">
        <v>928</v>
      </c>
      <c r="J179" s="13" t="s">
        <v>121</v>
      </c>
      <c r="K179" s="20">
        <v>695</v>
      </c>
      <c r="L179" s="17" t="s">
        <v>929</v>
      </c>
      <c r="M179" s="28"/>
      <c r="N179" s="28"/>
      <c r="O179" s="28"/>
      <c r="P179" s="28"/>
      <c r="Q179" s="28"/>
      <c r="R179" s="28"/>
      <c r="S179" s="28"/>
      <c r="T179" s="28"/>
      <c r="U179" s="28"/>
      <c r="V179" s="28"/>
      <c r="W179" s="28"/>
      <c r="X179" s="28"/>
      <c r="Y179" s="28"/>
      <c r="Z179" s="28"/>
    </row>
    <row r="180" spans="1:26" ht="15.75" customHeight="1" x14ac:dyDescent="0.25">
      <c r="A180" s="28"/>
      <c r="B180" s="41"/>
      <c r="C180" s="42"/>
      <c r="D180" s="69"/>
      <c r="E180" s="11"/>
      <c r="F180" s="11"/>
      <c r="G180" s="28"/>
      <c r="H180" s="3"/>
      <c r="I180" s="28"/>
      <c r="J180" s="28"/>
      <c r="K180" s="28"/>
      <c r="L180" s="28"/>
      <c r="M180" s="28"/>
      <c r="N180" s="28"/>
      <c r="O180" s="28"/>
      <c r="P180" s="28"/>
      <c r="Q180" s="28"/>
      <c r="R180" s="28"/>
      <c r="S180" s="28"/>
      <c r="T180" s="28"/>
      <c r="U180" s="28"/>
      <c r="V180" s="28"/>
      <c r="W180" s="28"/>
      <c r="X180" s="28"/>
      <c r="Y180" s="28"/>
      <c r="Z180" s="28"/>
    </row>
    <row r="181" spans="1:26" ht="15.75" customHeight="1" x14ac:dyDescent="0.25">
      <c r="A181" s="28"/>
      <c r="B181" s="9" t="s">
        <v>35</v>
      </c>
      <c r="C181" s="302" t="s">
        <v>36</v>
      </c>
      <c r="D181" s="47">
        <v>207.78</v>
      </c>
      <c r="E181" s="11">
        <v>238</v>
      </c>
      <c r="F181" s="11">
        <v>202</v>
      </c>
      <c r="G181" s="28"/>
      <c r="H181" s="3"/>
      <c r="I181" s="28"/>
      <c r="J181" s="28"/>
      <c r="K181" s="28"/>
      <c r="L181" s="28"/>
      <c r="M181" s="28"/>
      <c r="N181" s="28"/>
      <c r="O181" s="28"/>
      <c r="P181" s="28"/>
      <c r="Q181" s="28"/>
      <c r="R181" s="28"/>
      <c r="S181" s="28"/>
      <c r="T181" s="28"/>
      <c r="U181" s="28"/>
      <c r="V181" s="28"/>
      <c r="W181" s="28"/>
      <c r="X181" s="28"/>
      <c r="Y181" s="28"/>
      <c r="Z181" s="28"/>
    </row>
    <row r="182" spans="1:26" ht="15.75" customHeight="1" x14ac:dyDescent="0.25">
      <c r="A182" s="28"/>
      <c r="B182" s="9" t="s">
        <v>37</v>
      </c>
      <c r="C182" s="300"/>
      <c r="D182" s="47">
        <v>444.11</v>
      </c>
      <c r="E182" s="11">
        <v>534</v>
      </c>
      <c r="F182" s="11">
        <v>531</v>
      </c>
      <c r="G182" s="28"/>
      <c r="H182" s="3"/>
      <c r="I182" s="28"/>
      <c r="J182" s="28"/>
      <c r="K182" s="28"/>
      <c r="L182" s="28"/>
      <c r="M182" s="28"/>
      <c r="N182" s="28"/>
      <c r="O182" s="28"/>
      <c r="P182" s="28"/>
      <c r="Q182" s="28"/>
      <c r="R182" s="28"/>
      <c r="S182" s="28"/>
      <c r="T182" s="28"/>
      <c r="U182" s="28"/>
      <c r="V182" s="28"/>
      <c r="W182" s="28"/>
      <c r="X182" s="28"/>
      <c r="Y182" s="28"/>
      <c r="Z182" s="28"/>
    </row>
    <row r="183" spans="1:26" ht="15.75" customHeight="1" x14ac:dyDescent="0.25">
      <c r="A183" s="28"/>
      <c r="B183" s="9" t="s">
        <v>38</v>
      </c>
      <c r="C183" s="300"/>
      <c r="D183" s="47">
        <v>579.55999999999995</v>
      </c>
      <c r="E183" s="11">
        <v>571</v>
      </c>
      <c r="F183" s="11">
        <v>567</v>
      </c>
      <c r="G183" s="28"/>
      <c r="H183" s="3"/>
      <c r="I183" s="28"/>
      <c r="J183" s="28"/>
      <c r="K183" s="28"/>
      <c r="L183" s="28"/>
      <c r="M183" s="28"/>
      <c r="N183" s="28"/>
      <c r="O183" s="28"/>
      <c r="P183" s="28"/>
      <c r="Q183" s="28"/>
      <c r="R183" s="28"/>
      <c r="S183" s="28"/>
      <c r="T183" s="28"/>
      <c r="U183" s="28"/>
      <c r="V183" s="28"/>
      <c r="W183" s="28"/>
      <c r="X183" s="28"/>
      <c r="Y183" s="28"/>
      <c r="Z183" s="28"/>
    </row>
    <row r="184" spans="1:26" ht="15.75" customHeight="1" x14ac:dyDescent="0.25">
      <c r="A184" s="28"/>
      <c r="B184" s="9" t="s">
        <v>39</v>
      </c>
      <c r="C184" s="300"/>
      <c r="D184" s="47">
        <v>746.22</v>
      </c>
      <c r="E184" s="11">
        <v>655</v>
      </c>
      <c r="F184" s="11">
        <v>651</v>
      </c>
      <c r="G184" s="28"/>
      <c r="H184" s="3"/>
      <c r="I184" s="28"/>
      <c r="J184" s="28"/>
      <c r="K184" s="28"/>
      <c r="L184" s="28"/>
      <c r="M184" s="28"/>
      <c r="N184" s="28"/>
      <c r="O184" s="28"/>
      <c r="P184" s="28"/>
      <c r="Q184" s="28"/>
      <c r="R184" s="28"/>
      <c r="S184" s="28"/>
      <c r="T184" s="28"/>
      <c r="U184" s="28"/>
      <c r="V184" s="28"/>
      <c r="W184" s="28"/>
      <c r="X184" s="28"/>
      <c r="Y184" s="28"/>
      <c r="Z184" s="28"/>
    </row>
    <row r="185" spans="1:26" ht="15.75" customHeight="1" x14ac:dyDescent="0.25">
      <c r="A185" s="28"/>
      <c r="B185" s="49" t="s">
        <v>41</v>
      </c>
      <c r="C185" s="300"/>
      <c r="D185" s="50">
        <v>869.5</v>
      </c>
      <c r="E185" s="51">
        <v>705</v>
      </c>
      <c r="F185" s="51">
        <v>698</v>
      </c>
      <c r="G185" s="28"/>
      <c r="H185" s="3"/>
      <c r="I185" s="28"/>
      <c r="J185" s="28"/>
      <c r="K185" s="28"/>
      <c r="L185" s="28"/>
      <c r="M185" s="28"/>
      <c r="N185" s="28"/>
      <c r="O185" s="28"/>
      <c r="P185" s="28"/>
      <c r="Q185" s="28"/>
      <c r="R185" s="28"/>
      <c r="S185" s="28"/>
      <c r="T185" s="28"/>
      <c r="U185" s="28"/>
      <c r="V185" s="28"/>
      <c r="W185" s="28"/>
      <c r="X185" s="28"/>
      <c r="Y185" s="28"/>
      <c r="Z185" s="28"/>
    </row>
    <row r="186" spans="1:26" ht="15.75" customHeight="1" x14ac:dyDescent="0.25">
      <c r="A186" s="28"/>
      <c r="B186" s="79"/>
      <c r="C186" s="81"/>
      <c r="D186" s="83"/>
      <c r="E186" s="81"/>
      <c r="F186" s="81"/>
      <c r="G186" s="28"/>
      <c r="H186" s="3"/>
      <c r="I186" s="28"/>
      <c r="J186" s="28"/>
      <c r="K186" s="28"/>
      <c r="L186" s="28"/>
      <c r="M186" s="28"/>
      <c r="N186" s="28"/>
      <c r="O186" s="28"/>
      <c r="P186" s="28"/>
      <c r="Q186" s="28"/>
      <c r="R186" s="28"/>
      <c r="S186" s="28"/>
      <c r="T186" s="28"/>
      <c r="U186" s="28"/>
      <c r="V186" s="28"/>
      <c r="W186" s="28"/>
      <c r="X186" s="28"/>
      <c r="Y186" s="28"/>
      <c r="Z186" s="28"/>
    </row>
    <row r="187" spans="1:26" ht="15.75" customHeight="1" x14ac:dyDescent="0.25">
      <c r="A187" s="28"/>
      <c r="B187" s="9" t="s">
        <v>46</v>
      </c>
      <c r="C187" s="299" t="s">
        <v>47</v>
      </c>
      <c r="D187" s="47">
        <v>88.4</v>
      </c>
      <c r="E187" s="11">
        <v>118</v>
      </c>
      <c r="F187" s="11">
        <v>118</v>
      </c>
      <c r="G187" s="28"/>
      <c r="H187" s="3"/>
      <c r="I187" s="28"/>
      <c r="J187" s="28"/>
      <c r="K187" s="28"/>
      <c r="L187" s="28"/>
      <c r="M187" s="28"/>
      <c r="N187" s="28"/>
      <c r="O187" s="28"/>
      <c r="P187" s="28"/>
      <c r="Q187" s="28"/>
      <c r="R187" s="28"/>
      <c r="S187" s="28"/>
      <c r="T187" s="28"/>
      <c r="U187" s="28"/>
      <c r="V187" s="28"/>
      <c r="W187" s="28"/>
      <c r="X187" s="28"/>
      <c r="Y187" s="28"/>
      <c r="Z187" s="28"/>
    </row>
    <row r="188" spans="1:26" ht="15.75" customHeight="1" x14ac:dyDescent="0.25">
      <c r="A188" s="28"/>
      <c r="B188" s="9" t="s">
        <v>48</v>
      </c>
      <c r="C188" s="300"/>
      <c r="D188" s="47">
        <v>94.6</v>
      </c>
      <c r="E188" s="11">
        <v>119</v>
      </c>
      <c r="F188" s="11">
        <v>119</v>
      </c>
      <c r="G188" s="28"/>
      <c r="H188" s="3"/>
      <c r="I188" s="28"/>
      <c r="J188" s="28"/>
      <c r="K188" s="28"/>
      <c r="L188" s="28"/>
      <c r="M188" s="28"/>
      <c r="N188" s="28"/>
      <c r="O188" s="28"/>
      <c r="P188" s="28"/>
      <c r="Q188" s="28"/>
      <c r="R188" s="28"/>
      <c r="S188" s="28"/>
      <c r="T188" s="28"/>
      <c r="U188" s="28"/>
      <c r="V188" s="28"/>
      <c r="W188" s="28"/>
      <c r="X188" s="28"/>
      <c r="Y188" s="28"/>
      <c r="Z188" s="28"/>
    </row>
    <row r="189" spans="1:26" ht="15.75" customHeight="1" x14ac:dyDescent="0.25">
      <c r="A189" s="28"/>
      <c r="B189" s="41"/>
      <c r="C189" s="42"/>
      <c r="D189" s="69"/>
      <c r="E189" s="11"/>
      <c r="F189" s="11"/>
      <c r="G189" s="28"/>
      <c r="H189" s="3"/>
      <c r="I189" s="28"/>
      <c r="J189" s="28"/>
      <c r="K189" s="28"/>
      <c r="L189" s="28"/>
      <c r="M189" s="28"/>
      <c r="N189" s="28"/>
      <c r="O189" s="28"/>
      <c r="P189" s="28"/>
      <c r="Q189" s="28"/>
      <c r="R189" s="28"/>
      <c r="S189" s="28"/>
      <c r="T189" s="28"/>
      <c r="U189" s="28"/>
      <c r="V189" s="28"/>
      <c r="W189" s="28"/>
      <c r="X189" s="28"/>
      <c r="Y189" s="28"/>
      <c r="Z189" s="28"/>
    </row>
    <row r="190" spans="1:26" ht="15.75" customHeight="1" x14ac:dyDescent="0.25">
      <c r="A190" s="28"/>
      <c r="B190" s="9" t="s">
        <v>50</v>
      </c>
      <c r="C190" s="302" t="s">
        <v>51</v>
      </c>
      <c r="D190" s="47">
        <v>271.44400000000002</v>
      </c>
      <c r="E190" s="11">
        <v>364</v>
      </c>
      <c r="F190" s="11">
        <v>365</v>
      </c>
      <c r="G190" s="28"/>
      <c r="H190" s="3"/>
      <c r="I190" s="28"/>
      <c r="J190" s="28"/>
      <c r="K190" s="28"/>
      <c r="L190" s="28"/>
      <c r="M190" s="28"/>
      <c r="N190" s="28"/>
      <c r="O190" s="28"/>
      <c r="P190" s="28"/>
      <c r="Q190" s="28"/>
      <c r="R190" s="28"/>
      <c r="S190" s="28"/>
      <c r="T190" s="28"/>
      <c r="U190" s="28"/>
      <c r="V190" s="28"/>
      <c r="W190" s="28"/>
      <c r="X190" s="28"/>
      <c r="Y190" s="28"/>
      <c r="Z190" s="28"/>
    </row>
    <row r="191" spans="1:26" ht="15.75" customHeight="1" x14ac:dyDescent="0.25">
      <c r="A191" s="28"/>
      <c r="B191" s="9" t="s">
        <v>54</v>
      </c>
      <c r="C191" s="300"/>
      <c r="D191" s="47">
        <v>550.22199999999998</v>
      </c>
      <c r="E191" s="11">
        <v>663</v>
      </c>
      <c r="F191" s="11">
        <v>656</v>
      </c>
      <c r="G191" s="28"/>
      <c r="H191" s="3"/>
      <c r="I191" s="28"/>
      <c r="J191" s="28"/>
      <c r="K191" s="28"/>
      <c r="L191" s="28"/>
      <c r="M191" s="28"/>
      <c r="N191" s="28"/>
      <c r="O191" s="28"/>
      <c r="P191" s="28"/>
      <c r="Q191" s="28"/>
      <c r="R191" s="28"/>
      <c r="S191" s="28"/>
      <c r="T191" s="28"/>
      <c r="U191" s="28"/>
      <c r="V191" s="28"/>
      <c r="W191" s="28"/>
      <c r="X191" s="28"/>
      <c r="Y191" s="28"/>
      <c r="Z191" s="28"/>
    </row>
    <row r="192" spans="1:26" ht="15.75" customHeight="1" x14ac:dyDescent="0.25">
      <c r="A192" s="28"/>
      <c r="B192" s="9" t="s">
        <v>55</v>
      </c>
      <c r="C192" s="300"/>
      <c r="D192" s="47">
        <v>609</v>
      </c>
      <c r="E192" s="11">
        <v>681</v>
      </c>
      <c r="F192" s="11">
        <v>716</v>
      </c>
      <c r="G192" s="28"/>
      <c r="H192" s="3"/>
      <c r="I192" s="28"/>
      <c r="J192" s="28"/>
      <c r="K192" s="28"/>
      <c r="L192" s="28"/>
      <c r="M192" s="28"/>
      <c r="N192" s="28"/>
      <c r="O192" s="28"/>
      <c r="P192" s="28"/>
      <c r="Q192" s="28"/>
      <c r="R192" s="28"/>
      <c r="S192" s="28"/>
      <c r="T192" s="28"/>
      <c r="U192" s="28"/>
      <c r="V192" s="28"/>
      <c r="W192" s="28"/>
      <c r="X192" s="28"/>
      <c r="Y192" s="28"/>
      <c r="Z192" s="28"/>
    </row>
    <row r="193" spans="1:26" ht="15.75" customHeight="1" x14ac:dyDescent="0.25">
      <c r="A193" s="28"/>
      <c r="B193" s="9" t="s">
        <v>56</v>
      </c>
      <c r="C193" s="300"/>
      <c r="D193" s="47">
        <v>739.11099999999999</v>
      </c>
      <c r="E193" s="11">
        <v>808</v>
      </c>
      <c r="F193" s="11">
        <v>835</v>
      </c>
      <c r="G193" s="28"/>
      <c r="H193" s="3"/>
      <c r="I193" s="28"/>
      <c r="J193" s="28"/>
      <c r="K193" s="28"/>
      <c r="L193" s="28"/>
      <c r="M193" s="28"/>
      <c r="N193" s="28"/>
      <c r="O193" s="28"/>
      <c r="P193" s="28"/>
      <c r="Q193" s="28"/>
      <c r="R193" s="28"/>
      <c r="S193" s="28"/>
      <c r="T193" s="28"/>
      <c r="U193" s="28"/>
      <c r="V193" s="28"/>
      <c r="W193" s="28"/>
      <c r="X193" s="28"/>
      <c r="Y193" s="28"/>
      <c r="Z193" s="28"/>
    </row>
    <row r="194" spans="1:26" ht="15.75" customHeight="1" x14ac:dyDescent="0.25">
      <c r="A194" s="28"/>
      <c r="B194" s="49" t="s">
        <v>57</v>
      </c>
      <c r="C194" s="300"/>
      <c r="D194" s="50">
        <v>746.88900000000001</v>
      </c>
      <c r="E194" s="51">
        <v>709</v>
      </c>
      <c r="F194" s="51">
        <v>712</v>
      </c>
      <c r="G194" s="28"/>
      <c r="H194" s="3"/>
      <c r="I194" s="28"/>
      <c r="J194" s="28"/>
      <c r="K194" s="28"/>
      <c r="L194" s="28"/>
      <c r="M194" s="28"/>
      <c r="N194" s="28"/>
      <c r="O194" s="28"/>
      <c r="P194" s="28"/>
      <c r="Q194" s="28"/>
      <c r="R194" s="28"/>
      <c r="S194" s="28"/>
      <c r="T194" s="28"/>
      <c r="U194" s="28"/>
      <c r="V194" s="28"/>
      <c r="W194" s="28"/>
      <c r="X194" s="28"/>
      <c r="Y194" s="28"/>
      <c r="Z194" s="28"/>
    </row>
    <row r="195" spans="1:26" ht="15.75" customHeight="1" x14ac:dyDescent="0.25">
      <c r="A195" s="28"/>
      <c r="B195" s="79"/>
      <c r="C195" s="81"/>
      <c r="D195" s="83"/>
      <c r="E195" s="81"/>
      <c r="F195" s="81"/>
      <c r="G195" s="28"/>
      <c r="H195" s="3"/>
      <c r="I195" s="28"/>
      <c r="J195" s="28"/>
      <c r="K195" s="28"/>
      <c r="L195" s="28"/>
      <c r="M195" s="28"/>
      <c r="N195" s="28"/>
      <c r="O195" s="28"/>
      <c r="P195" s="28"/>
      <c r="Q195" s="28"/>
      <c r="R195" s="28"/>
      <c r="S195" s="28"/>
      <c r="T195" s="28"/>
      <c r="U195" s="28"/>
      <c r="V195" s="28"/>
      <c r="W195" s="28"/>
      <c r="X195" s="28"/>
      <c r="Y195" s="28"/>
      <c r="Z195" s="28"/>
    </row>
    <row r="196" spans="1:26" ht="15.75" customHeight="1" x14ac:dyDescent="0.25">
      <c r="A196" s="28"/>
      <c r="B196" s="9" t="s">
        <v>60</v>
      </c>
      <c r="C196" s="299" t="s">
        <v>62</v>
      </c>
      <c r="D196" s="47">
        <v>19.36</v>
      </c>
      <c r="E196" s="11">
        <v>51</v>
      </c>
      <c r="F196" s="11">
        <f t="shared" ref="F196:F198" si="1">E196-5</f>
        <v>46</v>
      </c>
      <c r="G196" s="28"/>
      <c r="H196" s="3"/>
      <c r="I196" s="28"/>
      <c r="J196" s="28"/>
      <c r="K196" s="28"/>
      <c r="L196" s="28"/>
      <c r="M196" s="28"/>
      <c r="N196" s="28"/>
      <c r="O196" s="28"/>
      <c r="P196" s="28"/>
      <c r="Q196" s="28"/>
      <c r="R196" s="28"/>
      <c r="S196" s="28"/>
      <c r="T196" s="28"/>
      <c r="U196" s="28"/>
      <c r="V196" s="28"/>
      <c r="W196" s="28"/>
      <c r="X196" s="28"/>
      <c r="Y196" s="28"/>
      <c r="Z196" s="28"/>
    </row>
    <row r="197" spans="1:26" ht="15.75" customHeight="1" x14ac:dyDescent="0.25">
      <c r="A197" s="28"/>
      <c r="B197" s="9" t="s">
        <v>64</v>
      </c>
      <c r="C197" s="300"/>
      <c r="D197" s="47">
        <v>33.31</v>
      </c>
      <c r="E197" s="11">
        <v>54</v>
      </c>
      <c r="F197" s="11">
        <f t="shared" si="1"/>
        <v>49</v>
      </c>
      <c r="G197" s="28"/>
      <c r="H197" s="3"/>
      <c r="I197" s="28"/>
      <c r="J197" s="28"/>
      <c r="K197" s="28"/>
      <c r="L197" s="28"/>
      <c r="M197" s="28"/>
      <c r="N197" s="28"/>
      <c r="O197" s="28"/>
      <c r="P197" s="28"/>
      <c r="Q197" s="28"/>
      <c r="R197" s="28"/>
      <c r="S197" s="28"/>
      <c r="T197" s="28"/>
      <c r="U197" s="28"/>
      <c r="V197" s="28"/>
      <c r="W197" s="28"/>
      <c r="X197" s="28"/>
      <c r="Y197" s="28"/>
      <c r="Z197" s="28"/>
    </row>
    <row r="198" spans="1:26" ht="15.75" customHeight="1" x14ac:dyDescent="0.25">
      <c r="A198" s="28"/>
      <c r="B198" s="9" t="s">
        <v>65</v>
      </c>
      <c r="C198" s="301"/>
      <c r="D198" s="47">
        <v>41.74</v>
      </c>
      <c r="E198" s="11">
        <v>53</v>
      </c>
      <c r="F198" s="11">
        <f t="shared" si="1"/>
        <v>48</v>
      </c>
      <c r="G198" s="28"/>
      <c r="H198" s="3"/>
      <c r="I198" s="28"/>
      <c r="J198" s="28"/>
      <c r="K198" s="28"/>
      <c r="L198" s="28"/>
      <c r="M198" s="28"/>
      <c r="N198" s="28"/>
      <c r="O198" s="28"/>
      <c r="P198" s="28"/>
      <c r="Q198" s="28"/>
      <c r="R198" s="28"/>
      <c r="S198" s="28"/>
      <c r="T198" s="28"/>
      <c r="U198" s="28"/>
      <c r="V198" s="28"/>
      <c r="W198" s="28"/>
      <c r="X198" s="28"/>
      <c r="Y198" s="28"/>
      <c r="Z198" s="28"/>
    </row>
    <row r="199" spans="1:26" ht="15.75" customHeight="1" x14ac:dyDescent="0.25">
      <c r="A199" s="28"/>
      <c r="B199" s="41"/>
      <c r="C199" s="42"/>
      <c r="D199" s="69"/>
      <c r="E199" s="11"/>
      <c r="F199" s="11"/>
      <c r="G199" s="28"/>
      <c r="H199" s="3"/>
      <c r="I199" s="28"/>
      <c r="J199" s="28"/>
      <c r="K199" s="28"/>
      <c r="L199" s="28"/>
      <c r="M199" s="28"/>
      <c r="N199" s="28"/>
      <c r="O199" s="28"/>
      <c r="P199" s="28"/>
      <c r="Q199" s="28"/>
      <c r="R199" s="28"/>
      <c r="S199" s="28"/>
      <c r="T199" s="28"/>
      <c r="U199" s="28"/>
      <c r="V199" s="28"/>
      <c r="W199" s="28"/>
      <c r="X199" s="28"/>
      <c r="Y199" s="28"/>
      <c r="Z199" s="28"/>
    </row>
    <row r="200" spans="1:26" ht="15.75" customHeight="1" x14ac:dyDescent="0.25">
      <c r="A200" s="28"/>
      <c r="B200" s="9" t="s">
        <v>66</v>
      </c>
      <c r="C200" s="302" t="s">
        <v>68</v>
      </c>
      <c r="D200" s="47">
        <v>204.5</v>
      </c>
      <c r="E200" s="11">
        <v>247</v>
      </c>
      <c r="F200" s="11">
        <f t="shared" ref="F200:F201" si="2">E200-5</f>
        <v>242</v>
      </c>
      <c r="G200" s="28"/>
      <c r="H200" s="3"/>
      <c r="I200" s="28"/>
      <c r="J200" s="28"/>
      <c r="K200" s="28"/>
      <c r="L200" s="28"/>
      <c r="M200" s="28"/>
      <c r="N200" s="28"/>
      <c r="O200" s="28"/>
      <c r="P200" s="28"/>
      <c r="Q200" s="28"/>
      <c r="R200" s="28"/>
      <c r="S200" s="28"/>
      <c r="T200" s="28"/>
      <c r="U200" s="28"/>
      <c r="V200" s="28"/>
      <c r="W200" s="28"/>
      <c r="X200" s="28"/>
      <c r="Y200" s="28"/>
      <c r="Z200" s="28"/>
    </row>
    <row r="201" spans="1:26" ht="15.75" customHeight="1" x14ac:dyDescent="0.25">
      <c r="A201" s="28"/>
      <c r="B201" s="49" t="s">
        <v>69</v>
      </c>
      <c r="C201" s="300"/>
      <c r="D201" s="50">
        <v>277.7</v>
      </c>
      <c r="E201" s="51">
        <v>280</v>
      </c>
      <c r="F201" s="11">
        <f t="shared" si="2"/>
        <v>275</v>
      </c>
      <c r="G201" s="28"/>
      <c r="H201" s="3"/>
      <c r="I201" s="28"/>
      <c r="J201" s="28"/>
      <c r="K201" s="28"/>
      <c r="L201" s="28"/>
      <c r="M201" s="28"/>
      <c r="N201" s="28"/>
      <c r="O201" s="28"/>
      <c r="P201" s="28"/>
      <c r="Q201" s="28"/>
      <c r="R201" s="28"/>
      <c r="S201" s="28"/>
      <c r="T201" s="28"/>
      <c r="U201" s="28"/>
      <c r="V201" s="28"/>
      <c r="W201" s="28"/>
      <c r="X201" s="28"/>
      <c r="Y201" s="28"/>
      <c r="Z201" s="28"/>
    </row>
    <row r="202" spans="1:26" ht="15.75" customHeight="1" x14ac:dyDescent="0.25">
      <c r="A202" s="28"/>
      <c r="B202" s="44"/>
      <c r="C202" s="46"/>
      <c r="D202" s="83"/>
      <c r="E202" s="46"/>
      <c r="F202" s="46"/>
      <c r="G202" s="28"/>
      <c r="H202" s="3"/>
      <c r="I202" s="28"/>
      <c r="J202" s="28"/>
      <c r="K202" s="28"/>
      <c r="L202" s="28"/>
      <c r="M202" s="28"/>
      <c r="N202" s="28"/>
      <c r="O202" s="28"/>
      <c r="P202" s="28"/>
      <c r="Q202" s="28"/>
      <c r="R202" s="28"/>
      <c r="S202" s="28"/>
      <c r="T202" s="28"/>
      <c r="U202" s="28"/>
      <c r="V202" s="28"/>
      <c r="W202" s="28"/>
      <c r="X202" s="28"/>
      <c r="Y202" s="28"/>
      <c r="Z202" s="28"/>
    </row>
    <row r="203" spans="1:26" ht="15.75" customHeight="1" x14ac:dyDescent="0.25">
      <c r="A203" s="28"/>
      <c r="B203" s="9" t="s">
        <v>69</v>
      </c>
      <c r="C203" s="299" t="s">
        <v>71</v>
      </c>
      <c r="D203" s="47">
        <v>10.283300000000001</v>
      </c>
      <c r="E203" s="11">
        <v>37</v>
      </c>
      <c r="F203" s="11">
        <f t="shared" ref="F203:F205" si="3">E203-5</f>
        <v>32</v>
      </c>
      <c r="G203" s="28"/>
      <c r="H203" s="3"/>
      <c r="I203" s="28"/>
      <c r="J203" s="28"/>
      <c r="K203" s="28"/>
      <c r="L203" s="28"/>
      <c r="M203" s="28"/>
      <c r="N203" s="28"/>
      <c r="O203" s="28"/>
      <c r="P203" s="28"/>
      <c r="Q203" s="28"/>
      <c r="R203" s="28"/>
      <c r="S203" s="28"/>
      <c r="T203" s="28"/>
      <c r="U203" s="28"/>
      <c r="V203" s="28"/>
      <c r="W203" s="28"/>
      <c r="X203" s="28"/>
      <c r="Y203" s="28"/>
      <c r="Z203" s="28"/>
    </row>
    <row r="204" spans="1:26" ht="15.75" customHeight="1" x14ac:dyDescent="0.25">
      <c r="A204" s="28"/>
      <c r="B204" s="9" t="s">
        <v>72</v>
      </c>
      <c r="C204" s="300"/>
      <c r="D204" s="47">
        <v>11.8833</v>
      </c>
      <c r="E204" s="11">
        <v>39</v>
      </c>
      <c r="F204" s="11">
        <f t="shared" si="3"/>
        <v>34</v>
      </c>
      <c r="G204" s="28"/>
      <c r="H204" s="3"/>
      <c r="I204" s="28"/>
      <c r="J204" s="28"/>
      <c r="K204" s="28"/>
      <c r="L204" s="28"/>
      <c r="M204" s="28"/>
      <c r="N204" s="28"/>
      <c r="O204" s="28"/>
      <c r="P204" s="28"/>
      <c r="Q204" s="28"/>
      <c r="R204" s="28"/>
      <c r="S204" s="28"/>
      <c r="T204" s="28"/>
      <c r="U204" s="28"/>
      <c r="V204" s="28"/>
      <c r="W204" s="28"/>
      <c r="X204" s="28"/>
      <c r="Y204" s="28"/>
      <c r="Z204" s="28"/>
    </row>
    <row r="205" spans="1:26" ht="15.75" customHeight="1" x14ac:dyDescent="0.25">
      <c r="A205" s="28"/>
      <c r="B205" s="9" t="s">
        <v>73</v>
      </c>
      <c r="C205" s="301"/>
      <c r="D205" s="47">
        <v>17.433299999999999</v>
      </c>
      <c r="E205" s="11">
        <v>40</v>
      </c>
      <c r="F205" s="11">
        <f t="shared" si="3"/>
        <v>35</v>
      </c>
      <c r="G205" s="28"/>
      <c r="H205" s="3"/>
      <c r="I205" s="28"/>
      <c r="J205" s="28"/>
      <c r="K205" s="28"/>
      <c r="L205" s="28"/>
      <c r="M205" s="28"/>
      <c r="N205" s="28"/>
      <c r="O205" s="28"/>
      <c r="P205" s="28"/>
      <c r="Q205" s="28"/>
      <c r="R205" s="28"/>
      <c r="S205" s="28"/>
      <c r="T205" s="28"/>
      <c r="U205" s="28"/>
      <c r="V205" s="28"/>
      <c r="W205" s="28"/>
      <c r="X205" s="28"/>
      <c r="Y205" s="28"/>
      <c r="Z205" s="28"/>
    </row>
    <row r="206" spans="1:26" ht="15.75" customHeight="1" x14ac:dyDescent="0.25">
      <c r="A206" s="28"/>
      <c r="B206" s="41"/>
      <c r="C206" s="42"/>
      <c r="D206" s="69"/>
      <c r="E206" s="11"/>
      <c r="F206" s="11"/>
      <c r="G206" s="28"/>
      <c r="H206" s="3"/>
      <c r="I206" s="28"/>
      <c r="J206" s="28"/>
      <c r="K206" s="28"/>
      <c r="L206" s="28"/>
      <c r="M206" s="28"/>
      <c r="N206" s="28"/>
      <c r="O206" s="28"/>
      <c r="P206" s="28"/>
      <c r="Q206" s="28"/>
      <c r="R206" s="28"/>
      <c r="S206" s="28"/>
      <c r="T206" s="28"/>
      <c r="U206" s="28"/>
      <c r="V206" s="28"/>
      <c r="W206" s="28"/>
      <c r="X206" s="28"/>
      <c r="Y206" s="28"/>
      <c r="Z206" s="28"/>
    </row>
    <row r="207" spans="1:26" ht="15.75" customHeight="1" x14ac:dyDescent="0.25">
      <c r="A207" s="28"/>
      <c r="B207" s="9" t="s">
        <v>76</v>
      </c>
      <c r="C207" s="302" t="s">
        <v>77</v>
      </c>
      <c r="D207" s="47">
        <v>117.467</v>
      </c>
      <c r="E207" s="11">
        <v>228</v>
      </c>
      <c r="F207" s="11">
        <f t="shared" ref="F207:F210" si="4">E207-5</f>
        <v>223</v>
      </c>
      <c r="G207" s="28"/>
      <c r="H207" s="3"/>
      <c r="I207" s="28"/>
      <c r="J207" s="28"/>
      <c r="K207" s="28"/>
      <c r="L207" s="28"/>
      <c r="M207" s="28"/>
      <c r="N207" s="28"/>
      <c r="O207" s="28"/>
      <c r="P207" s="28"/>
      <c r="Q207" s="28"/>
      <c r="R207" s="28"/>
      <c r="S207" s="28"/>
      <c r="T207" s="28"/>
      <c r="U207" s="28"/>
      <c r="V207" s="28"/>
      <c r="W207" s="28"/>
      <c r="X207" s="28"/>
      <c r="Y207" s="28"/>
      <c r="Z207" s="28"/>
    </row>
    <row r="208" spans="1:26" ht="15.75" customHeight="1" x14ac:dyDescent="0.25">
      <c r="A208" s="28"/>
      <c r="B208" s="9" t="s">
        <v>78</v>
      </c>
      <c r="C208" s="300"/>
      <c r="D208" s="47">
        <v>187.833</v>
      </c>
      <c r="E208" s="11">
        <v>208</v>
      </c>
      <c r="F208" s="11">
        <f t="shared" si="4"/>
        <v>203</v>
      </c>
      <c r="G208" s="28"/>
      <c r="H208" s="3"/>
      <c r="I208" s="28"/>
      <c r="J208" s="28"/>
      <c r="K208" s="28"/>
      <c r="L208" s="28"/>
      <c r="M208" s="28"/>
      <c r="N208" s="28"/>
      <c r="O208" s="28"/>
      <c r="P208" s="28"/>
      <c r="Q208" s="28"/>
      <c r="R208" s="28"/>
      <c r="S208" s="28"/>
      <c r="T208" s="28"/>
      <c r="U208" s="28"/>
      <c r="V208" s="28"/>
      <c r="W208" s="28"/>
      <c r="X208" s="28"/>
      <c r="Y208" s="28"/>
      <c r="Z208" s="28"/>
    </row>
    <row r="209" spans="1:26" ht="15.75" customHeight="1" x14ac:dyDescent="0.25">
      <c r="A209" s="28"/>
      <c r="B209" s="9" t="s">
        <v>79</v>
      </c>
      <c r="C209" s="300"/>
      <c r="D209" s="47">
        <v>218.333</v>
      </c>
      <c r="E209" s="11">
        <v>249</v>
      </c>
      <c r="F209" s="11">
        <f t="shared" si="4"/>
        <v>244</v>
      </c>
      <c r="G209" s="28"/>
      <c r="H209" s="3"/>
      <c r="I209" s="28"/>
      <c r="J209" s="28"/>
      <c r="K209" s="28"/>
      <c r="L209" s="28"/>
      <c r="M209" s="28"/>
      <c r="N209" s="28"/>
      <c r="O209" s="28"/>
      <c r="P209" s="28"/>
      <c r="Q209" s="28"/>
      <c r="R209" s="28"/>
      <c r="S209" s="28"/>
      <c r="T209" s="28"/>
      <c r="U209" s="28"/>
      <c r="V209" s="28"/>
      <c r="W209" s="28"/>
      <c r="X209" s="28"/>
      <c r="Y209" s="28"/>
      <c r="Z209" s="28"/>
    </row>
    <row r="210" spans="1:26" ht="15.75" customHeight="1" x14ac:dyDescent="0.25">
      <c r="A210" s="28"/>
      <c r="B210" s="49" t="s">
        <v>80</v>
      </c>
      <c r="C210" s="300"/>
      <c r="D210" s="50">
        <v>238.5</v>
      </c>
      <c r="E210" s="51">
        <v>197</v>
      </c>
      <c r="F210" s="11">
        <f t="shared" si="4"/>
        <v>192</v>
      </c>
      <c r="G210" s="28"/>
      <c r="H210" s="3"/>
      <c r="I210" s="28"/>
      <c r="J210" s="28"/>
      <c r="K210" s="28"/>
      <c r="L210" s="28"/>
      <c r="M210" s="28"/>
      <c r="N210" s="28"/>
      <c r="O210" s="28"/>
      <c r="P210" s="28"/>
      <c r="Q210" s="28"/>
      <c r="R210" s="28"/>
      <c r="S210" s="28"/>
      <c r="T210" s="28"/>
      <c r="U210" s="28"/>
      <c r="V210" s="28"/>
      <c r="W210" s="28"/>
      <c r="X210" s="28"/>
      <c r="Y210" s="28"/>
      <c r="Z210" s="28"/>
    </row>
    <row r="211" spans="1:26" ht="15.75" customHeight="1" x14ac:dyDescent="0.25">
      <c r="A211" s="28"/>
      <c r="B211" s="44"/>
      <c r="C211" s="46"/>
      <c r="D211" s="83"/>
      <c r="E211" s="46"/>
      <c r="F211" s="46"/>
      <c r="G211" s="28"/>
      <c r="H211" s="3"/>
      <c r="I211" s="28"/>
      <c r="J211" s="28"/>
      <c r="K211" s="28"/>
      <c r="L211" s="28"/>
      <c r="M211" s="28"/>
      <c r="N211" s="28"/>
      <c r="O211" s="28"/>
      <c r="P211" s="28"/>
      <c r="Q211" s="28"/>
      <c r="R211" s="28"/>
      <c r="S211" s="28"/>
      <c r="T211" s="28"/>
      <c r="U211" s="28"/>
      <c r="V211" s="28"/>
      <c r="W211" s="28"/>
      <c r="X211" s="28"/>
      <c r="Y211" s="28"/>
      <c r="Z211" s="28"/>
    </row>
    <row r="212" spans="1:26" ht="15.75" customHeight="1" x14ac:dyDescent="0.25">
      <c r="A212" s="28"/>
      <c r="B212" s="9" t="s">
        <v>81</v>
      </c>
      <c r="C212" s="299" t="s">
        <v>82</v>
      </c>
      <c r="D212" s="47">
        <v>2</v>
      </c>
      <c r="E212" s="11">
        <v>48</v>
      </c>
      <c r="F212" s="11">
        <f t="shared" ref="F212:F214" si="5">E212-5</f>
        <v>43</v>
      </c>
      <c r="G212" s="28"/>
      <c r="H212" s="3"/>
      <c r="I212" s="28"/>
      <c r="J212" s="28"/>
      <c r="K212" s="28"/>
      <c r="L212" s="28"/>
      <c r="M212" s="28"/>
      <c r="N212" s="28"/>
      <c r="O212" s="28"/>
      <c r="P212" s="28"/>
      <c r="Q212" s="28"/>
      <c r="R212" s="28"/>
      <c r="S212" s="28"/>
      <c r="T212" s="28"/>
      <c r="U212" s="28"/>
      <c r="V212" s="28"/>
      <c r="W212" s="28"/>
      <c r="X212" s="28"/>
      <c r="Y212" s="28"/>
      <c r="Z212" s="28"/>
    </row>
    <row r="213" spans="1:26" ht="15.75" customHeight="1" x14ac:dyDescent="0.25">
      <c r="A213" s="28"/>
      <c r="B213" s="9" t="s">
        <v>83</v>
      </c>
      <c r="C213" s="300"/>
      <c r="D213" s="47">
        <v>7.133</v>
      </c>
      <c r="E213" s="11">
        <v>55</v>
      </c>
      <c r="F213" s="11">
        <f t="shared" si="5"/>
        <v>50</v>
      </c>
      <c r="G213" s="28"/>
      <c r="H213" s="3"/>
      <c r="I213" s="28"/>
      <c r="J213" s="28"/>
      <c r="K213" s="28"/>
      <c r="L213" s="28"/>
      <c r="M213" s="28"/>
      <c r="N213" s="28"/>
      <c r="O213" s="28"/>
      <c r="P213" s="28"/>
      <c r="Q213" s="28"/>
      <c r="R213" s="28"/>
      <c r="S213" s="28"/>
      <c r="T213" s="28"/>
      <c r="U213" s="28"/>
      <c r="V213" s="28"/>
      <c r="W213" s="28"/>
      <c r="X213" s="28"/>
      <c r="Y213" s="28"/>
      <c r="Z213" s="28"/>
    </row>
    <row r="214" spans="1:26" ht="15.75" customHeight="1" x14ac:dyDescent="0.25">
      <c r="A214" s="28"/>
      <c r="B214" s="9" t="s">
        <v>84</v>
      </c>
      <c r="C214" s="301"/>
      <c r="D214" s="47">
        <v>10.72</v>
      </c>
      <c r="E214" s="11">
        <v>53</v>
      </c>
      <c r="F214" s="11">
        <f t="shared" si="5"/>
        <v>48</v>
      </c>
      <c r="G214" s="28"/>
      <c r="H214" s="3"/>
      <c r="I214" s="28"/>
      <c r="J214" s="28"/>
      <c r="K214" s="28"/>
      <c r="L214" s="28"/>
      <c r="M214" s="28"/>
      <c r="N214" s="28"/>
      <c r="O214" s="28"/>
      <c r="P214" s="28"/>
      <c r="Q214" s="28"/>
      <c r="R214" s="28"/>
      <c r="S214" s="28"/>
      <c r="T214" s="28"/>
      <c r="U214" s="28"/>
      <c r="V214" s="28"/>
      <c r="W214" s="28"/>
      <c r="X214" s="28"/>
      <c r="Y214" s="28"/>
      <c r="Z214" s="28"/>
    </row>
    <row r="215" spans="1:26" ht="15.75" customHeight="1" x14ac:dyDescent="0.25">
      <c r="A215" s="28"/>
      <c r="B215" s="41"/>
      <c r="C215" s="42"/>
      <c r="D215" s="69"/>
      <c r="E215" s="11"/>
      <c r="F215" s="11"/>
      <c r="G215" s="28"/>
      <c r="H215" s="3"/>
      <c r="I215" s="28"/>
      <c r="J215" s="28"/>
      <c r="K215" s="28"/>
      <c r="L215" s="28"/>
      <c r="M215" s="28"/>
      <c r="N215" s="28"/>
      <c r="O215" s="28"/>
      <c r="P215" s="28"/>
      <c r="Q215" s="28"/>
      <c r="R215" s="28"/>
      <c r="S215" s="28"/>
      <c r="T215" s="28"/>
      <c r="U215" s="28"/>
      <c r="V215" s="28"/>
      <c r="W215" s="28"/>
      <c r="X215" s="28"/>
      <c r="Y215" s="28"/>
      <c r="Z215" s="28"/>
    </row>
    <row r="216" spans="1:26" ht="15.75" customHeight="1" x14ac:dyDescent="0.25">
      <c r="A216" s="28"/>
      <c r="B216" s="9" t="s">
        <v>86</v>
      </c>
      <c r="C216" s="302" t="s">
        <v>87</v>
      </c>
      <c r="D216" s="47">
        <v>20.466999999999999</v>
      </c>
      <c r="E216" s="11">
        <v>50</v>
      </c>
      <c r="F216" s="11">
        <f t="shared" ref="F216:F217" si="6">E216-5</f>
        <v>45</v>
      </c>
      <c r="G216" s="28"/>
      <c r="H216" s="3"/>
      <c r="I216" s="28"/>
      <c r="J216" s="28"/>
      <c r="K216" s="28"/>
      <c r="L216" s="28"/>
      <c r="M216" s="28"/>
      <c r="N216" s="28"/>
      <c r="O216" s="28"/>
      <c r="P216" s="28"/>
      <c r="Q216" s="28"/>
      <c r="R216" s="28"/>
      <c r="S216" s="28"/>
      <c r="T216" s="28"/>
      <c r="U216" s="28"/>
      <c r="V216" s="28"/>
      <c r="W216" s="28"/>
      <c r="X216" s="28"/>
      <c r="Y216" s="28"/>
      <c r="Z216" s="28"/>
    </row>
    <row r="217" spans="1:26" ht="15.75" customHeight="1" x14ac:dyDescent="0.25">
      <c r="A217" s="28"/>
      <c r="B217" s="49" t="s">
        <v>88</v>
      </c>
      <c r="C217" s="300"/>
      <c r="D217" s="50">
        <v>20.367000000000001</v>
      </c>
      <c r="E217" s="51">
        <v>50</v>
      </c>
      <c r="F217" s="11">
        <f t="shared" si="6"/>
        <v>45</v>
      </c>
      <c r="G217" s="28"/>
      <c r="H217" s="3"/>
      <c r="I217" s="28"/>
      <c r="J217" s="28"/>
      <c r="K217" s="28"/>
      <c r="L217" s="28"/>
      <c r="M217" s="28"/>
      <c r="N217" s="28"/>
      <c r="O217" s="28"/>
      <c r="P217" s="28"/>
      <c r="Q217" s="28"/>
      <c r="R217" s="28"/>
      <c r="S217" s="28"/>
      <c r="T217" s="28"/>
      <c r="U217" s="28"/>
      <c r="V217" s="28"/>
      <c r="W217" s="28"/>
      <c r="X217" s="28"/>
      <c r="Y217" s="28"/>
      <c r="Z217" s="28"/>
    </row>
    <row r="218" spans="1:26" ht="15.75" customHeight="1" x14ac:dyDescent="0.25">
      <c r="A218" s="28"/>
      <c r="B218" s="44"/>
      <c r="C218" s="46"/>
      <c r="D218" s="83"/>
      <c r="E218" s="46"/>
      <c r="F218" s="46"/>
      <c r="G218" s="28"/>
      <c r="H218" s="3"/>
      <c r="I218" s="28"/>
      <c r="J218" s="28"/>
      <c r="K218" s="28"/>
      <c r="L218" s="28"/>
      <c r="M218" s="28"/>
      <c r="N218" s="28"/>
      <c r="O218" s="28"/>
      <c r="P218" s="28"/>
      <c r="Q218" s="28"/>
      <c r="R218" s="28"/>
      <c r="S218" s="28"/>
      <c r="T218" s="28"/>
      <c r="U218" s="28"/>
      <c r="V218" s="28"/>
      <c r="W218" s="28"/>
      <c r="X218" s="28"/>
      <c r="Y218" s="28"/>
      <c r="Z218" s="28"/>
    </row>
    <row r="219" spans="1:26" ht="15.75" customHeight="1" x14ac:dyDescent="0.25">
      <c r="A219" s="28"/>
      <c r="B219" s="9" t="s">
        <v>89</v>
      </c>
      <c r="C219" s="299" t="s">
        <v>90</v>
      </c>
      <c r="D219" s="47">
        <v>5.15</v>
      </c>
      <c r="E219" s="11">
        <v>40</v>
      </c>
      <c r="F219" s="11">
        <f t="shared" ref="F219:F220" si="7">E219-5</f>
        <v>35</v>
      </c>
      <c r="G219" s="28"/>
      <c r="H219" s="3"/>
      <c r="I219" s="28"/>
      <c r="J219" s="28"/>
      <c r="K219" s="28"/>
      <c r="L219" s="28"/>
      <c r="M219" s="28"/>
      <c r="N219" s="28"/>
      <c r="O219" s="28"/>
      <c r="P219" s="28"/>
      <c r="Q219" s="28"/>
      <c r="R219" s="28"/>
      <c r="S219" s="28"/>
      <c r="T219" s="28"/>
      <c r="U219" s="28"/>
      <c r="V219" s="28"/>
      <c r="W219" s="28"/>
      <c r="X219" s="28"/>
      <c r="Y219" s="28"/>
      <c r="Z219" s="28"/>
    </row>
    <row r="220" spans="1:26" ht="15.75" customHeight="1" x14ac:dyDescent="0.25">
      <c r="A220" s="28"/>
      <c r="B220" s="49" t="s">
        <v>91</v>
      </c>
      <c r="C220" s="300"/>
      <c r="D220" s="50">
        <v>16.2</v>
      </c>
      <c r="E220" s="51">
        <v>41</v>
      </c>
      <c r="F220" s="11">
        <f t="shared" si="7"/>
        <v>36</v>
      </c>
      <c r="G220" s="28"/>
      <c r="H220" s="3"/>
      <c r="I220" s="28"/>
      <c r="J220" s="28"/>
      <c r="K220" s="28"/>
      <c r="L220" s="28"/>
      <c r="M220" s="28"/>
      <c r="N220" s="28"/>
      <c r="O220" s="28"/>
      <c r="P220" s="28"/>
      <c r="Q220" s="28"/>
      <c r="R220" s="28"/>
      <c r="S220" s="28"/>
      <c r="T220" s="28"/>
      <c r="U220" s="28"/>
      <c r="V220" s="28"/>
      <c r="W220" s="28"/>
      <c r="X220" s="28"/>
      <c r="Y220" s="28"/>
      <c r="Z220" s="28"/>
    </row>
    <row r="221" spans="1:26" ht="15.75" customHeight="1" x14ac:dyDescent="0.25">
      <c r="A221" s="28"/>
      <c r="B221" s="41"/>
      <c r="C221" s="42"/>
      <c r="D221" s="69"/>
      <c r="E221" s="201"/>
      <c r="F221" s="11"/>
      <c r="G221" s="28"/>
      <c r="H221" s="3"/>
      <c r="I221" s="28"/>
      <c r="J221" s="28"/>
      <c r="K221" s="28"/>
      <c r="L221" s="28"/>
      <c r="M221" s="28"/>
      <c r="N221" s="28"/>
      <c r="O221" s="28"/>
      <c r="P221" s="28"/>
      <c r="Q221" s="28"/>
      <c r="R221" s="28"/>
      <c r="S221" s="28"/>
      <c r="T221" s="28"/>
      <c r="U221" s="28"/>
      <c r="V221" s="28"/>
      <c r="W221" s="28"/>
      <c r="X221" s="28"/>
      <c r="Y221" s="28"/>
      <c r="Z221" s="28"/>
    </row>
    <row r="222" spans="1:26" ht="15.75" customHeight="1" x14ac:dyDescent="0.25">
      <c r="A222" s="28"/>
      <c r="B222" s="9" t="s">
        <v>94</v>
      </c>
      <c r="C222" s="299" t="s">
        <v>95</v>
      </c>
      <c r="D222" s="47">
        <v>50.082999999999998</v>
      </c>
      <c r="E222" s="11">
        <v>161</v>
      </c>
      <c r="F222" s="11">
        <f t="shared" ref="F222:F226" si="8">E222-5</f>
        <v>156</v>
      </c>
      <c r="G222" s="28"/>
      <c r="H222" s="3"/>
      <c r="I222" s="28"/>
      <c r="J222" s="28"/>
      <c r="K222" s="28"/>
      <c r="L222" s="28"/>
      <c r="M222" s="28"/>
      <c r="N222" s="28"/>
      <c r="O222" s="28"/>
      <c r="P222" s="28"/>
      <c r="Q222" s="28"/>
      <c r="R222" s="28"/>
      <c r="S222" s="28"/>
      <c r="T222" s="28"/>
      <c r="U222" s="28"/>
      <c r="V222" s="28"/>
      <c r="W222" s="28"/>
      <c r="X222" s="28"/>
      <c r="Y222" s="28"/>
      <c r="Z222" s="28"/>
    </row>
    <row r="223" spans="1:26" ht="15.75" customHeight="1" x14ac:dyDescent="0.25">
      <c r="A223" s="28"/>
      <c r="B223" s="9" t="s">
        <v>96</v>
      </c>
      <c r="C223" s="300"/>
      <c r="D223" s="47">
        <v>93.992999999999995</v>
      </c>
      <c r="E223" s="11">
        <v>164</v>
      </c>
      <c r="F223" s="11">
        <f t="shared" si="8"/>
        <v>159</v>
      </c>
      <c r="G223" s="28"/>
      <c r="H223" s="3"/>
      <c r="I223" s="28"/>
      <c r="J223" s="28"/>
      <c r="K223" s="28"/>
      <c r="L223" s="28"/>
      <c r="M223" s="28"/>
      <c r="N223" s="28"/>
      <c r="O223" s="28"/>
      <c r="P223" s="28"/>
      <c r="Q223" s="28"/>
      <c r="R223" s="28"/>
      <c r="S223" s="28"/>
      <c r="T223" s="28"/>
      <c r="U223" s="28"/>
      <c r="V223" s="28"/>
      <c r="W223" s="28"/>
      <c r="X223" s="28"/>
      <c r="Y223" s="28"/>
      <c r="Z223" s="28"/>
    </row>
    <row r="224" spans="1:26" ht="15.75" customHeight="1" x14ac:dyDescent="0.25">
      <c r="A224" s="28"/>
      <c r="B224" s="9" t="s">
        <v>97</v>
      </c>
      <c r="C224" s="300"/>
      <c r="D224" s="47">
        <v>95.516999999999996</v>
      </c>
      <c r="E224" s="11">
        <v>167</v>
      </c>
      <c r="F224" s="11">
        <f t="shared" si="8"/>
        <v>162</v>
      </c>
      <c r="G224" s="28"/>
      <c r="H224" s="3"/>
      <c r="I224" s="28"/>
      <c r="J224" s="28"/>
      <c r="K224" s="28"/>
      <c r="L224" s="28"/>
      <c r="M224" s="28"/>
      <c r="N224" s="28"/>
      <c r="O224" s="28"/>
      <c r="P224" s="28"/>
      <c r="Q224" s="28"/>
      <c r="R224" s="28"/>
      <c r="S224" s="28"/>
      <c r="T224" s="28"/>
      <c r="U224" s="28"/>
      <c r="V224" s="28"/>
      <c r="W224" s="28"/>
      <c r="X224" s="28"/>
      <c r="Y224" s="28"/>
      <c r="Z224" s="28"/>
    </row>
    <row r="225" spans="1:26" ht="15.75" customHeight="1" x14ac:dyDescent="0.25">
      <c r="A225" s="28"/>
      <c r="B225" s="9" t="s">
        <v>98</v>
      </c>
      <c r="C225" s="300"/>
      <c r="D225" s="47">
        <v>100.92</v>
      </c>
      <c r="E225" s="11">
        <v>168</v>
      </c>
      <c r="F225" s="11">
        <f t="shared" si="8"/>
        <v>163</v>
      </c>
      <c r="G225" s="28"/>
      <c r="H225" s="3"/>
      <c r="I225" s="28"/>
      <c r="J225" s="28"/>
      <c r="K225" s="28"/>
      <c r="L225" s="28"/>
      <c r="M225" s="28"/>
      <c r="N225" s="28"/>
      <c r="O225" s="28"/>
      <c r="P225" s="28"/>
      <c r="Q225" s="28"/>
      <c r="R225" s="28"/>
      <c r="S225" s="28"/>
      <c r="T225" s="28"/>
      <c r="U225" s="28"/>
      <c r="V225" s="28"/>
      <c r="W225" s="28"/>
      <c r="X225" s="28"/>
      <c r="Y225" s="28"/>
      <c r="Z225" s="28"/>
    </row>
    <row r="226" spans="1:26" ht="15.75" customHeight="1" x14ac:dyDescent="0.25">
      <c r="A226" s="28"/>
      <c r="B226" s="9" t="s">
        <v>99</v>
      </c>
      <c r="C226" s="301"/>
      <c r="D226" s="47">
        <v>115.37</v>
      </c>
      <c r="E226" s="11">
        <v>172</v>
      </c>
      <c r="F226" s="11">
        <f t="shared" si="8"/>
        <v>167</v>
      </c>
      <c r="G226" s="28"/>
      <c r="H226" s="3"/>
      <c r="I226" s="28"/>
      <c r="J226" s="28"/>
      <c r="K226" s="28"/>
      <c r="L226" s="28"/>
      <c r="M226" s="28"/>
      <c r="N226" s="28"/>
      <c r="O226" s="28"/>
      <c r="P226" s="28"/>
      <c r="Q226" s="28"/>
      <c r="R226" s="28"/>
      <c r="S226" s="28"/>
      <c r="T226" s="28"/>
      <c r="U226" s="28"/>
      <c r="V226" s="28"/>
      <c r="W226" s="28"/>
      <c r="X226" s="28"/>
      <c r="Y226" s="28"/>
      <c r="Z226" s="28"/>
    </row>
    <row r="227" spans="1:26" ht="15.75" customHeight="1" x14ac:dyDescent="0.25">
      <c r="A227" s="28"/>
      <c r="B227" s="1"/>
      <c r="C227" s="1"/>
      <c r="D227" s="2"/>
      <c r="E227" s="2"/>
      <c r="F227" s="146"/>
      <c r="G227" s="28"/>
      <c r="H227" s="3"/>
      <c r="I227" s="28"/>
      <c r="J227" s="28"/>
      <c r="K227" s="28"/>
      <c r="L227" s="28"/>
      <c r="M227" s="28"/>
      <c r="N227" s="28"/>
      <c r="O227" s="28"/>
      <c r="P227" s="28"/>
      <c r="Q227" s="28"/>
      <c r="R227" s="28"/>
      <c r="S227" s="28"/>
      <c r="T227" s="28"/>
      <c r="U227" s="28"/>
      <c r="V227" s="28"/>
      <c r="W227" s="28"/>
      <c r="X227" s="28"/>
      <c r="Y227" s="28"/>
      <c r="Z227" s="28"/>
    </row>
    <row r="228" spans="1:26" ht="15.75" customHeight="1" x14ac:dyDescent="0.25">
      <c r="A228" s="29"/>
      <c r="B228" s="30"/>
      <c r="C228" s="30"/>
      <c r="D228" s="32"/>
      <c r="E228" s="32"/>
      <c r="F228" s="159"/>
      <c r="G228" s="29"/>
      <c r="H228" s="34"/>
      <c r="I228" s="29"/>
      <c r="J228" s="29"/>
      <c r="K228" s="29"/>
      <c r="L228" s="29"/>
      <c r="M228" s="28"/>
      <c r="N228" s="28"/>
      <c r="O228" s="28"/>
      <c r="P228" s="28"/>
      <c r="Q228" s="28"/>
      <c r="R228" s="28"/>
      <c r="S228" s="28"/>
      <c r="T228" s="28"/>
      <c r="U228" s="28"/>
      <c r="V228" s="28"/>
      <c r="W228" s="28"/>
      <c r="X228" s="28"/>
      <c r="Y228" s="28"/>
      <c r="Z228" s="28"/>
    </row>
    <row r="229" spans="1:26" ht="15.75" customHeight="1" x14ac:dyDescent="0.2"/>
    <row r="230" spans="1:26" ht="15.75" customHeight="1" x14ac:dyDescent="0.2"/>
    <row r="231" spans="1:26" ht="15.75" customHeight="1" x14ac:dyDescent="0.2"/>
    <row r="232" spans="1:26" ht="15.75" customHeight="1" x14ac:dyDescent="0.2"/>
    <row r="233" spans="1:26" ht="15.75" customHeight="1" x14ac:dyDescent="0.2"/>
    <row r="234" spans="1:26" ht="15.75" customHeight="1" x14ac:dyDescent="0.2"/>
    <row r="235" spans="1:26" ht="15.75" customHeight="1" x14ac:dyDescent="0.2"/>
    <row r="236" spans="1:26" ht="15.75" customHeight="1" x14ac:dyDescent="0.2"/>
    <row r="237" spans="1:26" ht="15.75" customHeight="1" x14ac:dyDescent="0.2"/>
    <row r="238" spans="1:26" ht="15.75" customHeight="1" x14ac:dyDescent="0.2"/>
    <row r="239" spans="1:26" ht="15.75" customHeight="1" x14ac:dyDescent="0.2"/>
    <row r="240" spans="1:2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5">
    <mergeCell ref="C96:C100"/>
    <mergeCell ref="C102:C103"/>
    <mergeCell ref="C44:C46"/>
    <mergeCell ref="C48:C49"/>
    <mergeCell ref="C51:C52"/>
    <mergeCell ref="C54:C58"/>
    <mergeCell ref="C90:C94"/>
    <mergeCell ref="B88:E88"/>
    <mergeCell ref="B47:E47"/>
    <mergeCell ref="G89:L89"/>
    <mergeCell ref="G90:I90"/>
    <mergeCell ref="J90:L90"/>
    <mergeCell ref="B50:F50"/>
    <mergeCell ref="B53:F53"/>
    <mergeCell ref="B64:F64"/>
    <mergeCell ref="H65:K65"/>
    <mergeCell ref="B66:F66"/>
    <mergeCell ref="H66:K66"/>
    <mergeCell ref="B72:F72"/>
    <mergeCell ref="H70:K70"/>
    <mergeCell ref="H73:K73"/>
    <mergeCell ref="H78:K78"/>
    <mergeCell ref="B74:F74"/>
    <mergeCell ref="H74:K74"/>
    <mergeCell ref="B34:F34"/>
    <mergeCell ref="C35:C37"/>
    <mergeCell ref="B38:E38"/>
    <mergeCell ref="C39:C42"/>
    <mergeCell ref="B43:F43"/>
    <mergeCell ref="C203:C205"/>
    <mergeCell ref="B5:E5"/>
    <mergeCell ref="G6:L6"/>
    <mergeCell ref="C7:C11"/>
    <mergeCell ref="G7:I7"/>
    <mergeCell ref="J7:L7"/>
    <mergeCell ref="B12:E12"/>
    <mergeCell ref="B18:F18"/>
    <mergeCell ref="C13:C17"/>
    <mergeCell ref="C19:C20"/>
    <mergeCell ref="B21:E21"/>
    <mergeCell ref="C22:C26"/>
    <mergeCell ref="B27:F27"/>
    <mergeCell ref="C28:C30"/>
    <mergeCell ref="B31:E31"/>
    <mergeCell ref="C32:C33"/>
    <mergeCell ref="C181:C185"/>
    <mergeCell ref="C187:C188"/>
    <mergeCell ref="C190:C194"/>
    <mergeCell ref="C196:C198"/>
    <mergeCell ref="C200:C201"/>
    <mergeCell ref="C207:C210"/>
    <mergeCell ref="C212:C214"/>
    <mergeCell ref="C216:C217"/>
    <mergeCell ref="C219:C220"/>
    <mergeCell ref="C222:C226"/>
    <mergeCell ref="T153:X155"/>
    <mergeCell ref="M155:R156"/>
    <mergeCell ref="H157:K157"/>
    <mergeCell ref="C105:C109"/>
    <mergeCell ref="C111:C113"/>
    <mergeCell ref="C115:C116"/>
    <mergeCell ref="C118:C120"/>
    <mergeCell ref="C122:C125"/>
    <mergeCell ref="C127:C129"/>
    <mergeCell ref="C131:C132"/>
    <mergeCell ref="C134:C135"/>
    <mergeCell ref="C137:C141"/>
    <mergeCell ref="M145:R145"/>
    <mergeCell ref="T145:X145"/>
    <mergeCell ref="M146:R147"/>
    <mergeCell ref="T146:X146"/>
    <mergeCell ref="B173:E173"/>
    <mergeCell ref="G174:L174"/>
    <mergeCell ref="G175:I175"/>
    <mergeCell ref="J175:L175"/>
    <mergeCell ref="B147:F147"/>
    <mergeCell ref="B149:F149"/>
    <mergeCell ref="H149:K149"/>
    <mergeCell ref="H153:K153"/>
    <mergeCell ref="C175:C179"/>
    <mergeCell ref="H148:K148"/>
    <mergeCell ref="B156:F156"/>
    <mergeCell ref="B158:F158"/>
    <mergeCell ref="H158:K158"/>
    <mergeCell ref="H162:K162"/>
  </mergeCell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C1000"/>
  <sheetViews>
    <sheetView workbookViewId="0"/>
  </sheetViews>
  <sheetFormatPr baseColWidth="10" defaultColWidth="12.625" defaultRowHeight="15" customHeight="1" x14ac:dyDescent="0.2"/>
  <cols>
    <col min="1" max="5" width="10" customWidth="1"/>
    <col min="6" max="6" width="10.875" customWidth="1"/>
    <col min="7" max="24" width="10" customWidth="1"/>
    <col min="25" max="25" width="11" customWidth="1"/>
    <col min="26" max="29" width="10" customWidth="1"/>
  </cols>
  <sheetData>
    <row r="2" spans="1:13" x14ac:dyDescent="0.25">
      <c r="A2" s="23" t="s">
        <v>923</v>
      </c>
    </row>
    <row r="5" spans="1:13" x14ac:dyDescent="0.25">
      <c r="B5" s="304" t="s">
        <v>924</v>
      </c>
      <c r="C5" s="297"/>
      <c r="D5" s="297"/>
      <c r="E5" s="297"/>
      <c r="F5" s="154"/>
      <c r="I5" s="3"/>
    </row>
    <row r="6" spans="1:13" ht="24" x14ac:dyDescent="0.2">
      <c r="B6" s="4" t="s">
        <v>0</v>
      </c>
      <c r="C6" s="5" t="s">
        <v>1</v>
      </c>
      <c r="D6" s="5" t="s">
        <v>2</v>
      </c>
      <c r="E6" s="5" t="s">
        <v>43</v>
      </c>
      <c r="F6" s="45" t="s">
        <v>125</v>
      </c>
      <c r="H6" s="296" t="s">
        <v>6</v>
      </c>
      <c r="I6" s="297"/>
      <c r="J6" s="297"/>
      <c r="K6" s="297"/>
      <c r="L6" s="297"/>
      <c r="M6" s="298"/>
    </row>
    <row r="7" spans="1:13" ht="14.25" x14ac:dyDescent="0.2">
      <c r="B7" s="9" t="s">
        <v>7</v>
      </c>
      <c r="C7" s="302" t="s">
        <v>9</v>
      </c>
      <c r="D7" s="11">
        <v>28.1</v>
      </c>
      <c r="E7" s="11">
        <v>65</v>
      </c>
      <c r="F7" s="11">
        <v>60</v>
      </c>
      <c r="H7" s="296" t="s">
        <v>106</v>
      </c>
      <c r="I7" s="297"/>
      <c r="J7" s="298"/>
      <c r="K7" s="296" t="s">
        <v>107</v>
      </c>
      <c r="L7" s="297"/>
      <c r="M7" s="298"/>
    </row>
    <row r="8" spans="1:13" ht="14.25" x14ac:dyDescent="0.2">
      <c r="B8" s="9" t="s">
        <v>17</v>
      </c>
      <c r="C8" s="300"/>
      <c r="D8" s="11">
        <v>63.911000000000001</v>
      </c>
      <c r="E8" s="11">
        <v>59</v>
      </c>
      <c r="F8" s="11">
        <v>63</v>
      </c>
      <c r="H8" s="13" t="s">
        <v>13</v>
      </c>
      <c r="I8" s="39">
        <f>I10+I10*0.05</f>
        <v>689.85</v>
      </c>
      <c r="J8" s="17" t="s">
        <v>930</v>
      </c>
      <c r="K8" s="13" t="s">
        <v>13</v>
      </c>
      <c r="L8" s="39">
        <f>L10+L10*0.05</f>
        <v>684.6</v>
      </c>
      <c r="M8" s="17" t="s">
        <v>931</v>
      </c>
    </row>
    <row r="9" spans="1:13" ht="14.25" x14ac:dyDescent="0.2">
      <c r="B9" s="9" t="s">
        <v>26</v>
      </c>
      <c r="C9" s="300"/>
      <c r="D9" s="11">
        <v>69.921999999999997</v>
      </c>
      <c r="E9" s="11">
        <v>65</v>
      </c>
      <c r="F9" s="11">
        <v>65</v>
      </c>
      <c r="H9" s="13" t="s">
        <v>19</v>
      </c>
      <c r="I9" s="40">
        <f>I10-I10*0.05</f>
        <v>624.15</v>
      </c>
      <c r="J9" s="17" t="s">
        <v>932</v>
      </c>
      <c r="K9" s="13" t="s">
        <v>19</v>
      </c>
      <c r="L9" s="40">
        <f>L10-L10*0.05</f>
        <v>619.4</v>
      </c>
      <c r="M9" s="17" t="s">
        <v>933</v>
      </c>
    </row>
    <row r="10" spans="1:13" ht="14.25" x14ac:dyDescent="0.2">
      <c r="B10" s="9" t="s">
        <v>32</v>
      </c>
      <c r="C10" s="300"/>
      <c r="D10" s="11">
        <v>96.744</v>
      </c>
      <c r="E10" s="11">
        <v>115</v>
      </c>
      <c r="F10" s="11">
        <v>110</v>
      </c>
      <c r="H10" s="13" t="s">
        <v>27</v>
      </c>
      <c r="I10" s="20">
        <v>657</v>
      </c>
      <c r="J10" s="17" t="s">
        <v>934</v>
      </c>
      <c r="K10" s="13" t="s">
        <v>27</v>
      </c>
      <c r="L10" s="20">
        <v>652</v>
      </c>
      <c r="M10" s="17" t="s">
        <v>935</v>
      </c>
    </row>
    <row r="11" spans="1:13" ht="14.25" x14ac:dyDescent="0.2">
      <c r="B11" s="9" t="s">
        <v>33</v>
      </c>
      <c r="C11" s="301"/>
      <c r="D11" s="11">
        <v>128.11000000000001</v>
      </c>
      <c r="E11" s="11">
        <v>145</v>
      </c>
      <c r="F11" s="11">
        <v>137</v>
      </c>
      <c r="H11" s="13" t="s">
        <v>121</v>
      </c>
      <c r="I11" s="20">
        <v>634</v>
      </c>
      <c r="J11" s="17" t="s">
        <v>936</v>
      </c>
      <c r="K11" s="13" t="s">
        <v>121</v>
      </c>
      <c r="L11" s="182">
        <v>652</v>
      </c>
      <c r="M11" s="17" t="s">
        <v>938</v>
      </c>
    </row>
    <row r="12" spans="1:13" x14ac:dyDescent="0.25">
      <c r="B12" s="296"/>
      <c r="C12" s="297"/>
      <c r="D12" s="297"/>
      <c r="E12" s="297"/>
      <c r="F12" s="11"/>
      <c r="I12" s="3"/>
    </row>
    <row r="13" spans="1:13" x14ac:dyDescent="0.25">
      <c r="B13" s="9" t="s">
        <v>35</v>
      </c>
      <c r="C13" s="302" t="s">
        <v>36</v>
      </c>
      <c r="D13" s="11">
        <v>207.78</v>
      </c>
      <c r="E13" s="11">
        <v>214</v>
      </c>
      <c r="F13" s="11">
        <v>212</v>
      </c>
      <c r="I13" s="3"/>
    </row>
    <row r="14" spans="1:13" x14ac:dyDescent="0.25">
      <c r="B14" s="9" t="s">
        <v>37</v>
      </c>
      <c r="C14" s="300"/>
      <c r="D14" s="11">
        <v>444.11</v>
      </c>
      <c r="E14" s="11">
        <v>230</v>
      </c>
      <c r="F14" s="11">
        <v>308</v>
      </c>
      <c r="I14" s="3"/>
    </row>
    <row r="15" spans="1:13" x14ac:dyDescent="0.25">
      <c r="B15" s="9" t="s">
        <v>38</v>
      </c>
      <c r="C15" s="300"/>
      <c r="D15" s="11">
        <v>579.55999999999995</v>
      </c>
      <c r="E15" s="11">
        <v>450</v>
      </c>
      <c r="F15" s="11">
        <v>475</v>
      </c>
      <c r="I15" s="3"/>
    </row>
    <row r="16" spans="1:13" x14ac:dyDescent="0.25">
      <c r="B16" s="9" t="s">
        <v>39</v>
      </c>
      <c r="C16" s="300"/>
      <c r="D16" s="11">
        <v>746.22</v>
      </c>
      <c r="E16" s="11">
        <v>625</v>
      </c>
      <c r="F16" s="11">
        <v>657</v>
      </c>
      <c r="I16" s="3"/>
    </row>
    <row r="17" spans="2:9" x14ac:dyDescent="0.25">
      <c r="B17" s="49" t="s">
        <v>41</v>
      </c>
      <c r="C17" s="300"/>
      <c r="D17" s="51">
        <v>869.5</v>
      </c>
      <c r="E17" s="51">
        <v>704</v>
      </c>
      <c r="F17" s="51">
        <v>732</v>
      </c>
      <c r="I17" s="3"/>
    </row>
    <row r="18" spans="2:9" x14ac:dyDescent="0.25">
      <c r="B18" s="308"/>
      <c r="C18" s="297"/>
      <c r="D18" s="297"/>
      <c r="E18" s="297"/>
      <c r="F18" s="306"/>
      <c r="I18" s="3"/>
    </row>
    <row r="19" spans="2:9" x14ac:dyDescent="0.25">
      <c r="B19" s="9" t="s">
        <v>46</v>
      </c>
      <c r="C19" s="299" t="s">
        <v>47</v>
      </c>
      <c r="D19" s="11">
        <v>88.4</v>
      </c>
      <c r="E19" s="11">
        <v>80</v>
      </c>
      <c r="F19" s="11">
        <v>85</v>
      </c>
      <c r="H19" s="31"/>
      <c r="I19" s="3"/>
    </row>
    <row r="20" spans="2:9" x14ac:dyDescent="0.25">
      <c r="B20" s="9" t="s">
        <v>48</v>
      </c>
      <c r="C20" s="300"/>
      <c r="D20" s="11">
        <v>94.6</v>
      </c>
      <c r="E20" s="11">
        <v>75</v>
      </c>
      <c r="F20" s="11">
        <v>80</v>
      </c>
      <c r="H20" s="31"/>
      <c r="I20" s="3"/>
    </row>
    <row r="21" spans="2:9" ht="15.75" customHeight="1" x14ac:dyDescent="0.25">
      <c r="B21" s="296"/>
      <c r="C21" s="297"/>
      <c r="D21" s="297"/>
      <c r="E21" s="297"/>
      <c r="F21" s="11"/>
      <c r="H21" s="31"/>
      <c r="I21" s="3"/>
    </row>
    <row r="22" spans="2:9" ht="15.75" customHeight="1" x14ac:dyDescent="0.25">
      <c r="B22" s="9" t="s">
        <v>50</v>
      </c>
      <c r="C22" s="302" t="s">
        <v>51</v>
      </c>
      <c r="D22" s="11">
        <v>271.44400000000002</v>
      </c>
      <c r="E22" s="11">
        <v>270</v>
      </c>
      <c r="F22" s="11">
        <v>275</v>
      </c>
      <c r="H22" s="31"/>
      <c r="I22" s="3"/>
    </row>
    <row r="23" spans="2:9" ht="15.75" customHeight="1" x14ac:dyDescent="0.25">
      <c r="B23" s="9" t="s">
        <v>54</v>
      </c>
      <c r="C23" s="300"/>
      <c r="D23" s="11">
        <v>550.22199999999998</v>
      </c>
      <c r="E23" s="11">
        <v>280</v>
      </c>
      <c r="F23" s="11">
        <v>292</v>
      </c>
      <c r="H23" s="31"/>
      <c r="I23" s="3"/>
    </row>
    <row r="24" spans="2:9" ht="15.75" customHeight="1" x14ac:dyDescent="0.25">
      <c r="B24" s="9" t="s">
        <v>55</v>
      </c>
      <c r="C24" s="300"/>
      <c r="D24" s="11">
        <v>609</v>
      </c>
      <c r="E24" s="11">
        <v>560</v>
      </c>
      <c r="F24" s="11">
        <v>578</v>
      </c>
      <c r="H24" s="31"/>
      <c r="I24" s="3"/>
    </row>
    <row r="25" spans="2:9" ht="15.75" customHeight="1" x14ac:dyDescent="0.25">
      <c r="B25" s="9" t="s">
        <v>56</v>
      </c>
      <c r="C25" s="300"/>
      <c r="D25" s="11">
        <v>739.11099999999999</v>
      </c>
      <c r="E25" s="11">
        <v>688</v>
      </c>
      <c r="F25" s="11">
        <v>703</v>
      </c>
      <c r="H25" s="31"/>
      <c r="I25" s="3"/>
    </row>
    <row r="26" spans="2:9" ht="15.75" customHeight="1" x14ac:dyDescent="0.25">
      <c r="B26" s="49" t="s">
        <v>57</v>
      </c>
      <c r="C26" s="300"/>
      <c r="D26" s="51">
        <v>746.88900000000001</v>
      </c>
      <c r="E26" s="51">
        <v>495</v>
      </c>
      <c r="F26" s="51">
        <v>510</v>
      </c>
      <c r="H26" s="31"/>
      <c r="I26" s="3"/>
    </row>
    <row r="27" spans="2:9" ht="15.75" customHeight="1" x14ac:dyDescent="0.25">
      <c r="B27" s="308"/>
      <c r="C27" s="297"/>
      <c r="D27" s="297"/>
      <c r="E27" s="297"/>
      <c r="F27" s="306"/>
      <c r="H27" s="28"/>
      <c r="I27" s="3"/>
    </row>
    <row r="28" spans="2:9" ht="15.75" customHeight="1" x14ac:dyDescent="0.25">
      <c r="B28" s="9" t="s">
        <v>60</v>
      </c>
      <c r="C28" s="299" t="s">
        <v>62</v>
      </c>
      <c r="D28" s="11">
        <v>19.36</v>
      </c>
      <c r="E28" s="11">
        <v>17</v>
      </c>
      <c r="F28" s="11">
        <v>17</v>
      </c>
      <c r="H28" s="31"/>
      <c r="I28" s="3"/>
    </row>
    <row r="29" spans="2:9" ht="15.75" customHeight="1" x14ac:dyDescent="0.25">
      <c r="B29" s="9" t="s">
        <v>64</v>
      </c>
      <c r="C29" s="300"/>
      <c r="D29" s="11">
        <v>33.31</v>
      </c>
      <c r="E29" s="11">
        <v>22</v>
      </c>
      <c r="F29" s="11">
        <v>23</v>
      </c>
      <c r="H29" s="31"/>
      <c r="I29" s="3"/>
    </row>
    <row r="30" spans="2:9" ht="15.75" customHeight="1" x14ac:dyDescent="0.25">
      <c r="B30" s="9" t="s">
        <v>65</v>
      </c>
      <c r="C30" s="301"/>
      <c r="D30" s="11">
        <v>41.74</v>
      </c>
      <c r="E30" s="11">
        <v>17</v>
      </c>
      <c r="F30" s="11">
        <v>20</v>
      </c>
      <c r="H30" s="31"/>
      <c r="I30" s="3"/>
    </row>
    <row r="31" spans="2:9" ht="15.75" customHeight="1" x14ac:dyDescent="0.25">
      <c r="B31" s="296"/>
      <c r="C31" s="297"/>
      <c r="D31" s="297"/>
      <c r="E31" s="297"/>
      <c r="F31" s="11"/>
      <c r="H31" s="31"/>
      <c r="I31" s="3"/>
    </row>
    <row r="32" spans="2:9" ht="15.75" customHeight="1" x14ac:dyDescent="0.25">
      <c r="B32" s="9" t="s">
        <v>66</v>
      </c>
      <c r="C32" s="302" t="s">
        <v>68</v>
      </c>
      <c r="D32" s="11">
        <v>204.5</v>
      </c>
      <c r="E32" s="11">
        <v>206</v>
      </c>
      <c r="F32" s="11">
        <v>207</v>
      </c>
      <c r="H32" s="31"/>
      <c r="I32" s="3"/>
    </row>
    <row r="33" spans="2:9" ht="15.75" customHeight="1" x14ac:dyDescent="0.25">
      <c r="B33" s="49" t="s">
        <v>69</v>
      </c>
      <c r="C33" s="300"/>
      <c r="D33" s="51">
        <v>277.7</v>
      </c>
      <c r="E33" s="51">
        <v>270</v>
      </c>
      <c r="F33" s="51">
        <v>277</v>
      </c>
      <c r="H33" s="31"/>
      <c r="I33" s="3"/>
    </row>
    <row r="34" spans="2:9" ht="15.75" customHeight="1" x14ac:dyDescent="0.25">
      <c r="B34" s="305"/>
      <c r="C34" s="297"/>
      <c r="D34" s="297"/>
      <c r="E34" s="297"/>
      <c r="F34" s="306"/>
      <c r="H34" s="28"/>
      <c r="I34" s="3"/>
    </row>
    <row r="35" spans="2:9" ht="15.75" customHeight="1" x14ac:dyDescent="0.25">
      <c r="B35" s="9" t="s">
        <v>69</v>
      </c>
      <c r="C35" s="299" t="s">
        <v>71</v>
      </c>
      <c r="D35" s="11">
        <v>10.283300000000001</v>
      </c>
      <c r="E35" s="11">
        <v>10</v>
      </c>
      <c r="F35" s="11">
        <v>15</v>
      </c>
      <c r="H35" s="31"/>
      <c r="I35" s="3"/>
    </row>
    <row r="36" spans="2:9" ht="15.75" customHeight="1" x14ac:dyDescent="0.25">
      <c r="B36" s="9" t="s">
        <v>72</v>
      </c>
      <c r="C36" s="300"/>
      <c r="D36" s="11">
        <v>11.8833</v>
      </c>
      <c r="E36" s="11">
        <v>10</v>
      </c>
      <c r="F36" s="11">
        <v>15</v>
      </c>
      <c r="H36" s="31"/>
      <c r="I36" s="3"/>
    </row>
    <row r="37" spans="2:9" ht="15.75" customHeight="1" x14ac:dyDescent="0.25">
      <c r="B37" s="9" t="s">
        <v>73</v>
      </c>
      <c r="C37" s="301"/>
      <c r="D37" s="11">
        <v>17.433299999999999</v>
      </c>
      <c r="E37" s="11">
        <v>2</v>
      </c>
      <c r="F37" s="11">
        <v>3</v>
      </c>
      <c r="H37" s="31"/>
      <c r="I37" s="3"/>
    </row>
    <row r="38" spans="2:9" ht="15.75" customHeight="1" x14ac:dyDescent="0.25">
      <c r="B38" s="296"/>
      <c r="C38" s="297"/>
      <c r="D38" s="297"/>
      <c r="E38" s="297"/>
      <c r="F38" s="11"/>
      <c r="H38" s="31"/>
      <c r="I38" s="3"/>
    </row>
    <row r="39" spans="2:9" ht="15.75" customHeight="1" x14ac:dyDescent="0.25">
      <c r="B39" s="9" t="s">
        <v>76</v>
      </c>
      <c r="C39" s="302" t="s">
        <v>77</v>
      </c>
      <c r="D39" s="11">
        <v>117.467</v>
      </c>
      <c r="E39" s="11">
        <v>180</v>
      </c>
      <c r="F39" s="11">
        <v>185</v>
      </c>
      <c r="H39" s="31"/>
      <c r="I39" s="3"/>
    </row>
    <row r="40" spans="2:9" ht="15.75" customHeight="1" x14ac:dyDescent="0.25">
      <c r="B40" s="9" t="s">
        <v>78</v>
      </c>
      <c r="C40" s="300"/>
      <c r="D40" s="11">
        <v>187.833</v>
      </c>
      <c r="E40" s="11">
        <v>119</v>
      </c>
      <c r="F40" s="11">
        <v>143</v>
      </c>
      <c r="H40" s="31"/>
      <c r="I40" s="3"/>
    </row>
    <row r="41" spans="2:9" ht="15.75" customHeight="1" x14ac:dyDescent="0.25">
      <c r="B41" s="9" t="s">
        <v>79</v>
      </c>
      <c r="C41" s="300"/>
      <c r="D41" s="11">
        <v>218.333</v>
      </c>
      <c r="E41" s="11">
        <v>224</v>
      </c>
      <c r="F41" s="11">
        <v>237</v>
      </c>
      <c r="H41" s="31"/>
      <c r="I41" s="3"/>
    </row>
    <row r="42" spans="2:9" ht="15.75" customHeight="1" x14ac:dyDescent="0.25">
      <c r="B42" s="49" t="s">
        <v>80</v>
      </c>
      <c r="C42" s="300"/>
      <c r="D42" s="51">
        <v>238.5</v>
      </c>
      <c r="E42" s="51">
        <v>100</v>
      </c>
      <c r="F42" s="51">
        <v>145</v>
      </c>
      <c r="H42" s="31"/>
      <c r="I42" s="3"/>
    </row>
    <row r="43" spans="2:9" ht="15.75" customHeight="1" x14ac:dyDescent="0.25">
      <c r="B43" s="305"/>
      <c r="C43" s="297"/>
      <c r="D43" s="297"/>
      <c r="E43" s="297"/>
      <c r="F43" s="306"/>
      <c r="H43" s="28"/>
      <c r="I43" s="3"/>
    </row>
    <row r="44" spans="2:9" ht="15.75" customHeight="1" x14ac:dyDescent="0.25">
      <c r="B44" s="9" t="s">
        <v>81</v>
      </c>
      <c r="C44" s="299" t="s">
        <v>82</v>
      </c>
      <c r="D44" s="11">
        <v>2</v>
      </c>
      <c r="E44" s="11">
        <v>2</v>
      </c>
      <c r="F44" s="11">
        <v>3</v>
      </c>
      <c r="H44" s="31"/>
      <c r="I44" s="3"/>
    </row>
    <row r="45" spans="2:9" ht="15.75" customHeight="1" x14ac:dyDescent="0.25">
      <c r="B45" s="9" t="s">
        <v>83</v>
      </c>
      <c r="C45" s="300"/>
      <c r="D45" s="11">
        <v>7.133</v>
      </c>
      <c r="E45" s="11">
        <v>11</v>
      </c>
      <c r="F45" s="11">
        <v>15</v>
      </c>
      <c r="H45" s="31"/>
      <c r="I45" s="3"/>
    </row>
    <row r="46" spans="2:9" ht="15.75" customHeight="1" x14ac:dyDescent="0.25">
      <c r="B46" s="9" t="s">
        <v>84</v>
      </c>
      <c r="C46" s="301"/>
      <c r="D46" s="11">
        <v>10.72</v>
      </c>
      <c r="E46" s="11">
        <v>8</v>
      </c>
      <c r="F46" s="11">
        <v>13</v>
      </c>
      <c r="H46" s="31"/>
      <c r="I46" s="3"/>
    </row>
    <row r="47" spans="2:9" ht="15.75" customHeight="1" x14ac:dyDescent="0.25">
      <c r="B47" s="296"/>
      <c r="C47" s="297"/>
      <c r="D47" s="297"/>
      <c r="E47" s="297"/>
      <c r="F47" s="11"/>
      <c r="H47" s="31"/>
      <c r="I47" s="3"/>
    </row>
    <row r="48" spans="2:9" ht="15.75" customHeight="1" x14ac:dyDescent="0.25">
      <c r="B48" s="9" t="s">
        <v>86</v>
      </c>
      <c r="C48" s="302" t="s">
        <v>87</v>
      </c>
      <c r="D48" s="11">
        <v>20.466999999999999</v>
      </c>
      <c r="E48" s="11">
        <v>21</v>
      </c>
      <c r="F48" s="11">
        <v>23</v>
      </c>
      <c r="H48" s="31"/>
      <c r="I48" s="3"/>
    </row>
    <row r="49" spans="1:29" ht="15.75" customHeight="1" x14ac:dyDescent="0.25">
      <c r="B49" s="49" t="s">
        <v>88</v>
      </c>
      <c r="C49" s="300"/>
      <c r="D49" s="51">
        <v>20.367000000000001</v>
      </c>
      <c r="E49" s="51">
        <v>21</v>
      </c>
      <c r="F49" s="51">
        <v>23</v>
      </c>
      <c r="H49" s="31"/>
      <c r="I49" s="3"/>
    </row>
    <row r="50" spans="1:29" ht="15.75" customHeight="1" x14ac:dyDescent="0.25">
      <c r="B50" s="305"/>
      <c r="C50" s="297"/>
      <c r="D50" s="297"/>
      <c r="E50" s="297"/>
      <c r="F50" s="306"/>
      <c r="H50" s="28"/>
      <c r="I50" s="3"/>
    </row>
    <row r="51" spans="1:29" ht="15.75" customHeight="1" x14ac:dyDescent="0.25">
      <c r="B51" s="9" t="s">
        <v>89</v>
      </c>
      <c r="C51" s="299" t="s">
        <v>90</v>
      </c>
      <c r="D51" s="11">
        <v>5.15</v>
      </c>
      <c r="E51" s="11">
        <v>17</v>
      </c>
      <c r="F51" s="11">
        <v>19</v>
      </c>
      <c r="H51" s="31"/>
      <c r="I51" s="3"/>
    </row>
    <row r="52" spans="1:29" ht="15.75" customHeight="1" x14ac:dyDescent="0.25">
      <c r="B52" s="49" t="s">
        <v>91</v>
      </c>
      <c r="C52" s="300"/>
      <c r="D52" s="51">
        <v>16.2</v>
      </c>
      <c r="E52" s="51">
        <v>16</v>
      </c>
      <c r="F52" s="51">
        <v>17</v>
      </c>
      <c r="H52" s="31"/>
      <c r="I52" s="3"/>
    </row>
    <row r="53" spans="1:29" ht="15.75" customHeight="1" x14ac:dyDescent="0.25">
      <c r="B53" s="296"/>
      <c r="C53" s="297"/>
      <c r="D53" s="297"/>
      <c r="E53" s="297"/>
      <c r="F53" s="298"/>
      <c r="H53" s="28"/>
      <c r="I53" s="3"/>
    </row>
    <row r="54" spans="1:29" ht="15.75" customHeight="1" x14ac:dyDescent="0.25">
      <c r="B54" s="9" t="s">
        <v>94</v>
      </c>
      <c r="C54" s="299" t="s">
        <v>95</v>
      </c>
      <c r="D54" s="11">
        <v>50.082999999999998</v>
      </c>
      <c r="E54" s="11">
        <v>50</v>
      </c>
      <c r="F54" s="11">
        <v>53</v>
      </c>
      <c r="H54" s="31"/>
      <c r="I54" s="3"/>
    </row>
    <row r="55" spans="1:29" ht="15.75" customHeight="1" x14ac:dyDescent="0.25">
      <c r="B55" s="9" t="s">
        <v>96</v>
      </c>
      <c r="C55" s="300"/>
      <c r="D55" s="11">
        <v>93.992999999999995</v>
      </c>
      <c r="E55" s="11">
        <v>105</v>
      </c>
      <c r="F55" s="11">
        <v>108</v>
      </c>
      <c r="H55" s="31"/>
      <c r="I55" s="3"/>
    </row>
    <row r="56" spans="1:29" ht="15.75" customHeight="1" x14ac:dyDescent="0.25">
      <c r="B56" s="9" t="s">
        <v>97</v>
      </c>
      <c r="C56" s="300"/>
      <c r="D56" s="11">
        <v>95.516999999999996</v>
      </c>
      <c r="E56" s="11">
        <v>55</v>
      </c>
      <c r="F56" s="11">
        <v>75</v>
      </c>
      <c r="H56" s="31"/>
      <c r="I56" s="3"/>
    </row>
    <row r="57" spans="1:29" ht="15.75" customHeight="1" x14ac:dyDescent="0.25">
      <c r="B57" s="9" t="s">
        <v>98</v>
      </c>
      <c r="C57" s="300"/>
      <c r="D57" s="11">
        <v>100.92</v>
      </c>
      <c r="E57" s="11">
        <v>109</v>
      </c>
      <c r="F57" s="11">
        <v>116</v>
      </c>
      <c r="H57" s="31"/>
      <c r="I57" s="3"/>
    </row>
    <row r="58" spans="1:29" ht="15.75" customHeight="1" x14ac:dyDescent="0.25">
      <c r="B58" s="9" t="s">
        <v>99</v>
      </c>
      <c r="C58" s="301"/>
      <c r="D58" s="11">
        <v>115.37</v>
      </c>
      <c r="E58" s="11">
        <v>115</v>
      </c>
      <c r="F58" s="11">
        <v>117</v>
      </c>
      <c r="H58" s="31"/>
      <c r="I58" s="3"/>
    </row>
    <row r="59" spans="1:29" ht="15.75" customHeight="1" x14ac:dyDescent="0.25">
      <c r="B59" s="1"/>
      <c r="C59" s="1"/>
      <c r="D59" s="2"/>
      <c r="E59" s="2"/>
      <c r="F59" s="146"/>
      <c r="I59" s="3"/>
    </row>
    <row r="60" spans="1:29" ht="15.75" customHeight="1" x14ac:dyDescent="0.25">
      <c r="B60" s="1"/>
      <c r="C60" s="1"/>
      <c r="D60" s="2"/>
      <c r="E60" s="2"/>
      <c r="F60" s="146"/>
      <c r="I60" s="3"/>
    </row>
    <row r="61" spans="1:29" ht="15.75" customHeight="1" x14ac:dyDescent="0.25">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row>
    <row r="62" spans="1:29" ht="15.75" customHeight="1" x14ac:dyDescent="0.2"/>
    <row r="63" spans="1:29" ht="15.75" customHeight="1" x14ac:dyDescent="0.2"/>
    <row r="64" spans="1:29" ht="15.75" customHeight="1" x14ac:dyDescent="0.2"/>
    <row r="65" spans="1:13" ht="15.75" customHeight="1" x14ac:dyDescent="0.2"/>
    <row r="66" spans="1:13" ht="15.75" customHeight="1" x14ac:dyDescent="0.25">
      <c r="B66" s="23" t="s">
        <v>946</v>
      </c>
      <c r="C66" s="28"/>
      <c r="D66" s="28"/>
      <c r="E66" s="28"/>
      <c r="F66" s="28"/>
      <c r="G66" s="28"/>
      <c r="H66" s="28"/>
      <c r="I66" s="28"/>
      <c r="J66" s="28"/>
      <c r="K66" s="28"/>
      <c r="L66" s="28"/>
    </row>
    <row r="67" spans="1:13" ht="15.75" customHeight="1" x14ac:dyDescent="0.25">
      <c r="B67" s="28"/>
      <c r="C67" s="23"/>
      <c r="D67" s="23"/>
      <c r="E67" s="23"/>
      <c r="F67" s="23"/>
      <c r="G67" s="23"/>
      <c r="H67" s="28"/>
      <c r="I67" s="28"/>
      <c r="J67" s="28"/>
      <c r="K67" s="28"/>
      <c r="L67" s="28"/>
    </row>
    <row r="68" spans="1:13" ht="15.75" customHeight="1" x14ac:dyDescent="0.25">
      <c r="B68" s="332" t="s">
        <v>947</v>
      </c>
      <c r="C68" s="297"/>
      <c r="D68" s="297"/>
      <c r="E68" s="297"/>
      <c r="F68" s="297"/>
      <c r="G68" s="298"/>
    </row>
    <row r="69" spans="1:13" ht="15.75" customHeight="1" x14ac:dyDescent="0.2">
      <c r="B69" s="4" t="s">
        <v>0</v>
      </c>
      <c r="C69" s="5" t="s">
        <v>1</v>
      </c>
      <c r="D69" s="5" t="s">
        <v>42</v>
      </c>
      <c r="E69" s="5" t="s">
        <v>43</v>
      </c>
      <c r="F69" s="5" t="s">
        <v>44</v>
      </c>
      <c r="G69" s="7" t="s">
        <v>206</v>
      </c>
      <c r="I69" s="296" t="s">
        <v>45</v>
      </c>
      <c r="J69" s="297"/>
      <c r="K69" s="297"/>
      <c r="L69" s="298"/>
    </row>
    <row r="70" spans="1:13" ht="15.75" customHeight="1" x14ac:dyDescent="0.2">
      <c r="B70" s="310" t="s">
        <v>275</v>
      </c>
      <c r="C70" s="297"/>
      <c r="D70" s="297"/>
      <c r="E70" s="297"/>
      <c r="F70" s="297"/>
      <c r="G70" s="298"/>
      <c r="I70" s="305" t="s">
        <v>275</v>
      </c>
      <c r="J70" s="297"/>
      <c r="K70" s="297"/>
      <c r="L70" s="298"/>
    </row>
    <row r="71" spans="1:13" ht="15.75" customHeight="1" x14ac:dyDescent="0.2">
      <c r="B71" s="9" t="s">
        <v>11</v>
      </c>
      <c r="C71" s="12" t="s">
        <v>12</v>
      </c>
      <c r="D71" s="17">
        <v>520</v>
      </c>
      <c r="E71" s="177">
        <v>530</v>
      </c>
      <c r="F71" s="17">
        <v>488</v>
      </c>
      <c r="G71" s="110">
        <f t="shared" ref="G71:G74" si="0">E71-F71</f>
        <v>42</v>
      </c>
      <c r="I71" s="12"/>
      <c r="J71" s="12" t="s">
        <v>52</v>
      </c>
      <c r="K71" s="12" t="s">
        <v>53</v>
      </c>
      <c r="L71" s="12"/>
    </row>
    <row r="72" spans="1:13" ht="15.75" customHeight="1" x14ac:dyDescent="0.2">
      <c r="B72" s="9" t="s">
        <v>11</v>
      </c>
      <c r="C72" s="12" t="s">
        <v>18</v>
      </c>
      <c r="D72" s="17">
        <v>0</v>
      </c>
      <c r="E72" s="177">
        <v>7</v>
      </c>
      <c r="F72" s="17">
        <v>0</v>
      </c>
      <c r="G72" s="110">
        <f t="shared" si="0"/>
        <v>7</v>
      </c>
      <c r="I72" s="12" t="s">
        <v>12</v>
      </c>
      <c r="J72" s="17">
        <v>550</v>
      </c>
      <c r="K72" s="17">
        <v>490</v>
      </c>
      <c r="L72" s="17" t="s">
        <v>948</v>
      </c>
    </row>
    <row r="73" spans="1:13" ht="15.75" customHeight="1" x14ac:dyDescent="0.2">
      <c r="B73" s="9" t="s">
        <v>21</v>
      </c>
      <c r="C73" s="12" t="s">
        <v>59</v>
      </c>
      <c r="D73" s="17">
        <v>440</v>
      </c>
      <c r="E73" s="177">
        <v>477</v>
      </c>
      <c r="F73" s="17">
        <v>445</v>
      </c>
      <c r="G73" s="110">
        <f t="shared" si="0"/>
        <v>32</v>
      </c>
      <c r="I73" s="12" t="s">
        <v>18</v>
      </c>
      <c r="J73" s="24">
        <v>0</v>
      </c>
      <c r="K73" s="24">
        <v>0</v>
      </c>
      <c r="L73" s="24" t="s">
        <v>949</v>
      </c>
    </row>
    <row r="74" spans="1:13" ht="15.75" customHeight="1" x14ac:dyDescent="0.2">
      <c r="B74" s="12" t="s">
        <v>21</v>
      </c>
      <c r="C74" s="12" t="s">
        <v>63</v>
      </c>
      <c r="D74" s="24">
        <v>160</v>
      </c>
      <c r="E74" s="218">
        <v>174</v>
      </c>
      <c r="F74" s="24">
        <v>160</v>
      </c>
      <c r="G74" s="110">
        <f t="shared" si="0"/>
        <v>14</v>
      </c>
      <c r="I74" s="330"/>
      <c r="J74" s="315"/>
      <c r="K74" s="315"/>
      <c r="L74" s="315"/>
    </row>
    <row r="75" spans="1:13" ht="15.75" customHeight="1" x14ac:dyDescent="0.25">
      <c r="A75" s="28"/>
      <c r="B75" s="329"/>
      <c r="C75" s="315"/>
      <c r="D75" s="315"/>
      <c r="E75" s="315"/>
      <c r="F75" s="315"/>
      <c r="G75" s="315"/>
      <c r="H75" s="28"/>
      <c r="I75" s="27"/>
      <c r="J75" s="27"/>
      <c r="K75" s="31"/>
      <c r="L75" s="27"/>
      <c r="M75" s="28"/>
    </row>
    <row r="76" spans="1:13" ht="15.75" customHeight="1" x14ac:dyDescent="0.2"/>
    <row r="77" spans="1:13" ht="15.75" customHeight="1" x14ac:dyDescent="0.2"/>
    <row r="78" spans="1:13" ht="15.75" customHeight="1" x14ac:dyDescent="0.2"/>
    <row r="79" spans="1:13" ht="15.75" customHeight="1" x14ac:dyDescent="0.25">
      <c r="B79" s="23" t="s">
        <v>923</v>
      </c>
    </row>
    <row r="80" spans="1:13" ht="15.75" customHeight="1" x14ac:dyDescent="0.2"/>
    <row r="81" spans="2:13" ht="15.75" customHeight="1" x14ac:dyDescent="0.2"/>
    <row r="82" spans="2:13" ht="15.75" customHeight="1" x14ac:dyDescent="0.25">
      <c r="B82" s="304" t="s">
        <v>947</v>
      </c>
      <c r="C82" s="297"/>
      <c r="D82" s="297"/>
      <c r="E82" s="297"/>
      <c r="F82" s="154"/>
      <c r="I82" s="3"/>
    </row>
    <row r="83" spans="2:13" ht="24.75" customHeight="1" x14ac:dyDescent="0.2">
      <c r="B83" s="4" t="s">
        <v>0</v>
      </c>
      <c r="C83" s="5" t="s">
        <v>1</v>
      </c>
      <c r="D83" s="5" t="s">
        <v>2</v>
      </c>
      <c r="E83" s="5" t="s">
        <v>43</v>
      </c>
      <c r="F83" s="45" t="s">
        <v>125</v>
      </c>
      <c r="H83" s="296" t="s">
        <v>6</v>
      </c>
      <c r="I83" s="297"/>
      <c r="J83" s="297"/>
      <c r="K83" s="297"/>
      <c r="L83" s="297"/>
      <c r="M83" s="298"/>
    </row>
    <row r="84" spans="2:13" ht="15.75" customHeight="1" x14ac:dyDescent="0.2">
      <c r="B84" s="9" t="s">
        <v>7</v>
      </c>
      <c r="C84" s="302" t="s">
        <v>9</v>
      </c>
      <c r="D84" s="11">
        <v>28.1</v>
      </c>
      <c r="E84" s="11">
        <v>64</v>
      </c>
      <c r="F84" s="11">
        <v>67</v>
      </c>
      <c r="H84" s="296" t="s">
        <v>106</v>
      </c>
      <c r="I84" s="297"/>
      <c r="J84" s="298"/>
      <c r="K84" s="296" t="s">
        <v>107</v>
      </c>
      <c r="L84" s="297"/>
      <c r="M84" s="298"/>
    </row>
    <row r="85" spans="2:13" ht="15.75" customHeight="1" x14ac:dyDescent="0.2">
      <c r="B85" s="9" t="s">
        <v>17</v>
      </c>
      <c r="C85" s="300"/>
      <c r="D85" s="11">
        <v>63.911000000000001</v>
      </c>
      <c r="E85" s="11">
        <v>60</v>
      </c>
      <c r="F85" s="11">
        <v>64</v>
      </c>
      <c r="H85" s="13" t="s">
        <v>13</v>
      </c>
      <c r="I85" s="39">
        <f>I87+I87*0.05</f>
        <v>689.85</v>
      </c>
      <c r="J85" s="17" t="s">
        <v>950</v>
      </c>
      <c r="K85" s="13" t="s">
        <v>13</v>
      </c>
      <c r="L85" s="39">
        <f>L87+L87*0.05</f>
        <v>684.6</v>
      </c>
      <c r="M85" s="17" t="s">
        <v>951</v>
      </c>
    </row>
    <row r="86" spans="2:13" ht="15.75" customHeight="1" x14ac:dyDescent="0.2">
      <c r="B86" s="9" t="s">
        <v>26</v>
      </c>
      <c r="C86" s="300"/>
      <c r="D86" s="11">
        <v>69.921999999999997</v>
      </c>
      <c r="E86" s="11">
        <v>62</v>
      </c>
      <c r="F86" s="11">
        <v>62</v>
      </c>
      <c r="H86" s="13" t="s">
        <v>19</v>
      </c>
      <c r="I86" s="40">
        <f>I87-I87*0.05</f>
        <v>624.15</v>
      </c>
      <c r="J86" s="17" t="s">
        <v>952</v>
      </c>
      <c r="K86" s="13" t="s">
        <v>19</v>
      </c>
      <c r="L86" s="40">
        <f>L87-L87*0.05</f>
        <v>619.4</v>
      </c>
      <c r="M86" s="17" t="s">
        <v>953</v>
      </c>
    </row>
    <row r="87" spans="2:13" ht="15.75" customHeight="1" x14ac:dyDescent="0.2">
      <c r="B87" s="9" t="s">
        <v>32</v>
      </c>
      <c r="C87" s="300"/>
      <c r="D87" s="11">
        <v>96.744</v>
      </c>
      <c r="E87" s="11">
        <v>103</v>
      </c>
      <c r="F87" s="11">
        <v>108</v>
      </c>
      <c r="H87" s="13" t="s">
        <v>27</v>
      </c>
      <c r="I87" s="20">
        <v>657</v>
      </c>
      <c r="J87" s="17" t="s">
        <v>954</v>
      </c>
      <c r="K87" s="13" t="s">
        <v>27</v>
      </c>
      <c r="L87" s="20">
        <v>652</v>
      </c>
      <c r="M87" s="17" t="s">
        <v>955</v>
      </c>
    </row>
    <row r="88" spans="2:13" ht="15.75" customHeight="1" x14ac:dyDescent="0.2">
      <c r="B88" s="9" t="s">
        <v>33</v>
      </c>
      <c r="C88" s="301"/>
      <c r="D88" s="11">
        <v>128.11000000000001</v>
      </c>
      <c r="E88" s="11">
        <v>143</v>
      </c>
      <c r="F88" s="11">
        <v>150</v>
      </c>
      <c r="H88" s="13" t="s">
        <v>121</v>
      </c>
      <c r="I88" s="20">
        <v>672</v>
      </c>
      <c r="J88" s="17" t="s">
        <v>956</v>
      </c>
      <c r="K88" s="13" t="s">
        <v>121</v>
      </c>
      <c r="L88" s="20">
        <v>652</v>
      </c>
      <c r="M88" s="17" t="s">
        <v>957</v>
      </c>
    </row>
    <row r="89" spans="2:13" ht="15.75" customHeight="1" x14ac:dyDescent="0.25">
      <c r="B89" s="296"/>
      <c r="C89" s="297"/>
      <c r="D89" s="297"/>
      <c r="E89" s="297"/>
      <c r="F89" s="11"/>
      <c r="I89" s="3"/>
    </row>
    <row r="90" spans="2:13" ht="15.75" customHeight="1" x14ac:dyDescent="0.25">
      <c r="B90" s="9" t="s">
        <v>35</v>
      </c>
      <c r="C90" s="302" t="s">
        <v>36</v>
      </c>
      <c r="D90" s="11">
        <v>207.78</v>
      </c>
      <c r="E90" s="11">
        <v>192</v>
      </c>
      <c r="F90" s="11">
        <v>184</v>
      </c>
      <c r="I90" s="3"/>
    </row>
    <row r="91" spans="2:13" ht="15.75" customHeight="1" x14ac:dyDescent="0.25">
      <c r="B91" s="9" t="s">
        <v>37</v>
      </c>
      <c r="C91" s="300"/>
      <c r="D91" s="11">
        <v>444.11</v>
      </c>
      <c r="E91" s="11">
        <v>236</v>
      </c>
      <c r="F91" s="11">
        <v>237</v>
      </c>
      <c r="I91" s="3"/>
    </row>
    <row r="92" spans="2:13" ht="15.75" customHeight="1" x14ac:dyDescent="0.25">
      <c r="B92" s="9" t="s">
        <v>38</v>
      </c>
      <c r="C92" s="300"/>
      <c r="D92" s="11">
        <v>579.55999999999995</v>
      </c>
      <c r="E92" s="11">
        <v>452</v>
      </c>
      <c r="F92" s="11">
        <v>456</v>
      </c>
      <c r="I92" s="3"/>
    </row>
    <row r="93" spans="2:13" ht="15.75" customHeight="1" x14ac:dyDescent="0.25">
      <c r="B93" s="9" t="s">
        <v>39</v>
      </c>
      <c r="C93" s="300"/>
      <c r="D93" s="11">
        <v>746.22</v>
      </c>
      <c r="E93" s="11">
        <v>663</v>
      </c>
      <c r="F93" s="11">
        <v>675</v>
      </c>
      <c r="I93" s="3"/>
    </row>
    <row r="94" spans="2:13" ht="15.75" customHeight="1" x14ac:dyDescent="0.25">
      <c r="B94" s="49" t="s">
        <v>41</v>
      </c>
      <c r="C94" s="300"/>
      <c r="D94" s="51">
        <v>869.5</v>
      </c>
      <c r="E94" s="51">
        <v>720</v>
      </c>
      <c r="F94" s="51">
        <v>707</v>
      </c>
      <c r="I94" s="3"/>
    </row>
    <row r="95" spans="2:13" ht="15.75" customHeight="1" x14ac:dyDescent="0.25">
      <c r="B95" s="308"/>
      <c r="C95" s="297"/>
      <c r="D95" s="297"/>
      <c r="E95" s="297"/>
      <c r="F95" s="306"/>
      <c r="I95" s="3"/>
    </row>
    <row r="96" spans="2:13" ht="15.75" customHeight="1" x14ac:dyDescent="0.25">
      <c r="B96" s="9" t="s">
        <v>46</v>
      </c>
      <c r="C96" s="299" t="s">
        <v>47</v>
      </c>
      <c r="D96" s="11">
        <v>88.4</v>
      </c>
      <c r="E96" s="11">
        <v>93</v>
      </c>
      <c r="F96" s="11">
        <v>100</v>
      </c>
      <c r="I96" s="3"/>
    </row>
    <row r="97" spans="2:9" ht="15.75" customHeight="1" x14ac:dyDescent="0.25">
      <c r="B97" s="9" t="s">
        <v>48</v>
      </c>
      <c r="C97" s="300"/>
      <c r="D97" s="11">
        <v>94.6</v>
      </c>
      <c r="E97" s="11">
        <v>87</v>
      </c>
      <c r="F97" s="11">
        <v>92</v>
      </c>
      <c r="I97" s="3"/>
    </row>
    <row r="98" spans="2:9" ht="15.75" customHeight="1" x14ac:dyDescent="0.25">
      <c r="B98" s="296"/>
      <c r="C98" s="297"/>
      <c r="D98" s="297"/>
      <c r="E98" s="297"/>
      <c r="F98" s="11"/>
      <c r="I98" s="3"/>
    </row>
    <row r="99" spans="2:9" ht="15.75" customHeight="1" x14ac:dyDescent="0.25">
      <c r="B99" s="9" t="s">
        <v>50</v>
      </c>
      <c r="C99" s="302" t="s">
        <v>51</v>
      </c>
      <c r="D99" s="11">
        <v>271.44400000000002</v>
      </c>
      <c r="E99" s="11">
        <v>265</v>
      </c>
      <c r="F99" s="11">
        <v>260</v>
      </c>
      <c r="I99" s="3"/>
    </row>
    <row r="100" spans="2:9" ht="15.75" customHeight="1" x14ac:dyDescent="0.25">
      <c r="B100" s="9" t="s">
        <v>54</v>
      </c>
      <c r="C100" s="300"/>
      <c r="D100" s="11">
        <v>550.22199999999998</v>
      </c>
      <c r="E100" s="11">
        <v>281</v>
      </c>
      <c r="F100" s="11">
        <v>263</v>
      </c>
      <c r="I100" s="3"/>
    </row>
    <row r="101" spans="2:9" ht="15.75" customHeight="1" x14ac:dyDescent="0.25">
      <c r="B101" s="9" t="s">
        <v>55</v>
      </c>
      <c r="C101" s="300"/>
      <c r="D101" s="11">
        <v>609</v>
      </c>
      <c r="E101" s="11">
        <v>577</v>
      </c>
      <c r="F101" s="11">
        <v>585</v>
      </c>
      <c r="I101" s="3"/>
    </row>
    <row r="102" spans="2:9" ht="15.75" customHeight="1" x14ac:dyDescent="0.25">
      <c r="B102" s="9" t="s">
        <v>56</v>
      </c>
      <c r="C102" s="300"/>
      <c r="D102" s="11">
        <v>739.11099999999999</v>
      </c>
      <c r="E102" s="11">
        <v>686</v>
      </c>
      <c r="F102" s="11">
        <v>692</v>
      </c>
      <c r="I102" s="3"/>
    </row>
    <row r="103" spans="2:9" ht="15.75" customHeight="1" x14ac:dyDescent="0.25">
      <c r="B103" s="49" t="s">
        <v>57</v>
      </c>
      <c r="C103" s="300"/>
      <c r="D103" s="51">
        <v>746.88900000000001</v>
      </c>
      <c r="E103" s="51">
        <v>513</v>
      </c>
      <c r="F103" s="51">
        <v>525</v>
      </c>
      <c r="I103" s="3"/>
    </row>
    <row r="104" spans="2:9" ht="15.75" customHeight="1" x14ac:dyDescent="0.25">
      <c r="B104" s="308"/>
      <c r="C104" s="297"/>
      <c r="D104" s="297"/>
      <c r="E104" s="297"/>
      <c r="F104" s="306"/>
      <c r="I104" s="3"/>
    </row>
    <row r="105" spans="2:9" ht="15.75" customHeight="1" x14ac:dyDescent="0.25">
      <c r="B105" s="9" t="s">
        <v>60</v>
      </c>
      <c r="C105" s="299" t="s">
        <v>62</v>
      </c>
      <c r="D105" s="11">
        <v>19.36</v>
      </c>
      <c r="E105" s="11">
        <v>19</v>
      </c>
      <c r="F105" s="11">
        <v>20</v>
      </c>
      <c r="I105" s="3"/>
    </row>
    <row r="106" spans="2:9" ht="15.75" customHeight="1" x14ac:dyDescent="0.25">
      <c r="B106" s="9" t="s">
        <v>64</v>
      </c>
      <c r="C106" s="300"/>
      <c r="D106" s="11">
        <v>33.31</v>
      </c>
      <c r="E106" s="11">
        <v>33</v>
      </c>
      <c r="F106" s="11">
        <v>29</v>
      </c>
      <c r="I106" s="3"/>
    </row>
    <row r="107" spans="2:9" ht="15.75" customHeight="1" x14ac:dyDescent="0.25">
      <c r="B107" s="9" t="s">
        <v>65</v>
      </c>
      <c r="C107" s="301"/>
      <c r="D107" s="11">
        <v>41.74</v>
      </c>
      <c r="E107" s="11">
        <v>19</v>
      </c>
      <c r="F107" s="11">
        <v>21</v>
      </c>
      <c r="I107" s="3"/>
    </row>
    <row r="108" spans="2:9" ht="15.75" customHeight="1" x14ac:dyDescent="0.25">
      <c r="B108" s="296"/>
      <c r="C108" s="297"/>
      <c r="D108" s="297"/>
      <c r="E108" s="297"/>
      <c r="F108" s="11"/>
      <c r="I108" s="3"/>
    </row>
    <row r="109" spans="2:9" ht="15.75" customHeight="1" x14ac:dyDescent="0.25">
      <c r="B109" s="9" t="s">
        <v>66</v>
      </c>
      <c r="C109" s="302" t="s">
        <v>68</v>
      </c>
      <c r="D109" s="11">
        <v>204.5</v>
      </c>
      <c r="E109" s="11">
        <v>215</v>
      </c>
      <c r="F109" s="11">
        <v>220</v>
      </c>
      <c r="I109" s="3"/>
    </row>
    <row r="110" spans="2:9" ht="15.75" customHeight="1" x14ac:dyDescent="0.25">
      <c r="B110" s="49" t="s">
        <v>69</v>
      </c>
      <c r="C110" s="300"/>
      <c r="D110" s="51">
        <v>277.7</v>
      </c>
      <c r="E110" s="51">
        <v>275</v>
      </c>
      <c r="F110" s="51">
        <v>278</v>
      </c>
      <c r="I110" s="3"/>
    </row>
    <row r="111" spans="2:9" ht="15.75" customHeight="1" x14ac:dyDescent="0.25">
      <c r="B111" s="305"/>
      <c r="C111" s="297"/>
      <c r="D111" s="297"/>
      <c r="E111" s="297"/>
      <c r="F111" s="306"/>
      <c r="I111" s="3"/>
    </row>
    <row r="112" spans="2:9" ht="15.75" customHeight="1" x14ac:dyDescent="0.25">
      <c r="B112" s="9" t="s">
        <v>69</v>
      </c>
      <c r="C112" s="299" t="s">
        <v>71</v>
      </c>
      <c r="D112" s="11">
        <v>10.283300000000001</v>
      </c>
      <c r="E112" s="11">
        <v>7</v>
      </c>
      <c r="F112" s="11">
        <v>5</v>
      </c>
      <c r="I112" s="3"/>
    </row>
    <row r="113" spans="2:9" ht="15.75" customHeight="1" x14ac:dyDescent="0.25">
      <c r="B113" s="9" t="s">
        <v>72</v>
      </c>
      <c r="C113" s="300"/>
      <c r="D113" s="11">
        <v>11.8833</v>
      </c>
      <c r="E113" s="11">
        <v>4</v>
      </c>
      <c r="F113" s="11">
        <v>6</v>
      </c>
      <c r="I113" s="3"/>
    </row>
    <row r="114" spans="2:9" ht="15.75" customHeight="1" x14ac:dyDescent="0.25">
      <c r="B114" s="9" t="s">
        <v>73</v>
      </c>
      <c r="C114" s="301"/>
      <c r="D114" s="11">
        <v>17.433299999999999</v>
      </c>
      <c r="E114" s="11">
        <v>5</v>
      </c>
      <c r="F114" s="11">
        <v>8</v>
      </c>
      <c r="I114" s="3"/>
    </row>
    <row r="115" spans="2:9" ht="15.75" customHeight="1" x14ac:dyDescent="0.25">
      <c r="B115" s="296"/>
      <c r="C115" s="297"/>
      <c r="D115" s="297"/>
      <c r="E115" s="297"/>
      <c r="F115" s="11"/>
      <c r="I115" s="3"/>
    </row>
    <row r="116" spans="2:9" ht="15.75" customHeight="1" x14ac:dyDescent="0.25">
      <c r="B116" s="9" t="s">
        <v>76</v>
      </c>
      <c r="C116" s="302" t="s">
        <v>77</v>
      </c>
      <c r="D116" s="11">
        <v>117.467</v>
      </c>
      <c r="E116" s="11">
        <v>177</v>
      </c>
      <c r="F116" s="11">
        <v>184</v>
      </c>
      <c r="I116" s="3"/>
    </row>
    <row r="117" spans="2:9" ht="15.75" customHeight="1" x14ac:dyDescent="0.25">
      <c r="B117" s="9" t="s">
        <v>78</v>
      </c>
      <c r="C117" s="300"/>
      <c r="D117" s="11">
        <v>187.833</v>
      </c>
      <c r="E117" s="11">
        <v>125</v>
      </c>
      <c r="F117" s="11">
        <v>126</v>
      </c>
      <c r="I117" s="3"/>
    </row>
    <row r="118" spans="2:9" ht="15.75" customHeight="1" x14ac:dyDescent="0.25">
      <c r="B118" s="9" t="s">
        <v>79</v>
      </c>
      <c r="C118" s="300"/>
      <c r="D118" s="11">
        <v>218.333</v>
      </c>
      <c r="E118" s="11">
        <v>232</v>
      </c>
      <c r="F118" s="11">
        <v>238</v>
      </c>
      <c r="I118" s="3"/>
    </row>
    <row r="119" spans="2:9" ht="15.75" customHeight="1" x14ac:dyDescent="0.25">
      <c r="B119" s="49" t="s">
        <v>80</v>
      </c>
      <c r="C119" s="300"/>
      <c r="D119" s="51">
        <v>238.5</v>
      </c>
      <c r="E119" s="51">
        <v>108</v>
      </c>
      <c r="F119" s="51">
        <v>106</v>
      </c>
      <c r="I119" s="3"/>
    </row>
    <row r="120" spans="2:9" ht="15.75" customHeight="1" x14ac:dyDescent="0.25">
      <c r="B120" s="305"/>
      <c r="C120" s="297"/>
      <c r="D120" s="297"/>
      <c r="E120" s="297"/>
      <c r="F120" s="306"/>
      <c r="I120" s="3"/>
    </row>
    <row r="121" spans="2:9" ht="15.75" customHeight="1" x14ac:dyDescent="0.25">
      <c r="B121" s="9" t="s">
        <v>81</v>
      </c>
      <c r="C121" s="299" t="s">
        <v>82</v>
      </c>
      <c r="D121" s="11">
        <v>2</v>
      </c>
      <c r="E121" s="11">
        <v>2</v>
      </c>
      <c r="F121" s="11">
        <v>2</v>
      </c>
      <c r="I121" s="3"/>
    </row>
    <row r="122" spans="2:9" ht="15.75" customHeight="1" x14ac:dyDescent="0.25">
      <c r="B122" s="9" t="s">
        <v>83</v>
      </c>
      <c r="C122" s="300"/>
      <c r="D122" s="11">
        <v>7.133</v>
      </c>
      <c r="E122" s="11">
        <v>13</v>
      </c>
      <c r="F122" s="11">
        <v>13</v>
      </c>
      <c r="I122" s="3"/>
    </row>
    <row r="123" spans="2:9" ht="15.75" customHeight="1" x14ac:dyDescent="0.25">
      <c r="B123" s="9" t="s">
        <v>84</v>
      </c>
      <c r="C123" s="301"/>
      <c r="D123" s="11">
        <v>10.72</v>
      </c>
      <c r="E123" s="11">
        <v>6</v>
      </c>
      <c r="F123" s="11">
        <v>7</v>
      </c>
      <c r="I123" s="3"/>
    </row>
    <row r="124" spans="2:9" ht="15.75" customHeight="1" x14ac:dyDescent="0.25">
      <c r="B124" s="296"/>
      <c r="C124" s="297"/>
      <c r="D124" s="297"/>
      <c r="E124" s="297"/>
      <c r="F124" s="11"/>
      <c r="I124" s="3"/>
    </row>
    <row r="125" spans="2:9" ht="15.75" customHeight="1" x14ac:dyDescent="0.25">
      <c r="B125" s="9" t="s">
        <v>86</v>
      </c>
      <c r="C125" s="302" t="s">
        <v>87</v>
      </c>
      <c r="D125" s="11">
        <v>20.466999999999999</v>
      </c>
      <c r="E125" s="11">
        <v>22</v>
      </c>
      <c r="F125" s="11">
        <v>22</v>
      </c>
      <c r="I125" s="3"/>
    </row>
    <row r="126" spans="2:9" ht="15.75" customHeight="1" x14ac:dyDescent="0.25">
      <c r="B126" s="49" t="s">
        <v>88</v>
      </c>
      <c r="C126" s="300"/>
      <c r="D126" s="51">
        <v>20.367000000000001</v>
      </c>
      <c r="E126" s="51">
        <v>23</v>
      </c>
      <c r="F126" s="51">
        <v>22</v>
      </c>
      <c r="I126" s="3"/>
    </row>
    <row r="127" spans="2:9" ht="15.75" customHeight="1" x14ac:dyDescent="0.25">
      <c r="B127" s="305"/>
      <c r="C127" s="297"/>
      <c r="D127" s="297"/>
      <c r="E127" s="297"/>
      <c r="F127" s="306"/>
      <c r="I127" s="3"/>
    </row>
    <row r="128" spans="2:9" ht="15.75" customHeight="1" x14ac:dyDescent="0.25">
      <c r="B128" s="9" t="s">
        <v>89</v>
      </c>
      <c r="C128" s="299" t="s">
        <v>90</v>
      </c>
      <c r="D128" s="11">
        <v>5.15</v>
      </c>
      <c r="E128" s="11">
        <v>18</v>
      </c>
      <c r="F128" s="11">
        <v>18</v>
      </c>
      <c r="I128" s="3"/>
    </row>
    <row r="129" spans="1:29" ht="15.75" customHeight="1" x14ac:dyDescent="0.25">
      <c r="B129" s="49" t="s">
        <v>91</v>
      </c>
      <c r="C129" s="300"/>
      <c r="D129" s="51">
        <v>16.2</v>
      </c>
      <c r="E129" s="51">
        <v>19</v>
      </c>
      <c r="F129" s="51">
        <v>19</v>
      </c>
      <c r="I129" s="3"/>
    </row>
    <row r="130" spans="1:29" ht="15.75" customHeight="1" x14ac:dyDescent="0.25">
      <c r="B130" s="296"/>
      <c r="C130" s="297"/>
      <c r="D130" s="297"/>
      <c r="E130" s="297"/>
      <c r="F130" s="298"/>
      <c r="I130" s="3"/>
    </row>
    <row r="131" spans="1:29" ht="15.75" customHeight="1" x14ac:dyDescent="0.25">
      <c r="B131" s="9" t="s">
        <v>94</v>
      </c>
      <c r="C131" s="299" t="s">
        <v>95</v>
      </c>
      <c r="D131" s="11">
        <v>50.082999999999998</v>
      </c>
      <c r="E131" s="11">
        <v>53</v>
      </c>
      <c r="F131" s="11">
        <v>53</v>
      </c>
      <c r="I131" s="3"/>
    </row>
    <row r="132" spans="1:29" ht="15.75" customHeight="1" x14ac:dyDescent="0.25">
      <c r="B132" s="9" t="s">
        <v>96</v>
      </c>
      <c r="C132" s="300"/>
      <c r="D132" s="11">
        <v>93.992999999999995</v>
      </c>
      <c r="E132" s="11">
        <v>107</v>
      </c>
      <c r="F132" s="11">
        <v>107</v>
      </c>
      <c r="I132" s="3"/>
    </row>
    <row r="133" spans="1:29" ht="15.75" customHeight="1" x14ac:dyDescent="0.25">
      <c r="B133" s="9" t="s">
        <v>97</v>
      </c>
      <c r="C133" s="300"/>
      <c r="D133" s="11">
        <v>95.516999999999996</v>
      </c>
      <c r="E133" s="11">
        <v>53</v>
      </c>
      <c r="F133" s="11">
        <v>54</v>
      </c>
      <c r="I133" s="3"/>
    </row>
    <row r="134" spans="1:29" ht="15.75" customHeight="1" x14ac:dyDescent="0.25">
      <c r="B134" s="9" t="s">
        <v>98</v>
      </c>
      <c r="C134" s="300"/>
      <c r="D134" s="11">
        <v>100.92</v>
      </c>
      <c r="E134" s="11">
        <v>109</v>
      </c>
      <c r="F134" s="11">
        <v>110</v>
      </c>
      <c r="I134" s="3"/>
    </row>
    <row r="135" spans="1:29" ht="15.75" customHeight="1" x14ac:dyDescent="0.25">
      <c r="B135" s="9" t="s">
        <v>99</v>
      </c>
      <c r="C135" s="301"/>
      <c r="D135" s="11">
        <v>115.37</v>
      </c>
      <c r="E135" s="11">
        <v>111</v>
      </c>
      <c r="F135" s="11">
        <v>114</v>
      </c>
      <c r="I135" s="3"/>
    </row>
    <row r="136" spans="1:29" ht="15.75" customHeight="1" x14ac:dyDescent="0.25">
      <c r="B136" s="1"/>
      <c r="C136" s="1"/>
      <c r="D136" s="2"/>
      <c r="E136" s="2"/>
      <c r="F136" s="146"/>
      <c r="I136" s="3"/>
    </row>
    <row r="137" spans="1:29" ht="15.75" customHeight="1" x14ac:dyDescent="0.2"/>
    <row r="138" spans="1:29" ht="15.75" customHeight="1" x14ac:dyDescent="0.2"/>
    <row r="139" spans="1:29" ht="15.75" customHeight="1" x14ac:dyDescent="0.25">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row>
    <row r="140" spans="1:29" ht="15.75" customHeight="1" x14ac:dyDescent="0.2"/>
    <row r="141" spans="1:29" ht="15.75" customHeight="1" x14ac:dyDescent="0.2"/>
    <row r="142" spans="1:29" ht="15.75" customHeight="1" x14ac:dyDescent="0.2"/>
    <row r="143" spans="1:29" ht="15.75" customHeight="1" x14ac:dyDescent="0.2"/>
    <row r="144" spans="1:29" ht="15.75" customHeight="1" x14ac:dyDescent="0.25">
      <c r="B144" s="23" t="s">
        <v>946</v>
      </c>
      <c r="C144" s="28"/>
      <c r="D144" s="28"/>
      <c r="E144" s="28"/>
      <c r="F144" s="28"/>
      <c r="G144" s="28"/>
      <c r="H144" s="28"/>
      <c r="I144" s="28"/>
      <c r="J144" s="28"/>
      <c r="K144" s="28"/>
      <c r="L144" s="28"/>
    </row>
    <row r="145" spans="1:19" ht="15.75" customHeight="1" x14ac:dyDescent="0.25">
      <c r="B145" s="28"/>
      <c r="C145" s="23"/>
      <c r="D145" s="23"/>
      <c r="E145" s="23"/>
      <c r="F145" s="23"/>
      <c r="G145" s="23"/>
      <c r="H145" s="28"/>
      <c r="I145" s="28"/>
      <c r="J145" s="28"/>
      <c r="K145" s="28"/>
      <c r="L145" s="28"/>
    </row>
    <row r="146" spans="1:19" ht="15.75" customHeight="1" x14ac:dyDescent="0.25">
      <c r="B146" s="336" t="s">
        <v>963</v>
      </c>
      <c r="C146" s="334"/>
      <c r="D146" s="334"/>
      <c r="E146" s="334"/>
      <c r="F146" s="335"/>
    </row>
    <row r="147" spans="1:19" ht="15.75" customHeight="1" x14ac:dyDescent="0.25">
      <c r="B147" s="220" t="s">
        <v>0</v>
      </c>
      <c r="C147" s="221" t="s">
        <v>1</v>
      </c>
      <c r="D147" s="221" t="s">
        <v>42</v>
      </c>
      <c r="E147" s="221" t="s">
        <v>43</v>
      </c>
      <c r="F147" s="221" t="s">
        <v>44</v>
      </c>
      <c r="H147" s="296" t="s">
        <v>45</v>
      </c>
      <c r="I147" s="297"/>
      <c r="J147" s="297"/>
      <c r="K147" s="298"/>
      <c r="M147" s="21">
        <v>24</v>
      </c>
      <c r="N147" s="324" t="s">
        <v>968</v>
      </c>
      <c r="O147" s="315"/>
      <c r="P147" s="315"/>
      <c r="Q147" s="315"/>
      <c r="R147" s="315"/>
      <c r="S147" s="315"/>
    </row>
    <row r="148" spans="1:19" ht="15.75" customHeight="1" x14ac:dyDescent="0.2">
      <c r="B148" s="337" t="s">
        <v>275</v>
      </c>
      <c r="C148" s="334"/>
      <c r="D148" s="334"/>
      <c r="E148" s="334"/>
      <c r="F148" s="335"/>
      <c r="H148" s="305" t="s">
        <v>275</v>
      </c>
      <c r="I148" s="297"/>
      <c r="J148" s="297"/>
      <c r="K148" s="298"/>
      <c r="N148" s="315"/>
      <c r="O148" s="315"/>
      <c r="P148" s="315"/>
      <c r="Q148" s="315"/>
      <c r="R148" s="315"/>
      <c r="S148" s="315"/>
    </row>
    <row r="149" spans="1:19" ht="15.75" customHeight="1" x14ac:dyDescent="0.2">
      <c r="B149" s="9" t="s">
        <v>11</v>
      </c>
      <c r="C149" s="9" t="s">
        <v>12</v>
      </c>
      <c r="D149" s="17">
        <v>490</v>
      </c>
      <c r="E149" s="177">
        <v>490</v>
      </c>
      <c r="F149" s="17">
        <v>594</v>
      </c>
      <c r="H149" s="12"/>
      <c r="I149" s="12" t="s">
        <v>52</v>
      </c>
      <c r="J149" s="12" t="s">
        <v>53</v>
      </c>
      <c r="K149" s="12"/>
      <c r="N149" s="315"/>
      <c r="O149" s="315"/>
      <c r="P149" s="315"/>
      <c r="Q149" s="315"/>
      <c r="R149" s="315"/>
      <c r="S149" s="315"/>
    </row>
    <row r="150" spans="1:19" ht="15.75" customHeight="1" x14ac:dyDescent="0.2">
      <c r="B150" s="9" t="s">
        <v>11</v>
      </c>
      <c r="C150" s="12" t="s">
        <v>18</v>
      </c>
      <c r="D150" s="17">
        <v>0</v>
      </c>
      <c r="E150" s="177">
        <v>7</v>
      </c>
      <c r="F150" s="17">
        <v>0</v>
      </c>
      <c r="H150" s="12" t="s">
        <v>12</v>
      </c>
      <c r="I150" s="17">
        <v>490</v>
      </c>
      <c r="J150" s="17">
        <v>595</v>
      </c>
      <c r="K150" s="17" t="s">
        <v>970</v>
      </c>
      <c r="N150" s="315"/>
      <c r="O150" s="315"/>
      <c r="P150" s="315"/>
      <c r="Q150" s="315"/>
      <c r="R150" s="315"/>
      <c r="S150" s="315"/>
    </row>
    <row r="151" spans="1:19" ht="15.75" customHeight="1" x14ac:dyDescent="0.2">
      <c r="B151" s="9" t="s">
        <v>21</v>
      </c>
      <c r="C151" s="12" t="s">
        <v>59</v>
      </c>
      <c r="D151" s="17">
        <v>440</v>
      </c>
      <c r="E151" s="177">
        <v>400</v>
      </c>
      <c r="F151" s="17">
        <v>449</v>
      </c>
      <c r="H151" s="12" t="s">
        <v>18</v>
      </c>
      <c r="I151" s="24">
        <v>0</v>
      </c>
      <c r="J151" s="24">
        <v>0</v>
      </c>
      <c r="K151" s="24" t="s">
        <v>971</v>
      </c>
      <c r="N151" s="315"/>
      <c r="O151" s="315"/>
      <c r="P151" s="315"/>
      <c r="Q151" s="315"/>
      <c r="R151" s="315"/>
      <c r="S151" s="315"/>
    </row>
    <row r="152" spans="1:19" ht="15.75" customHeight="1" x14ac:dyDescent="0.2">
      <c r="B152" s="12" t="s">
        <v>21</v>
      </c>
      <c r="C152" s="12" t="s">
        <v>63</v>
      </c>
      <c r="D152" s="24">
        <v>160</v>
      </c>
      <c r="E152" s="218">
        <v>134</v>
      </c>
      <c r="F152" s="24">
        <v>157</v>
      </c>
      <c r="H152" s="330"/>
      <c r="I152" s="315"/>
      <c r="J152" s="315"/>
      <c r="K152" s="315"/>
      <c r="N152" s="315"/>
      <c r="O152" s="315"/>
      <c r="P152" s="315"/>
      <c r="Q152" s="315"/>
      <c r="R152" s="315"/>
      <c r="S152" s="315"/>
    </row>
    <row r="153" spans="1:19" ht="15.75" customHeight="1" x14ac:dyDescent="0.2">
      <c r="B153" s="12" t="s">
        <v>21</v>
      </c>
      <c r="C153" s="12" t="s">
        <v>218</v>
      </c>
      <c r="D153" s="24">
        <v>0</v>
      </c>
      <c r="E153" s="218">
        <v>66</v>
      </c>
      <c r="F153" s="24">
        <v>0</v>
      </c>
    </row>
    <row r="154" spans="1:19" ht="15.75" customHeight="1" x14ac:dyDescent="0.2"/>
    <row r="155" spans="1:19" ht="15.75" customHeight="1" x14ac:dyDescent="0.2"/>
    <row r="156" spans="1:19" ht="15.75" customHeight="1" x14ac:dyDescent="0.2">
      <c r="A156" s="339" t="s">
        <v>372</v>
      </c>
      <c r="B156" s="334"/>
      <c r="C156" s="334"/>
      <c r="D156" s="334"/>
      <c r="E156" s="334"/>
      <c r="F156" s="334"/>
      <c r="G156" s="334"/>
      <c r="H156" s="334"/>
      <c r="I156" s="334"/>
      <c r="J156" s="334"/>
      <c r="K156" s="334"/>
      <c r="L156" s="334"/>
      <c r="M156" s="334"/>
      <c r="N156" s="334"/>
      <c r="O156" s="335"/>
    </row>
    <row r="157" spans="1:19" ht="15.75" customHeight="1" x14ac:dyDescent="0.25">
      <c r="A157" s="340" t="s">
        <v>373</v>
      </c>
      <c r="B157" s="334"/>
      <c r="C157" s="335"/>
      <c r="D157" s="340" t="s">
        <v>375</v>
      </c>
      <c r="E157" s="334"/>
      <c r="F157" s="335"/>
      <c r="G157" s="336" t="s">
        <v>376</v>
      </c>
      <c r="H157" s="334"/>
      <c r="I157" s="335"/>
      <c r="J157" s="336" t="s">
        <v>377</v>
      </c>
      <c r="K157" s="334"/>
      <c r="L157" s="334"/>
      <c r="M157" s="334"/>
      <c r="N157" s="334"/>
      <c r="O157" s="335"/>
    </row>
    <row r="158" spans="1:19" ht="15.75" customHeight="1" x14ac:dyDescent="0.2">
      <c r="A158" s="340"/>
      <c r="B158" s="334"/>
      <c r="C158" s="335"/>
      <c r="D158" s="167" t="s">
        <v>379</v>
      </c>
      <c r="E158" s="167" t="s">
        <v>380</v>
      </c>
      <c r="F158" s="93" t="s">
        <v>381</v>
      </c>
      <c r="G158" s="167" t="s">
        <v>379</v>
      </c>
      <c r="H158" s="167" t="s">
        <v>380</v>
      </c>
      <c r="I158" s="93" t="s">
        <v>381</v>
      </c>
      <c r="J158" s="341"/>
      <c r="K158" s="334"/>
      <c r="L158" s="334"/>
      <c r="M158" s="334"/>
      <c r="N158" s="334"/>
      <c r="O158" s="335"/>
    </row>
    <row r="159" spans="1:19" ht="15.75" customHeight="1" x14ac:dyDescent="0.25">
      <c r="A159" s="333" t="s">
        <v>383</v>
      </c>
      <c r="B159" s="334"/>
      <c r="C159" s="335"/>
      <c r="D159" s="171"/>
      <c r="E159" s="172"/>
      <c r="F159" s="173" t="s">
        <v>385</v>
      </c>
      <c r="G159" s="174" t="s">
        <v>385</v>
      </c>
      <c r="H159" s="174"/>
      <c r="I159" s="174"/>
      <c r="J159" s="333" t="s">
        <v>979</v>
      </c>
      <c r="K159" s="334"/>
      <c r="L159" s="334"/>
      <c r="M159" s="334"/>
      <c r="N159" s="334"/>
      <c r="O159" s="335"/>
    </row>
    <row r="160" spans="1:19" ht="15.75" customHeight="1" x14ac:dyDescent="0.25">
      <c r="A160" s="333" t="s">
        <v>389</v>
      </c>
      <c r="B160" s="334"/>
      <c r="C160" s="335"/>
      <c r="D160" s="173" t="s">
        <v>399</v>
      </c>
      <c r="E160" s="173"/>
      <c r="F160" s="173"/>
      <c r="G160" s="173" t="s">
        <v>385</v>
      </c>
      <c r="H160" s="173"/>
      <c r="I160" s="173"/>
      <c r="J160" s="333" t="s">
        <v>980</v>
      </c>
      <c r="K160" s="334"/>
      <c r="L160" s="334"/>
      <c r="M160" s="334"/>
      <c r="N160" s="334"/>
      <c r="O160" s="335"/>
    </row>
    <row r="161" spans="1:15" ht="15.75" customHeight="1" x14ac:dyDescent="0.25">
      <c r="A161" s="333" t="s">
        <v>391</v>
      </c>
      <c r="B161" s="334"/>
      <c r="C161" s="335"/>
      <c r="D161" s="173"/>
      <c r="E161" s="173" t="s">
        <v>399</v>
      </c>
      <c r="F161" s="173"/>
      <c r="G161" s="173" t="s">
        <v>385</v>
      </c>
      <c r="H161" s="173"/>
      <c r="I161" s="173"/>
      <c r="J161" s="333" t="s">
        <v>981</v>
      </c>
      <c r="K161" s="334"/>
      <c r="L161" s="334"/>
      <c r="M161" s="334"/>
      <c r="N161" s="334"/>
      <c r="O161" s="335"/>
    </row>
    <row r="162" spans="1:15" ht="15.75" customHeight="1" x14ac:dyDescent="0.25">
      <c r="A162" s="333" t="s">
        <v>393</v>
      </c>
      <c r="B162" s="334"/>
      <c r="C162" s="335"/>
      <c r="D162" s="173" t="s">
        <v>385</v>
      </c>
      <c r="E162" s="173"/>
      <c r="F162" s="173"/>
      <c r="G162" s="173" t="s">
        <v>385</v>
      </c>
      <c r="H162" s="173"/>
      <c r="I162" s="173"/>
      <c r="J162" s="333" t="s">
        <v>394</v>
      </c>
      <c r="K162" s="334"/>
      <c r="L162" s="334"/>
      <c r="M162" s="334"/>
      <c r="N162" s="334"/>
      <c r="O162" s="335"/>
    </row>
    <row r="163" spans="1:15" ht="15.75" customHeight="1" x14ac:dyDescent="0.25">
      <c r="A163" s="333" t="s">
        <v>395</v>
      </c>
      <c r="B163" s="334"/>
      <c r="C163" s="335"/>
      <c r="D163" s="173" t="s">
        <v>385</v>
      </c>
      <c r="E163" s="173"/>
      <c r="F163" s="173"/>
      <c r="G163" s="173" t="s">
        <v>385</v>
      </c>
      <c r="H163" s="173"/>
      <c r="I163" s="173"/>
      <c r="J163" s="333" t="s">
        <v>397</v>
      </c>
      <c r="K163" s="334"/>
      <c r="L163" s="334"/>
      <c r="M163" s="334"/>
      <c r="N163" s="334"/>
      <c r="O163" s="335"/>
    </row>
    <row r="164" spans="1:15" ht="15.75" customHeight="1" x14ac:dyDescent="0.25">
      <c r="A164" s="333" t="s">
        <v>398</v>
      </c>
      <c r="B164" s="334"/>
      <c r="C164" s="335"/>
      <c r="D164" s="173" t="s">
        <v>399</v>
      </c>
      <c r="E164" s="173"/>
      <c r="F164" s="173"/>
      <c r="G164" s="173" t="s">
        <v>385</v>
      </c>
      <c r="H164" s="173"/>
      <c r="I164" s="173"/>
      <c r="J164" s="333" t="s">
        <v>980</v>
      </c>
      <c r="K164" s="334"/>
      <c r="L164" s="334"/>
      <c r="M164" s="334"/>
      <c r="N164" s="334"/>
      <c r="O164" s="335"/>
    </row>
    <row r="165" spans="1:15" ht="15.75" customHeight="1" x14ac:dyDescent="0.25">
      <c r="A165" s="333" t="s">
        <v>401</v>
      </c>
      <c r="B165" s="334"/>
      <c r="C165" s="335"/>
      <c r="D165" s="173" t="s">
        <v>385</v>
      </c>
      <c r="E165" s="173"/>
      <c r="F165" s="173"/>
      <c r="G165" s="173" t="s">
        <v>385</v>
      </c>
      <c r="H165" s="173"/>
      <c r="I165" s="173"/>
      <c r="J165" s="333" t="s">
        <v>402</v>
      </c>
      <c r="K165" s="334"/>
      <c r="L165" s="334"/>
      <c r="M165" s="334"/>
      <c r="N165" s="334"/>
      <c r="O165" s="335"/>
    </row>
    <row r="166" spans="1:15" ht="15.75" customHeight="1" x14ac:dyDescent="0.25">
      <c r="A166" s="333" t="s">
        <v>403</v>
      </c>
      <c r="B166" s="334"/>
      <c r="C166" s="335"/>
      <c r="D166" s="173" t="s">
        <v>399</v>
      </c>
      <c r="E166" s="173"/>
      <c r="F166" s="173"/>
      <c r="G166" s="173" t="s">
        <v>385</v>
      </c>
      <c r="H166" s="173"/>
      <c r="I166" s="173"/>
      <c r="J166" s="333" t="s">
        <v>980</v>
      </c>
      <c r="K166" s="334"/>
      <c r="L166" s="334"/>
      <c r="M166" s="334"/>
      <c r="N166" s="334"/>
      <c r="O166" s="335"/>
    </row>
    <row r="167" spans="1:15" ht="15.75" customHeight="1" x14ac:dyDescent="0.25">
      <c r="A167" s="333" t="s">
        <v>405</v>
      </c>
      <c r="B167" s="334"/>
      <c r="C167" s="335"/>
      <c r="D167" s="173" t="s">
        <v>399</v>
      </c>
      <c r="E167" s="173"/>
      <c r="F167" s="173"/>
      <c r="G167" s="173" t="s">
        <v>385</v>
      </c>
      <c r="H167" s="173"/>
      <c r="I167" s="173"/>
      <c r="J167" s="333" t="s">
        <v>980</v>
      </c>
      <c r="K167" s="334"/>
      <c r="L167" s="334"/>
      <c r="M167" s="334"/>
      <c r="N167" s="334"/>
      <c r="O167" s="335"/>
    </row>
    <row r="168" spans="1:15" ht="15.75" customHeight="1" x14ac:dyDescent="0.25">
      <c r="A168" s="333" t="s">
        <v>408</v>
      </c>
      <c r="B168" s="334"/>
      <c r="C168" s="335"/>
      <c r="D168" s="173" t="s">
        <v>385</v>
      </c>
      <c r="E168" s="173"/>
      <c r="F168" s="173"/>
      <c r="G168" s="173" t="s">
        <v>385</v>
      </c>
      <c r="H168" s="173"/>
      <c r="I168" s="173"/>
      <c r="J168" s="333" t="s">
        <v>982</v>
      </c>
      <c r="K168" s="334"/>
      <c r="L168" s="334"/>
      <c r="M168" s="334"/>
      <c r="N168" s="334"/>
      <c r="O168" s="335"/>
    </row>
    <row r="169" spans="1:15" ht="15.75" customHeight="1" x14ac:dyDescent="0.25">
      <c r="A169" s="333" t="s">
        <v>411</v>
      </c>
      <c r="B169" s="334"/>
      <c r="C169" s="335"/>
      <c r="D169" s="173" t="s">
        <v>399</v>
      </c>
      <c r="E169" s="173"/>
      <c r="F169" s="173"/>
      <c r="G169" s="173" t="s">
        <v>399</v>
      </c>
      <c r="H169" s="173"/>
      <c r="I169" s="173"/>
      <c r="J169" s="333" t="s">
        <v>983</v>
      </c>
      <c r="K169" s="334"/>
      <c r="L169" s="334"/>
      <c r="M169" s="334"/>
      <c r="N169" s="334"/>
      <c r="O169" s="335"/>
    </row>
    <row r="170" spans="1:15" ht="15.75" customHeight="1" x14ac:dyDescent="0.25">
      <c r="A170" s="333" t="s">
        <v>413</v>
      </c>
      <c r="B170" s="334"/>
      <c r="C170" s="335"/>
      <c r="D170" s="173" t="s">
        <v>385</v>
      </c>
      <c r="E170" s="173"/>
      <c r="F170" s="173"/>
      <c r="G170" s="173" t="s">
        <v>385</v>
      </c>
      <c r="H170" s="173"/>
      <c r="I170" s="173"/>
      <c r="J170" s="333" t="s">
        <v>414</v>
      </c>
      <c r="K170" s="334"/>
      <c r="L170" s="334"/>
      <c r="M170" s="334"/>
      <c r="N170" s="334"/>
      <c r="O170" s="335"/>
    </row>
    <row r="171" spans="1:15" ht="15.75" customHeight="1" x14ac:dyDescent="0.25">
      <c r="A171" s="333" t="s">
        <v>416</v>
      </c>
      <c r="B171" s="334"/>
      <c r="C171" s="335"/>
      <c r="D171" s="173" t="s">
        <v>385</v>
      </c>
      <c r="E171" s="173"/>
      <c r="F171" s="173"/>
      <c r="G171" s="173" t="s">
        <v>385</v>
      </c>
      <c r="H171" s="173"/>
      <c r="I171" s="173"/>
      <c r="J171" s="333" t="s">
        <v>417</v>
      </c>
      <c r="K171" s="334"/>
      <c r="L171" s="334"/>
      <c r="M171" s="334"/>
      <c r="N171" s="334"/>
      <c r="O171" s="335"/>
    </row>
    <row r="172" spans="1:15" ht="15.75" customHeight="1" x14ac:dyDescent="0.25">
      <c r="A172" s="333" t="s">
        <v>418</v>
      </c>
      <c r="B172" s="334"/>
      <c r="C172" s="335"/>
      <c r="D172" s="173" t="s">
        <v>399</v>
      </c>
      <c r="E172" s="173"/>
      <c r="F172" s="173"/>
      <c r="G172" s="173" t="s">
        <v>399</v>
      </c>
      <c r="H172" s="173"/>
      <c r="I172" s="173"/>
      <c r="J172" s="333" t="s">
        <v>984</v>
      </c>
      <c r="K172" s="334"/>
      <c r="L172" s="334"/>
      <c r="M172" s="334"/>
      <c r="N172" s="334"/>
      <c r="O172" s="335"/>
    </row>
    <row r="173" spans="1:15" ht="15.75" customHeight="1" x14ac:dyDescent="0.25">
      <c r="A173" s="333" t="s">
        <v>421</v>
      </c>
      <c r="B173" s="334"/>
      <c r="C173" s="335"/>
      <c r="D173" s="173"/>
      <c r="E173" s="173"/>
      <c r="F173" s="173"/>
      <c r="G173" s="173" t="s">
        <v>385</v>
      </c>
      <c r="H173" s="173"/>
      <c r="I173" s="173"/>
      <c r="J173" s="333" t="s">
        <v>422</v>
      </c>
      <c r="K173" s="334"/>
      <c r="L173" s="334"/>
      <c r="M173" s="334"/>
      <c r="N173" s="334"/>
      <c r="O173" s="335"/>
    </row>
    <row r="174" spans="1:15" ht="15.75" customHeight="1" x14ac:dyDescent="0.2"/>
    <row r="175" spans="1:15" ht="15.75" customHeight="1" x14ac:dyDescent="0.2"/>
    <row r="176" spans="1:15" ht="15.75" customHeight="1" x14ac:dyDescent="0.2"/>
    <row r="177" spans="1:29" ht="15.75" customHeight="1" x14ac:dyDescent="0.25">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row>
    <row r="178" spans="1:29" ht="15.75" customHeight="1" x14ac:dyDescent="0.2"/>
    <row r="179" spans="1:29" ht="15.75" customHeight="1" x14ac:dyDescent="0.2"/>
    <row r="180" spans="1:29" ht="15.75" customHeight="1" x14ac:dyDescent="0.2"/>
    <row r="181" spans="1:29" ht="15.75" customHeight="1" x14ac:dyDescent="0.2"/>
    <row r="182" spans="1:29" ht="15.75" customHeight="1" x14ac:dyDescent="0.25">
      <c r="B182" s="23" t="s">
        <v>946</v>
      </c>
      <c r="C182" s="28"/>
      <c r="D182" s="28"/>
      <c r="E182" s="28"/>
      <c r="F182" s="28"/>
      <c r="G182" s="28"/>
      <c r="H182" s="28"/>
      <c r="I182" s="28"/>
      <c r="J182" s="28"/>
      <c r="K182" s="28"/>
      <c r="L182" s="28"/>
    </row>
    <row r="183" spans="1:29" ht="15.75" customHeight="1" x14ac:dyDescent="0.3">
      <c r="B183" s="28"/>
      <c r="C183" s="23"/>
      <c r="D183" s="23"/>
      <c r="E183" s="23"/>
      <c r="F183" s="23"/>
      <c r="G183" s="23"/>
      <c r="H183" s="28"/>
      <c r="I183" s="28"/>
      <c r="J183" s="28"/>
      <c r="K183" s="28"/>
      <c r="L183" s="28"/>
      <c r="R183" s="320" t="s">
        <v>153</v>
      </c>
      <c r="S183" s="297"/>
      <c r="T183" s="297"/>
      <c r="U183" s="297"/>
      <c r="V183" s="297"/>
      <c r="W183" s="298"/>
      <c r="Y183" s="320" t="s">
        <v>154</v>
      </c>
      <c r="Z183" s="297"/>
      <c r="AA183" s="297"/>
      <c r="AB183" s="297"/>
      <c r="AC183" s="298"/>
    </row>
    <row r="184" spans="1:29" ht="15.75" customHeight="1" x14ac:dyDescent="0.25">
      <c r="B184" s="336" t="s">
        <v>985</v>
      </c>
      <c r="C184" s="334"/>
      <c r="D184" s="334"/>
      <c r="E184" s="334"/>
      <c r="F184" s="335"/>
      <c r="R184" s="311" t="s">
        <v>157</v>
      </c>
      <c r="S184" s="312"/>
      <c r="T184" s="312"/>
      <c r="U184" s="312"/>
      <c r="V184" s="312"/>
      <c r="W184" s="313"/>
      <c r="Y184" s="325" t="s">
        <v>157</v>
      </c>
      <c r="Z184" s="297"/>
      <c r="AA184" s="297"/>
      <c r="AB184" s="297"/>
      <c r="AC184" s="298"/>
    </row>
    <row r="185" spans="1:29" ht="15.75" customHeight="1" x14ac:dyDescent="0.2">
      <c r="B185" s="220" t="s">
        <v>0</v>
      </c>
      <c r="C185" s="221" t="s">
        <v>1</v>
      </c>
      <c r="D185" s="221" t="s">
        <v>42</v>
      </c>
      <c r="E185" s="221" t="s">
        <v>43</v>
      </c>
      <c r="F185" s="221" t="s">
        <v>44</v>
      </c>
      <c r="H185" s="296" t="s">
        <v>45</v>
      </c>
      <c r="I185" s="297"/>
      <c r="J185" s="297"/>
      <c r="K185" s="298"/>
      <c r="R185" s="317"/>
      <c r="S185" s="318"/>
      <c r="T185" s="318"/>
      <c r="U185" s="318"/>
      <c r="V185" s="318"/>
      <c r="W185" s="319"/>
      <c r="Y185" s="58" t="s">
        <v>160</v>
      </c>
      <c r="Z185" s="59" t="s">
        <v>161</v>
      </c>
      <c r="AA185" s="59" t="s">
        <v>162</v>
      </c>
      <c r="AB185" s="61" t="s">
        <v>163</v>
      </c>
      <c r="AC185" s="62" t="s">
        <v>165</v>
      </c>
    </row>
    <row r="186" spans="1:29" ht="15.75" customHeight="1" x14ac:dyDescent="0.25">
      <c r="B186" s="337" t="s">
        <v>275</v>
      </c>
      <c r="C186" s="334"/>
      <c r="D186" s="334"/>
      <c r="E186" s="334"/>
      <c r="F186" s="335"/>
      <c r="H186" s="305" t="s">
        <v>275</v>
      </c>
      <c r="I186" s="297"/>
      <c r="J186" s="297"/>
      <c r="K186" s="298"/>
      <c r="R186" s="63" t="s">
        <v>168</v>
      </c>
      <c r="S186" s="64" t="s">
        <v>169</v>
      </c>
      <c r="T186" s="64" t="s">
        <v>171</v>
      </c>
      <c r="U186" s="64" t="s">
        <v>172</v>
      </c>
      <c r="V186" s="65" t="s">
        <v>173</v>
      </c>
      <c r="W186" s="66" t="s">
        <v>175</v>
      </c>
      <c r="Y186" s="63" t="s">
        <v>176</v>
      </c>
      <c r="Z186" s="67">
        <v>0.19</v>
      </c>
      <c r="AA186" s="68">
        <v>2.254</v>
      </c>
      <c r="AB186" s="70">
        <f t="shared" ref="AB186:AB190" si="1">+AA186/Z186</f>
        <v>11.863157894736842</v>
      </c>
      <c r="AC186" s="72"/>
    </row>
    <row r="187" spans="1:29" ht="15.75" customHeight="1" x14ac:dyDescent="0.25">
      <c r="B187" s="9" t="s">
        <v>11</v>
      </c>
      <c r="C187" s="9" t="s">
        <v>12</v>
      </c>
      <c r="D187" s="17"/>
      <c r="E187" s="177">
        <v>595</v>
      </c>
      <c r="F187" s="17">
        <v>478</v>
      </c>
      <c r="H187" s="12"/>
      <c r="I187" s="222" t="s">
        <v>52</v>
      </c>
      <c r="J187" s="223" t="s">
        <v>53</v>
      </c>
      <c r="K187" s="12"/>
      <c r="R187" s="73">
        <v>440</v>
      </c>
      <c r="S187" s="74">
        <v>20</v>
      </c>
      <c r="T187" s="74">
        <f>+AA186</f>
        <v>2.254</v>
      </c>
      <c r="U187" s="76">
        <f>+AA189</f>
        <v>0</v>
      </c>
      <c r="V187" s="77">
        <f>+AA187</f>
        <v>2.0649999999999999</v>
      </c>
      <c r="W187" s="78">
        <f>(R187-S187)*(T187-U187)/(V187-U187)+S187</f>
        <v>478.4406779661017</v>
      </c>
      <c r="Y187" s="80" t="s">
        <v>188</v>
      </c>
      <c r="Z187" s="74">
        <v>0.184</v>
      </c>
      <c r="AA187" s="82">
        <v>2.0649999999999999</v>
      </c>
      <c r="AB187" s="84">
        <f t="shared" si="1"/>
        <v>11.222826086956522</v>
      </c>
      <c r="AC187" s="86">
        <f>(AA187-AA189)/(AA186-AA189)</f>
        <v>0.91614906832298137</v>
      </c>
    </row>
    <row r="188" spans="1:29" ht="15.75" customHeight="1" x14ac:dyDescent="0.25">
      <c r="B188" s="9" t="s">
        <v>11</v>
      </c>
      <c r="C188" s="12" t="s">
        <v>18</v>
      </c>
      <c r="D188" s="17">
        <v>0</v>
      </c>
      <c r="E188" s="177">
        <v>0</v>
      </c>
      <c r="F188" s="17">
        <v>0</v>
      </c>
      <c r="H188" s="12" t="s">
        <v>12</v>
      </c>
      <c r="I188" s="17">
        <v>595</v>
      </c>
      <c r="J188" s="17">
        <v>478</v>
      </c>
      <c r="K188" s="17" t="s">
        <v>987</v>
      </c>
      <c r="R188" s="80" t="s">
        <v>168</v>
      </c>
      <c r="S188" s="93" t="s">
        <v>171</v>
      </c>
      <c r="T188" s="93" t="s">
        <v>190</v>
      </c>
      <c r="U188" s="93" t="s">
        <v>191</v>
      </c>
      <c r="V188" s="94" t="s">
        <v>173</v>
      </c>
      <c r="W188" s="87" t="s">
        <v>192</v>
      </c>
      <c r="Y188" s="80" t="s">
        <v>193</v>
      </c>
      <c r="Z188" s="74">
        <v>0.13200000000000001</v>
      </c>
      <c r="AA188" s="82">
        <v>0.52700000000000002</v>
      </c>
      <c r="AB188" s="84">
        <f t="shared" si="1"/>
        <v>3.9924242424242422</v>
      </c>
      <c r="AC188" s="86">
        <f>(AA188-AA189)/(AA186-AA189)</f>
        <v>0.23380656610470277</v>
      </c>
    </row>
    <row r="189" spans="1:29" ht="15.75" customHeight="1" x14ac:dyDescent="0.25">
      <c r="B189" s="9" t="s">
        <v>21</v>
      </c>
      <c r="C189" s="12" t="s">
        <v>59</v>
      </c>
      <c r="D189" s="17">
        <v>440</v>
      </c>
      <c r="E189" s="177">
        <v>478</v>
      </c>
      <c r="F189" s="17">
        <v>420</v>
      </c>
      <c r="H189" s="12" t="s">
        <v>18</v>
      </c>
      <c r="I189" s="24">
        <v>0</v>
      </c>
      <c r="J189" s="24">
        <v>0</v>
      </c>
      <c r="K189" s="24" t="s">
        <v>988</v>
      </c>
      <c r="R189" s="73">
        <v>160</v>
      </c>
      <c r="S189" s="74">
        <f>+AA186</f>
        <v>2.254</v>
      </c>
      <c r="T189" s="76">
        <f>+AA189</f>
        <v>0</v>
      </c>
      <c r="U189" s="89">
        <f>+W187</f>
        <v>478.4406779661017</v>
      </c>
      <c r="V189" s="77">
        <f>+AA188</f>
        <v>0.52700000000000002</v>
      </c>
      <c r="W189" s="90">
        <f>(R189*(S189-T189)-U189*(V189-T189))/(S189-V189)</f>
        <v>62.826730001079561</v>
      </c>
      <c r="Y189" s="80" t="s">
        <v>194</v>
      </c>
      <c r="Z189" s="74">
        <v>0.112</v>
      </c>
      <c r="AA189" s="91">
        <v>0</v>
      </c>
      <c r="AB189" s="84">
        <f t="shared" si="1"/>
        <v>0</v>
      </c>
      <c r="AC189" s="86"/>
    </row>
    <row r="190" spans="1:29" ht="15.75" customHeight="1" x14ac:dyDescent="0.25">
      <c r="B190" s="12" t="s">
        <v>21</v>
      </c>
      <c r="C190" s="12" t="s">
        <v>63</v>
      </c>
      <c r="D190" s="24">
        <v>160</v>
      </c>
      <c r="E190" s="218">
        <v>177</v>
      </c>
      <c r="F190" s="24">
        <v>151</v>
      </c>
      <c r="H190" s="330"/>
      <c r="I190" s="315"/>
      <c r="J190" s="315"/>
      <c r="K190" s="315"/>
      <c r="R190" s="80" t="s">
        <v>196</v>
      </c>
      <c r="S190" s="93"/>
      <c r="T190" s="93"/>
      <c r="U190" s="93"/>
      <c r="V190" s="94"/>
      <c r="W190" s="95"/>
      <c r="Y190" s="96" t="s">
        <v>197</v>
      </c>
      <c r="Z190" s="97">
        <v>0.11799999999999999</v>
      </c>
      <c r="AA190" s="99">
        <v>5.6000000000000001E-2</v>
      </c>
      <c r="AB190" s="100">
        <f t="shared" si="1"/>
        <v>0.47457627118644069</v>
      </c>
      <c r="AC190" s="101">
        <f>+(AA190-AA189)/(AA186-AA189)</f>
        <v>2.4844720496894412E-2</v>
      </c>
    </row>
    <row r="191" spans="1:29" ht="15.75" customHeight="1" x14ac:dyDescent="0.2">
      <c r="B191" s="12" t="s">
        <v>21</v>
      </c>
      <c r="C191" s="12" t="s">
        <v>218</v>
      </c>
      <c r="D191" s="24">
        <v>0</v>
      </c>
      <c r="E191" s="218">
        <v>80</v>
      </c>
      <c r="F191" s="24">
        <v>0</v>
      </c>
      <c r="R191" s="80" t="s">
        <v>199</v>
      </c>
      <c r="S191" s="93" t="s">
        <v>169</v>
      </c>
      <c r="T191" s="93" t="s">
        <v>200</v>
      </c>
      <c r="U191" s="93" t="s">
        <v>201</v>
      </c>
      <c r="V191" s="94" t="s">
        <v>191</v>
      </c>
      <c r="W191" s="87" t="s">
        <v>915</v>
      </c>
      <c r="Y191" s="311" t="s">
        <v>203</v>
      </c>
      <c r="Z191" s="312"/>
      <c r="AA191" s="312"/>
      <c r="AB191" s="312"/>
      <c r="AC191" s="313"/>
    </row>
    <row r="192" spans="1:29" ht="15.75" customHeight="1" x14ac:dyDescent="0.25">
      <c r="R192" s="102">
        <f>+AA190</f>
        <v>5.6000000000000001E-2</v>
      </c>
      <c r="S192" s="103">
        <f>+W189</f>
        <v>62.826730001079561</v>
      </c>
      <c r="T192" s="97">
        <f>+AA186</f>
        <v>2.254</v>
      </c>
      <c r="U192" s="104">
        <f>+AA189</f>
        <v>0</v>
      </c>
      <c r="V192" s="105">
        <f>+W187</f>
        <v>478.4406779661017</v>
      </c>
      <c r="W192" s="106">
        <f>S192+(V192-S192)*(R192-U192)/(T192-U192)</f>
        <v>73.152542372881356</v>
      </c>
      <c r="X192" s="21">
        <v>80</v>
      </c>
      <c r="Y192" s="314"/>
      <c r="Z192" s="315"/>
      <c r="AA192" s="315"/>
      <c r="AB192" s="315"/>
      <c r="AC192" s="316"/>
    </row>
    <row r="193" spans="1:29" ht="15.75" customHeight="1" x14ac:dyDescent="0.2">
      <c r="R193" s="311" t="s">
        <v>204</v>
      </c>
      <c r="S193" s="312"/>
      <c r="T193" s="312"/>
      <c r="U193" s="312"/>
      <c r="V193" s="312"/>
      <c r="W193" s="313"/>
      <c r="Y193" s="317"/>
      <c r="Z193" s="318"/>
      <c r="AA193" s="318"/>
      <c r="AB193" s="318"/>
      <c r="AC193" s="319"/>
    </row>
    <row r="194" spans="1:29" ht="15.75" customHeight="1" x14ac:dyDescent="0.2">
      <c r="R194" s="317"/>
      <c r="S194" s="318"/>
      <c r="T194" s="318"/>
      <c r="U194" s="318"/>
      <c r="V194" s="318"/>
      <c r="W194" s="319"/>
      <c r="Y194" s="58" t="s">
        <v>160</v>
      </c>
      <c r="Z194" s="59" t="s">
        <v>161</v>
      </c>
      <c r="AA194" s="59" t="s">
        <v>162</v>
      </c>
      <c r="AB194" s="61" t="s">
        <v>163</v>
      </c>
      <c r="AC194" s="62" t="s">
        <v>165</v>
      </c>
    </row>
    <row r="195" spans="1:29" ht="15.75" customHeight="1" x14ac:dyDescent="0.25">
      <c r="R195" s="63" t="s">
        <v>168</v>
      </c>
      <c r="S195" s="64" t="s">
        <v>169</v>
      </c>
      <c r="T195" s="64" t="s">
        <v>171</v>
      </c>
      <c r="U195" s="64" t="s">
        <v>172</v>
      </c>
      <c r="V195" s="65" t="s">
        <v>173</v>
      </c>
      <c r="W195" s="66" t="s">
        <v>175</v>
      </c>
      <c r="Y195" s="63" t="s">
        <v>176</v>
      </c>
      <c r="Z195" s="67"/>
      <c r="AA195" s="68"/>
      <c r="AB195" s="70"/>
      <c r="AC195" s="107"/>
    </row>
    <row r="196" spans="1:29" ht="15.75" customHeight="1" x14ac:dyDescent="0.25">
      <c r="R196" s="73">
        <v>420</v>
      </c>
      <c r="S196" s="74">
        <v>20</v>
      </c>
      <c r="T196" s="74">
        <f>+AA195</f>
        <v>0</v>
      </c>
      <c r="U196" s="76">
        <f>+AA198</f>
        <v>0</v>
      </c>
      <c r="V196" s="77">
        <f>+AA196</f>
        <v>0</v>
      </c>
      <c r="W196" s="108" t="e">
        <f>(R196-S196)*(T196-U196)/(V196-U196)+S196</f>
        <v>#DIV/0!</v>
      </c>
      <c r="Y196" s="80" t="s">
        <v>188</v>
      </c>
      <c r="Z196" s="74"/>
      <c r="AA196" s="82"/>
      <c r="AB196" s="84"/>
      <c r="AC196" s="86"/>
    </row>
    <row r="197" spans="1:29" ht="15.75" customHeight="1" x14ac:dyDescent="0.25">
      <c r="R197" s="73" t="s">
        <v>168</v>
      </c>
      <c r="S197" s="74" t="s">
        <v>171</v>
      </c>
      <c r="T197" s="74" t="s">
        <v>190</v>
      </c>
      <c r="U197" s="74" t="s">
        <v>191</v>
      </c>
      <c r="V197" s="77" t="s">
        <v>173</v>
      </c>
      <c r="W197" s="87" t="s">
        <v>192</v>
      </c>
      <c r="Y197" s="80" t="s">
        <v>193</v>
      </c>
      <c r="Z197" s="74"/>
      <c r="AA197" s="91"/>
      <c r="AB197" s="84"/>
      <c r="AC197" s="86"/>
    </row>
    <row r="198" spans="1:29" ht="15.75" customHeight="1" x14ac:dyDescent="0.25">
      <c r="R198" s="73">
        <v>140</v>
      </c>
      <c r="S198" s="74">
        <f>+AA195</f>
        <v>0</v>
      </c>
      <c r="T198" s="76">
        <f>+AA198</f>
        <v>0</v>
      </c>
      <c r="U198" s="74" t="e">
        <f>+W196</f>
        <v>#DIV/0!</v>
      </c>
      <c r="V198" s="109">
        <f>+AA197</f>
        <v>0</v>
      </c>
      <c r="W198" s="78" t="e">
        <f>(R198*(S198-T198)-U198*(V198-T198))/(S198-V198)</f>
        <v>#DIV/0!</v>
      </c>
      <c r="Y198" s="80" t="s">
        <v>194</v>
      </c>
      <c r="Z198" s="74"/>
      <c r="AA198" s="91"/>
      <c r="AB198" s="84"/>
      <c r="AC198" s="86"/>
    </row>
    <row r="199" spans="1:29" ht="15.75" customHeight="1" x14ac:dyDescent="0.25">
      <c r="R199" s="80" t="s">
        <v>196</v>
      </c>
      <c r="S199" s="93"/>
      <c r="T199" s="93"/>
      <c r="U199" s="93"/>
      <c r="V199" s="94"/>
      <c r="W199" s="95"/>
      <c r="Y199" s="111" t="s">
        <v>197</v>
      </c>
      <c r="Z199" s="112"/>
      <c r="AA199" s="113"/>
      <c r="AB199" s="114"/>
      <c r="AC199" s="115"/>
    </row>
    <row r="200" spans="1:29" ht="15.75" customHeight="1" x14ac:dyDescent="0.2">
      <c r="R200" s="80" t="s">
        <v>199</v>
      </c>
      <c r="S200" s="93" t="s">
        <v>169</v>
      </c>
      <c r="T200" s="93" t="s">
        <v>200</v>
      </c>
      <c r="U200" s="93" t="s">
        <v>201</v>
      </c>
      <c r="V200" s="94" t="s">
        <v>191</v>
      </c>
      <c r="W200" s="87" t="s">
        <v>202</v>
      </c>
    </row>
    <row r="201" spans="1:29" ht="15.75" customHeight="1" x14ac:dyDescent="0.2">
      <c r="R201" s="116">
        <f>+AA199</f>
        <v>0</v>
      </c>
      <c r="S201" s="112" t="e">
        <f>+W198</f>
        <v>#DIV/0!</v>
      </c>
      <c r="T201" s="112">
        <f>+AA195</f>
        <v>0</v>
      </c>
      <c r="U201" s="118">
        <f>+AA198</f>
        <v>0</v>
      </c>
      <c r="V201" s="119" t="e">
        <f>+W196</f>
        <v>#DIV/0!</v>
      </c>
      <c r="W201" s="78" t="e">
        <f>S201+(V201-S201)*(R201-U201)/(T201-U201)</f>
        <v>#DIV/0!</v>
      </c>
      <c r="Z201" s="121"/>
    </row>
    <row r="202" spans="1:29" ht="15.75" customHeight="1" x14ac:dyDescent="0.2"/>
    <row r="203" spans="1:29" ht="15.75" customHeight="1" x14ac:dyDescent="0.2"/>
    <row r="204" spans="1:29" ht="15.75" customHeight="1" x14ac:dyDescent="0.2"/>
    <row r="205" spans="1:29" ht="15.75" customHeight="1" x14ac:dyDescent="0.2"/>
    <row r="206" spans="1:29" ht="15.75" customHeight="1" x14ac:dyDescent="0.25">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row>
    <row r="207" spans="1:29" ht="15.75" customHeight="1" x14ac:dyDescent="0.2"/>
    <row r="208" spans="1:29" ht="15.75" customHeight="1" x14ac:dyDescent="0.2"/>
    <row r="209" spans="2:13" ht="15.75" customHeight="1" x14ac:dyDescent="0.25">
      <c r="B209" s="23" t="s">
        <v>923</v>
      </c>
    </row>
    <row r="210" spans="2:13" ht="15.75" customHeight="1" x14ac:dyDescent="0.2"/>
    <row r="211" spans="2:13" ht="15.75" customHeight="1" x14ac:dyDescent="0.2"/>
    <row r="212" spans="2:13" ht="15.75" customHeight="1" x14ac:dyDescent="0.25">
      <c r="B212" s="304" t="s">
        <v>1002</v>
      </c>
      <c r="C212" s="297"/>
      <c r="D212" s="297"/>
      <c r="E212" s="297"/>
      <c r="F212" s="154"/>
      <c r="I212" s="3"/>
    </row>
    <row r="213" spans="2:13" ht="15.75" customHeight="1" x14ac:dyDescent="0.2">
      <c r="B213" s="4" t="s">
        <v>0</v>
      </c>
      <c r="C213" s="5" t="s">
        <v>1</v>
      </c>
      <c r="D213" s="5" t="s">
        <v>2</v>
      </c>
      <c r="E213" s="5" t="s">
        <v>43</v>
      </c>
      <c r="F213" s="45" t="s">
        <v>125</v>
      </c>
      <c r="H213" s="296" t="s">
        <v>6</v>
      </c>
      <c r="I213" s="297"/>
      <c r="J213" s="297"/>
      <c r="K213" s="297"/>
      <c r="L213" s="297"/>
      <c r="M213" s="298"/>
    </row>
    <row r="214" spans="2:13" ht="15.75" customHeight="1" x14ac:dyDescent="0.2">
      <c r="B214" s="9" t="s">
        <v>7</v>
      </c>
      <c r="C214" s="302" t="s">
        <v>9</v>
      </c>
      <c r="D214" s="47">
        <v>28.1</v>
      </c>
      <c r="E214" s="11">
        <v>67</v>
      </c>
      <c r="F214" s="11">
        <v>67</v>
      </c>
      <c r="H214" s="296" t="s">
        <v>106</v>
      </c>
      <c r="I214" s="297"/>
      <c r="J214" s="298"/>
      <c r="K214" s="296" t="s">
        <v>107</v>
      </c>
      <c r="L214" s="297"/>
      <c r="M214" s="298"/>
    </row>
    <row r="215" spans="2:13" ht="15.75" customHeight="1" x14ac:dyDescent="0.2">
      <c r="B215" s="9" t="s">
        <v>17</v>
      </c>
      <c r="C215" s="300"/>
      <c r="D215" s="47">
        <v>63.911000000000001</v>
      </c>
      <c r="E215" s="11">
        <v>64</v>
      </c>
      <c r="F215" s="11">
        <v>74</v>
      </c>
      <c r="H215" s="13" t="s">
        <v>13</v>
      </c>
      <c r="I215" s="39">
        <f>I217+I217*0.05</f>
        <v>684.6</v>
      </c>
      <c r="J215" s="17" t="s">
        <v>1006</v>
      </c>
      <c r="K215" s="13" t="s">
        <v>13</v>
      </c>
      <c r="L215" s="39">
        <f>L217+L217*0.05</f>
        <v>703.5</v>
      </c>
      <c r="M215" s="17" t="s">
        <v>1007</v>
      </c>
    </row>
    <row r="216" spans="2:13" ht="15.75" customHeight="1" x14ac:dyDescent="0.2">
      <c r="B216" s="9" t="s">
        <v>26</v>
      </c>
      <c r="C216" s="300"/>
      <c r="D216" s="47">
        <v>69.921999999999997</v>
      </c>
      <c r="E216" s="11">
        <v>62</v>
      </c>
      <c r="F216" s="11">
        <v>77</v>
      </c>
      <c r="H216" s="13" t="s">
        <v>19</v>
      </c>
      <c r="I216" s="40">
        <f>I217-I217*0.05</f>
        <v>619.4</v>
      </c>
      <c r="J216" s="17" t="s">
        <v>1009</v>
      </c>
      <c r="K216" s="13" t="s">
        <v>19</v>
      </c>
      <c r="L216" s="40">
        <f>L217-L217*0.05</f>
        <v>636.5</v>
      </c>
      <c r="M216" s="17" t="s">
        <v>1010</v>
      </c>
    </row>
    <row r="217" spans="2:13" ht="15.75" customHeight="1" x14ac:dyDescent="0.2">
      <c r="B217" s="9" t="s">
        <v>32</v>
      </c>
      <c r="C217" s="300"/>
      <c r="D217" s="47">
        <v>96.744</v>
      </c>
      <c r="E217" s="11">
        <v>108</v>
      </c>
      <c r="F217" s="11">
        <v>118</v>
      </c>
      <c r="H217" s="13" t="s">
        <v>27</v>
      </c>
      <c r="I217" s="20">
        <v>652</v>
      </c>
      <c r="J217" s="17" t="s">
        <v>1011</v>
      </c>
      <c r="K217" s="13" t="s">
        <v>27</v>
      </c>
      <c r="L217" s="20">
        <v>670</v>
      </c>
      <c r="M217" s="17" t="s">
        <v>1012</v>
      </c>
    </row>
    <row r="218" spans="2:13" ht="15.75" customHeight="1" x14ac:dyDescent="0.2">
      <c r="B218" s="9" t="s">
        <v>33</v>
      </c>
      <c r="C218" s="301"/>
      <c r="D218" s="47">
        <v>128.11000000000001</v>
      </c>
      <c r="E218" s="11">
        <v>150</v>
      </c>
      <c r="F218" s="11">
        <v>166</v>
      </c>
      <c r="H218" s="13" t="s">
        <v>121</v>
      </c>
      <c r="I218" s="20">
        <v>652</v>
      </c>
      <c r="J218" s="17" t="s">
        <v>1013</v>
      </c>
      <c r="K218" s="13" t="s">
        <v>121</v>
      </c>
      <c r="L218" s="20">
        <v>670</v>
      </c>
      <c r="M218" s="17" t="s">
        <v>1015</v>
      </c>
    </row>
    <row r="219" spans="2:13" ht="15.75" customHeight="1" x14ac:dyDescent="0.25">
      <c r="B219" s="41"/>
      <c r="C219" s="42"/>
      <c r="D219" s="69"/>
      <c r="E219" s="11"/>
      <c r="F219" s="11"/>
      <c r="I219" s="3"/>
    </row>
    <row r="220" spans="2:13" ht="15.75" customHeight="1" x14ac:dyDescent="0.25">
      <c r="B220" s="9" t="s">
        <v>35</v>
      </c>
      <c r="C220" s="302" t="s">
        <v>36</v>
      </c>
      <c r="D220" s="47">
        <v>207.78</v>
      </c>
      <c r="E220" s="11">
        <v>184</v>
      </c>
      <c r="F220" s="11">
        <v>211</v>
      </c>
      <c r="I220" s="3"/>
    </row>
    <row r="221" spans="2:13" ht="15.75" customHeight="1" x14ac:dyDescent="0.25">
      <c r="B221" s="9" t="s">
        <v>37</v>
      </c>
      <c r="C221" s="300"/>
      <c r="D221" s="47">
        <v>444.11</v>
      </c>
      <c r="E221" s="11">
        <v>237</v>
      </c>
      <c r="F221" s="11">
        <v>254</v>
      </c>
      <c r="I221" s="3"/>
    </row>
    <row r="222" spans="2:13" ht="15.75" customHeight="1" x14ac:dyDescent="0.25">
      <c r="B222" s="9" t="s">
        <v>38</v>
      </c>
      <c r="C222" s="300"/>
      <c r="D222" s="47">
        <v>579.55999999999995</v>
      </c>
      <c r="E222" s="11">
        <v>456</v>
      </c>
      <c r="F222" s="11">
        <v>466</v>
      </c>
      <c r="I222" s="3"/>
    </row>
    <row r="223" spans="2:13" ht="15.75" customHeight="1" x14ac:dyDescent="0.25">
      <c r="B223" s="9" t="s">
        <v>39</v>
      </c>
      <c r="C223" s="300"/>
      <c r="D223" s="47">
        <v>746.22</v>
      </c>
      <c r="E223" s="11">
        <v>675</v>
      </c>
      <c r="F223" s="11">
        <v>663</v>
      </c>
      <c r="I223" s="3"/>
    </row>
    <row r="224" spans="2:13" ht="15.75" customHeight="1" x14ac:dyDescent="0.25">
      <c r="B224" s="49" t="s">
        <v>41</v>
      </c>
      <c r="C224" s="300"/>
      <c r="D224" s="50">
        <v>869.5</v>
      </c>
      <c r="E224" s="51">
        <v>707</v>
      </c>
      <c r="F224" s="51">
        <v>711</v>
      </c>
      <c r="I224" s="3"/>
    </row>
    <row r="225" spans="2:9" ht="15.75" customHeight="1" x14ac:dyDescent="0.25">
      <c r="B225" s="79"/>
      <c r="C225" s="81"/>
      <c r="D225" s="83"/>
      <c r="E225" s="81"/>
      <c r="F225" s="81"/>
      <c r="I225" s="3"/>
    </row>
    <row r="226" spans="2:9" ht="15.75" customHeight="1" x14ac:dyDescent="0.25">
      <c r="B226" s="9" t="s">
        <v>46</v>
      </c>
      <c r="C226" s="299" t="s">
        <v>47</v>
      </c>
      <c r="D226" s="47">
        <v>88.4</v>
      </c>
      <c r="E226" s="11">
        <v>100</v>
      </c>
      <c r="F226" s="11">
        <v>84</v>
      </c>
      <c r="I226" s="3"/>
    </row>
    <row r="227" spans="2:9" ht="15.75" customHeight="1" x14ac:dyDescent="0.25">
      <c r="B227" s="9" t="s">
        <v>48</v>
      </c>
      <c r="C227" s="300"/>
      <c r="D227" s="47">
        <v>94.6</v>
      </c>
      <c r="E227" s="11">
        <v>92</v>
      </c>
      <c r="F227" s="11">
        <v>92</v>
      </c>
      <c r="I227" s="3"/>
    </row>
    <row r="228" spans="2:9" ht="15.75" customHeight="1" x14ac:dyDescent="0.25">
      <c r="B228" s="41"/>
      <c r="C228" s="42"/>
      <c r="D228" s="69"/>
      <c r="E228" s="11"/>
      <c r="F228" s="11"/>
      <c r="I228" s="3"/>
    </row>
    <row r="229" spans="2:9" ht="15.75" customHeight="1" x14ac:dyDescent="0.25">
      <c r="B229" s="9" t="s">
        <v>50</v>
      </c>
      <c r="C229" s="302" t="s">
        <v>51</v>
      </c>
      <c r="D229" s="47">
        <v>271.44400000000002</v>
      </c>
      <c r="E229" s="11">
        <v>260</v>
      </c>
      <c r="F229" s="11">
        <v>286</v>
      </c>
      <c r="I229" s="3"/>
    </row>
    <row r="230" spans="2:9" ht="15.75" customHeight="1" x14ac:dyDescent="0.25">
      <c r="B230" s="9" t="s">
        <v>54</v>
      </c>
      <c r="C230" s="300"/>
      <c r="D230" s="47">
        <v>550.22199999999998</v>
      </c>
      <c r="E230" s="11">
        <v>263</v>
      </c>
      <c r="F230" s="11">
        <v>333</v>
      </c>
      <c r="I230" s="3"/>
    </row>
    <row r="231" spans="2:9" ht="15.75" customHeight="1" x14ac:dyDescent="0.25">
      <c r="B231" s="9" t="s">
        <v>55</v>
      </c>
      <c r="C231" s="300"/>
      <c r="D231" s="47">
        <v>609</v>
      </c>
      <c r="E231" s="11">
        <v>585</v>
      </c>
      <c r="F231" s="11">
        <v>513</v>
      </c>
      <c r="I231" s="3"/>
    </row>
    <row r="232" spans="2:9" ht="15.75" customHeight="1" x14ac:dyDescent="0.25">
      <c r="B232" s="9" t="s">
        <v>56</v>
      </c>
      <c r="C232" s="300"/>
      <c r="D232" s="47">
        <v>739.11099999999999</v>
      </c>
      <c r="E232" s="11">
        <v>692</v>
      </c>
      <c r="F232" s="11">
        <v>715</v>
      </c>
      <c r="I232" s="3"/>
    </row>
    <row r="233" spans="2:9" ht="15.75" customHeight="1" x14ac:dyDescent="0.25">
      <c r="B233" s="49" t="s">
        <v>57</v>
      </c>
      <c r="C233" s="300"/>
      <c r="D233" s="50">
        <v>746.88900000000001</v>
      </c>
      <c r="E233" s="51">
        <v>525</v>
      </c>
      <c r="F233" s="51">
        <v>525</v>
      </c>
      <c r="I233" s="3"/>
    </row>
    <row r="234" spans="2:9" ht="15.75" customHeight="1" x14ac:dyDescent="0.25">
      <c r="B234" s="79"/>
      <c r="C234" s="81"/>
      <c r="D234" s="83"/>
      <c r="E234" s="81"/>
      <c r="F234" s="81"/>
      <c r="I234" s="3"/>
    </row>
    <row r="235" spans="2:9" ht="15.75" customHeight="1" x14ac:dyDescent="0.25">
      <c r="B235" s="9" t="s">
        <v>60</v>
      </c>
      <c r="C235" s="299" t="s">
        <v>62</v>
      </c>
      <c r="D235" s="47">
        <v>19.36</v>
      </c>
      <c r="E235" s="11">
        <v>20</v>
      </c>
      <c r="F235" s="11">
        <v>18</v>
      </c>
      <c r="I235" s="3"/>
    </row>
    <row r="236" spans="2:9" ht="15.75" customHeight="1" x14ac:dyDescent="0.25">
      <c r="B236" s="9" t="s">
        <v>64</v>
      </c>
      <c r="C236" s="300"/>
      <c r="D236" s="47">
        <v>33.31</v>
      </c>
      <c r="E236" s="11">
        <v>29</v>
      </c>
      <c r="F236" s="11">
        <v>21</v>
      </c>
      <c r="I236" s="3"/>
    </row>
    <row r="237" spans="2:9" ht="15.75" customHeight="1" x14ac:dyDescent="0.25">
      <c r="B237" s="9" t="s">
        <v>65</v>
      </c>
      <c r="C237" s="301"/>
      <c r="D237" s="47">
        <v>41.74</v>
      </c>
      <c r="E237" s="11">
        <v>21</v>
      </c>
      <c r="F237" s="11">
        <v>39</v>
      </c>
      <c r="I237" s="3"/>
    </row>
    <row r="238" spans="2:9" ht="15.75" customHeight="1" x14ac:dyDescent="0.25">
      <c r="B238" s="41"/>
      <c r="C238" s="42"/>
      <c r="D238" s="69"/>
      <c r="E238" s="11"/>
      <c r="F238" s="11"/>
      <c r="I238" s="3"/>
    </row>
    <row r="239" spans="2:9" ht="15.75" customHeight="1" x14ac:dyDescent="0.25">
      <c r="B239" s="9" t="s">
        <v>66</v>
      </c>
      <c r="C239" s="302" t="s">
        <v>68</v>
      </c>
      <c r="D239" s="47">
        <v>204.5</v>
      </c>
      <c r="E239" s="11">
        <v>220</v>
      </c>
      <c r="F239" s="11">
        <v>224</v>
      </c>
      <c r="I239" s="3"/>
    </row>
    <row r="240" spans="2:9" ht="15.75" customHeight="1" x14ac:dyDescent="0.25">
      <c r="B240" s="49" t="s">
        <v>69</v>
      </c>
      <c r="C240" s="300"/>
      <c r="D240" s="50">
        <v>277.7</v>
      </c>
      <c r="E240" s="51">
        <v>278</v>
      </c>
      <c r="F240" s="51">
        <v>280</v>
      </c>
      <c r="I240" s="3"/>
    </row>
    <row r="241" spans="2:9" ht="15.75" customHeight="1" x14ac:dyDescent="0.25">
      <c r="B241" s="44"/>
      <c r="C241" s="46"/>
      <c r="D241" s="83"/>
      <c r="E241" s="46"/>
      <c r="F241" s="46"/>
      <c r="I241" s="3"/>
    </row>
    <row r="242" spans="2:9" ht="15.75" customHeight="1" x14ac:dyDescent="0.25">
      <c r="B242" s="9" t="s">
        <v>69</v>
      </c>
      <c r="C242" s="299" t="s">
        <v>71</v>
      </c>
      <c r="D242" s="47">
        <v>10.283300000000001</v>
      </c>
      <c r="E242" s="11">
        <v>5</v>
      </c>
      <c r="F242" s="11">
        <v>10</v>
      </c>
      <c r="I242" s="3"/>
    </row>
    <row r="243" spans="2:9" ht="15.75" customHeight="1" x14ac:dyDescent="0.25">
      <c r="B243" s="9" t="s">
        <v>72</v>
      </c>
      <c r="C243" s="300"/>
      <c r="D243" s="47">
        <v>11.8833</v>
      </c>
      <c r="E243" s="11">
        <v>6</v>
      </c>
      <c r="F243" s="11">
        <v>7</v>
      </c>
      <c r="I243" s="3"/>
    </row>
    <row r="244" spans="2:9" ht="15.75" customHeight="1" x14ac:dyDescent="0.25">
      <c r="B244" s="9" t="s">
        <v>73</v>
      </c>
      <c r="C244" s="301"/>
      <c r="D244" s="47">
        <v>17.433299999999999</v>
      </c>
      <c r="E244" s="11">
        <v>8</v>
      </c>
      <c r="F244" s="11">
        <v>9</v>
      </c>
      <c r="I244" s="3"/>
    </row>
    <row r="245" spans="2:9" ht="15.75" customHeight="1" x14ac:dyDescent="0.25">
      <c r="B245" s="41"/>
      <c r="C245" s="42"/>
      <c r="D245" s="69"/>
      <c r="E245" s="11"/>
      <c r="F245" s="11"/>
      <c r="I245" s="3"/>
    </row>
    <row r="246" spans="2:9" ht="15.75" customHeight="1" x14ac:dyDescent="0.25">
      <c r="B246" s="9" t="s">
        <v>76</v>
      </c>
      <c r="C246" s="302" t="s">
        <v>77</v>
      </c>
      <c r="D246" s="47">
        <v>117.467</v>
      </c>
      <c r="E246" s="11">
        <v>184</v>
      </c>
      <c r="F246" s="11">
        <v>185</v>
      </c>
      <c r="I246" s="3"/>
    </row>
    <row r="247" spans="2:9" ht="15.75" customHeight="1" x14ac:dyDescent="0.25">
      <c r="B247" s="9" t="s">
        <v>78</v>
      </c>
      <c r="C247" s="300"/>
      <c r="D247" s="47">
        <v>187.833</v>
      </c>
      <c r="E247" s="11">
        <v>126</v>
      </c>
      <c r="F247" s="11">
        <v>139</v>
      </c>
      <c r="I247" s="3"/>
    </row>
    <row r="248" spans="2:9" ht="15.75" customHeight="1" x14ac:dyDescent="0.25">
      <c r="B248" s="9" t="s">
        <v>79</v>
      </c>
      <c r="C248" s="300"/>
      <c r="D248" s="47">
        <v>218.333</v>
      </c>
      <c r="E248" s="11">
        <v>238</v>
      </c>
      <c r="F248" s="11">
        <v>244</v>
      </c>
      <c r="I248" s="3"/>
    </row>
    <row r="249" spans="2:9" ht="15.75" customHeight="1" x14ac:dyDescent="0.25">
      <c r="B249" s="49" t="s">
        <v>80</v>
      </c>
      <c r="C249" s="300"/>
      <c r="D249" s="50">
        <v>238.5</v>
      </c>
      <c r="E249" s="51">
        <v>106</v>
      </c>
      <c r="F249" s="51">
        <v>115</v>
      </c>
      <c r="I249" s="3"/>
    </row>
    <row r="250" spans="2:9" ht="15.75" customHeight="1" x14ac:dyDescent="0.25">
      <c r="B250" s="44"/>
      <c r="C250" s="46"/>
      <c r="D250" s="83"/>
      <c r="E250" s="46"/>
      <c r="F250" s="46"/>
      <c r="I250" s="3"/>
    </row>
    <row r="251" spans="2:9" ht="15.75" customHeight="1" x14ac:dyDescent="0.25">
      <c r="B251" s="9" t="s">
        <v>81</v>
      </c>
      <c r="C251" s="299" t="s">
        <v>82</v>
      </c>
      <c r="D251" s="47">
        <v>2</v>
      </c>
      <c r="E251" s="11">
        <v>2</v>
      </c>
      <c r="F251" s="11">
        <v>2</v>
      </c>
      <c r="I251" s="3"/>
    </row>
    <row r="252" spans="2:9" ht="15.75" customHeight="1" x14ac:dyDescent="0.25">
      <c r="B252" s="9" t="s">
        <v>83</v>
      </c>
      <c r="C252" s="300"/>
      <c r="D252" s="47">
        <v>7.133</v>
      </c>
      <c r="E252" s="11">
        <v>13</v>
      </c>
      <c r="F252" s="11">
        <v>11</v>
      </c>
      <c r="I252" s="3"/>
    </row>
    <row r="253" spans="2:9" ht="15.75" customHeight="1" x14ac:dyDescent="0.25">
      <c r="B253" s="9" t="s">
        <v>84</v>
      </c>
      <c r="C253" s="301"/>
      <c r="D253" s="47">
        <v>10.72</v>
      </c>
      <c r="E253" s="11">
        <v>7</v>
      </c>
      <c r="F253" s="11">
        <v>11</v>
      </c>
      <c r="I253" s="3"/>
    </row>
    <row r="254" spans="2:9" ht="15.75" customHeight="1" x14ac:dyDescent="0.25">
      <c r="B254" s="41"/>
      <c r="C254" s="42"/>
      <c r="D254" s="69"/>
      <c r="E254" s="11"/>
      <c r="F254" s="11"/>
      <c r="I254" s="3"/>
    </row>
    <row r="255" spans="2:9" ht="15.75" customHeight="1" x14ac:dyDescent="0.25">
      <c r="B255" s="9" t="s">
        <v>86</v>
      </c>
      <c r="C255" s="302" t="s">
        <v>87</v>
      </c>
      <c r="D255" s="47">
        <v>20.466999999999999</v>
      </c>
      <c r="E255" s="11">
        <v>22</v>
      </c>
      <c r="F255" s="11">
        <v>23</v>
      </c>
      <c r="I255" s="3"/>
    </row>
    <row r="256" spans="2:9" ht="15.75" customHeight="1" x14ac:dyDescent="0.25">
      <c r="B256" s="49" t="s">
        <v>88</v>
      </c>
      <c r="C256" s="300"/>
      <c r="D256" s="50">
        <v>20.367000000000001</v>
      </c>
      <c r="E256" s="51">
        <v>22</v>
      </c>
      <c r="F256" s="51">
        <v>23</v>
      </c>
      <c r="I256" s="3"/>
    </row>
    <row r="257" spans="2:9" ht="15.75" customHeight="1" x14ac:dyDescent="0.25">
      <c r="B257" s="44"/>
      <c r="C257" s="46"/>
      <c r="D257" s="83"/>
      <c r="E257" s="46"/>
      <c r="F257" s="46"/>
      <c r="I257" s="3"/>
    </row>
    <row r="258" spans="2:9" ht="15.75" customHeight="1" x14ac:dyDescent="0.25">
      <c r="B258" s="9" t="s">
        <v>89</v>
      </c>
      <c r="C258" s="299" t="s">
        <v>90</v>
      </c>
      <c r="D258" s="47">
        <v>5.15</v>
      </c>
      <c r="E258" s="11">
        <v>18</v>
      </c>
      <c r="F258" s="11">
        <v>19</v>
      </c>
      <c r="I258" s="3"/>
    </row>
    <row r="259" spans="2:9" ht="15.75" customHeight="1" x14ac:dyDescent="0.25">
      <c r="B259" s="49" t="s">
        <v>91</v>
      </c>
      <c r="C259" s="300"/>
      <c r="D259" s="50">
        <v>16.2</v>
      </c>
      <c r="E259" s="51">
        <v>19</v>
      </c>
      <c r="F259" s="51">
        <v>20</v>
      </c>
      <c r="I259" s="3"/>
    </row>
    <row r="260" spans="2:9" ht="15.75" customHeight="1" x14ac:dyDescent="0.25">
      <c r="B260" s="41"/>
      <c r="C260" s="42"/>
      <c r="D260" s="69"/>
      <c r="E260" s="201"/>
      <c r="F260" s="201"/>
      <c r="I260" s="3"/>
    </row>
    <row r="261" spans="2:9" ht="15.75" customHeight="1" x14ac:dyDescent="0.25">
      <c r="B261" s="9" t="s">
        <v>94</v>
      </c>
      <c r="C261" s="299" t="s">
        <v>95</v>
      </c>
      <c r="D261" s="47">
        <v>50.082999999999998</v>
      </c>
      <c r="E261" s="11">
        <v>53</v>
      </c>
      <c r="F261" s="11">
        <v>56</v>
      </c>
      <c r="I261" s="3"/>
    </row>
    <row r="262" spans="2:9" ht="15.75" customHeight="1" x14ac:dyDescent="0.25">
      <c r="B262" s="9" t="s">
        <v>96</v>
      </c>
      <c r="C262" s="300"/>
      <c r="D262" s="47">
        <v>93.992999999999995</v>
      </c>
      <c r="E262" s="11">
        <v>107</v>
      </c>
      <c r="F262" s="11">
        <v>101</v>
      </c>
      <c r="I262" s="3"/>
    </row>
    <row r="263" spans="2:9" ht="15.75" customHeight="1" x14ac:dyDescent="0.25">
      <c r="B263" s="9" t="s">
        <v>97</v>
      </c>
      <c r="C263" s="300"/>
      <c r="D263" s="47">
        <v>95.516999999999996</v>
      </c>
      <c r="E263" s="11">
        <v>54</v>
      </c>
      <c r="F263" s="11">
        <v>106</v>
      </c>
      <c r="I263" s="3"/>
    </row>
    <row r="264" spans="2:9" ht="15.75" customHeight="1" x14ac:dyDescent="0.25">
      <c r="B264" s="9" t="s">
        <v>98</v>
      </c>
      <c r="C264" s="300"/>
      <c r="D264" s="47">
        <v>100.92</v>
      </c>
      <c r="E264" s="11">
        <v>110</v>
      </c>
      <c r="F264" s="11">
        <v>106</v>
      </c>
      <c r="I264" s="3"/>
    </row>
    <row r="265" spans="2:9" ht="15.75" customHeight="1" x14ac:dyDescent="0.25">
      <c r="B265" s="9" t="s">
        <v>99</v>
      </c>
      <c r="C265" s="301"/>
      <c r="D265" s="47">
        <v>115.37</v>
      </c>
      <c r="E265" s="11">
        <v>114</v>
      </c>
      <c r="F265" s="11">
        <v>121</v>
      </c>
      <c r="I265" s="3"/>
    </row>
    <row r="266" spans="2:9" ht="15.75" customHeight="1" x14ac:dyDescent="0.25">
      <c r="B266" s="1"/>
      <c r="C266" s="1"/>
      <c r="D266" s="2"/>
      <c r="E266" s="2"/>
      <c r="F266" s="146"/>
      <c r="I266" s="3"/>
    </row>
    <row r="267" spans="2:9" ht="15.75" customHeight="1" x14ac:dyDescent="0.2"/>
    <row r="268" spans="2:9" ht="15.75" customHeight="1" x14ac:dyDescent="0.2"/>
    <row r="269" spans="2:9" ht="15.75" customHeight="1" x14ac:dyDescent="0.2"/>
    <row r="270" spans="2:9" ht="15.75" customHeight="1" x14ac:dyDescent="0.2"/>
    <row r="271" spans="2:9" ht="15.75" customHeight="1" x14ac:dyDescent="0.2"/>
    <row r="272" spans="2:9"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30">
    <mergeCell ref="A160:C160"/>
    <mergeCell ref="J160:O160"/>
    <mergeCell ref="A161:C161"/>
    <mergeCell ref="J161:O161"/>
    <mergeCell ref="A162:C162"/>
    <mergeCell ref="J162:O162"/>
    <mergeCell ref="J163:O163"/>
    <mergeCell ref="J171:O171"/>
    <mergeCell ref="J172:O172"/>
    <mergeCell ref="J164:O164"/>
    <mergeCell ref="J165:O165"/>
    <mergeCell ref="J166:O166"/>
    <mergeCell ref="J167:O167"/>
    <mergeCell ref="J168:O168"/>
    <mergeCell ref="J169:O169"/>
    <mergeCell ref="J170:O170"/>
    <mergeCell ref="A168:C168"/>
    <mergeCell ref="A169:C169"/>
    <mergeCell ref="C131:C135"/>
    <mergeCell ref="B146:F146"/>
    <mergeCell ref="N147:S152"/>
    <mergeCell ref="B148:F148"/>
    <mergeCell ref="H148:K148"/>
    <mergeCell ref="H152:K152"/>
    <mergeCell ref="J158:O158"/>
    <mergeCell ref="J159:O159"/>
    <mergeCell ref="A156:O156"/>
    <mergeCell ref="A157:C157"/>
    <mergeCell ref="D157:F157"/>
    <mergeCell ref="G157:I157"/>
    <mergeCell ref="J157:O157"/>
    <mergeCell ref="A158:C158"/>
    <mergeCell ref="A159:C159"/>
    <mergeCell ref="C251:C253"/>
    <mergeCell ref="C255:C256"/>
    <mergeCell ref="C258:C259"/>
    <mergeCell ref="C261:C265"/>
    <mergeCell ref="C220:C224"/>
    <mergeCell ref="C226:C227"/>
    <mergeCell ref="C229:C233"/>
    <mergeCell ref="C235:C237"/>
    <mergeCell ref="C239:C240"/>
    <mergeCell ref="C242:C244"/>
    <mergeCell ref="C246:C249"/>
    <mergeCell ref="H214:J214"/>
    <mergeCell ref="K214:M214"/>
    <mergeCell ref="B184:F184"/>
    <mergeCell ref="B186:F186"/>
    <mergeCell ref="H186:K186"/>
    <mergeCell ref="H190:K190"/>
    <mergeCell ref="B212:E212"/>
    <mergeCell ref="H213:M213"/>
    <mergeCell ref="C214:C218"/>
    <mergeCell ref="Y183:AC183"/>
    <mergeCell ref="Y184:AC184"/>
    <mergeCell ref="Y191:AC193"/>
    <mergeCell ref="R193:W194"/>
    <mergeCell ref="A170:C170"/>
    <mergeCell ref="A171:C171"/>
    <mergeCell ref="A172:C172"/>
    <mergeCell ref="A173:C173"/>
    <mergeCell ref="R183:W183"/>
    <mergeCell ref="R184:W185"/>
    <mergeCell ref="H185:K185"/>
    <mergeCell ref="J173:O173"/>
    <mergeCell ref="C96:C97"/>
    <mergeCell ref="B127:F127"/>
    <mergeCell ref="B130:F130"/>
    <mergeCell ref="H147:K147"/>
    <mergeCell ref="A163:C163"/>
    <mergeCell ref="A164:C164"/>
    <mergeCell ref="A165:C165"/>
    <mergeCell ref="A166:C166"/>
    <mergeCell ref="A167:C167"/>
    <mergeCell ref="B98:E98"/>
    <mergeCell ref="B104:F104"/>
    <mergeCell ref="B108:E108"/>
    <mergeCell ref="B111:F111"/>
    <mergeCell ref="B115:E115"/>
    <mergeCell ref="B120:F120"/>
    <mergeCell ref="B124:E124"/>
    <mergeCell ref="C99:C103"/>
    <mergeCell ref="C105:C107"/>
    <mergeCell ref="C109:C110"/>
    <mergeCell ref="C112:C114"/>
    <mergeCell ref="C116:C119"/>
    <mergeCell ref="C121:C123"/>
    <mergeCell ref="C125:C126"/>
    <mergeCell ref="C128:C129"/>
    <mergeCell ref="I74:L74"/>
    <mergeCell ref="B75:G75"/>
    <mergeCell ref="B82:E82"/>
    <mergeCell ref="H83:M83"/>
    <mergeCell ref="H84:J84"/>
    <mergeCell ref="K84:M84"/>
    <mergeCell ref="B89:E89"/>
    <mergeCell ref="B95:F95"/>
    <mergeCell ref="C44:C46"/>
    <mergeCell ref="C48:C49"/>
    <mergeCell ref="C51:C52"/>
    <mergeCell ref="C54:C58"/>
    <mergeCell ref="C84:C88"/>
    <mergeCell ref="C90:C94"/>
    <mergeCell ref="C39:C42"/>
    <mergeCell ref="B43:F43"/>
    <mergeCell ref="B47:E47"/>
    <mergeCell ref="B50:F50"/>
    <mergeCell ref="B53:F53"/>
    <mergeCell ref="B68:G68"/>
    <mergeCell ref="I69:L69"/>
    <mergeCell ref="B70:G70"/>
    <mergeCell ref="I70:L70"/>
    <mergeCell ref="B21:E21"/>
    <mergeCell ref="C22:C26"/>
    <mergeCell ref="B27:F27"/>
    <mergeCell ref="C28:C30"/>
    <mergeCell ref="B31:E31"/>
    <mergeCell ref="C32:C33"/>
    <mergeCell ref="B34:F34"/>
    <mergeCell ref="C35:C37"/>
    <mergeCell ref="B38:E38"/>
    <mergeCell ref="B5:E5"/>
    <mergeCell ref="H6:M6"/>
    <mergeCell ref="C7:C11"/>
    <mergeCell ref="H7:J7"/>
    <mergeCell ref="K7:M7"/>
    <mergeCell ref="B12:E12"/>
    <mergeCell ref="B18:F18"/>
    <mergeCell ref="C13:C17"/>
    <mergeCell ref="C19:C20"/>
  </mergeCells>
  <pageMargins left="0.7" right="0.7" top="0.75" bottom="0.75" header="0" footer="0"/>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M1000"/>
  <sheetViews>
    <sheetView tabSelected="1" workbookViewId="0">
      <selection activeCell="L11" sqref="L11"/>
    </sheetView>
  </sheetViews>
  <sheetFormatPr baseColWidth="10" defaultColWidth="12.625" defaultRowHeight="15" customHeight="1" x14ac:dyDescent="0.2"/>
  <cols>
    <col min="1" max="1" width="10" customWidth="1"/>
    <col min="2" max="2" width="12.875" customWidth="1"/>
    <col min="3" max="26" width="10" customWidth="1"/>
  </cols>
  <sheetData>
    <row r="1" spans="1:13" x14ac:dyDescent="0.25">
      <c r="A1" s="21" t="s">
        <v>966</v>
      </c>
    </row>
    <row r="5" spans="1:13" x14ac:dyDescent="0.25">
      <c r="B5" s="304" t="s">
        <v>866</v>
      </c>
      <c r="C5" s="297"/>
      <c r="D5" s="297"/>
      <c r="E5" s="297"/>
      <c r="F5" s="298"/>
      <c r="I5" s="3"/>
    </row>
    <row r="6" spans="1:13" ht="24" x14ac:dyDescent="0.2">
      <c r="B6" s="4" t="s">
        <v>1527</v>
      </c>
      <c r="C6" s="5" t="s">
        <v>1</v>
      </c>
      <c r="D6" s="5" t="s">
        <v>2</v>
      </c>
      <c r="E6" s="5" t="s">
        <v>43</v>
      </c>
      <c r="F6" s="45" t="s">
        <v>125</v>
      </c>
      <c r="H6" s="296" t="s">
        <v>6</v>
      </c>
      <c r="I6" s="297"/>
      <c r="J6" s="297"/>
      <c r="K6" s="297"/>
      <c r="L6" s="297"/>
      <c r="M6" s="298"/>
    </row>
    <row r="7" spans="1:13" ht="14.25" x14ac:dyDescent="0.2">
      <c r="B7" s="9" t="s">
        <v>7</v>
      </c>
      <c r="C7" s="302" t="s">
        <v>9</v>
      </c>
      <c r="D7" s="11">
        <v>28.1</v>
      </c>
      <c r="E7" s="11">
        <v>31</v>
      </c>
      <c r="F7" s="11">
        <v>40</v>
      </c>
      <c r="H7" s="296" t="s">
        <v>106</v>
      </c>
      <c r="I7" s="297"/>
      <c r="J7" s="298"/>
      <c r="K7" s="296" t="s">
        <v>107</v>
      </c>
      <c r="L7" s="297"/>
      <c r="M7" s="298"/>
    </row>
    <row r="8" spans="1:13" ht="14.25" x14ac:dyDescent="0.2">
      <c r="B8" s="9" t="s">
        <v>17</v>
      </c>
      <c r="C8" s="300"/>
      <c r="D8" s="11">
        <v>63.911000000000001</v>
      </c>
      <c r="E8" s="11">
        <v>81</v>
      </c>
      <c r="F8" s="11">
        <v>75</v>
      </c>
      <c r="H8" s="13" t="s">
        <v>13</v>
      </c>
      <c r="I8" s="14">
        <v>689</v>
      </c>
      <c r="J8" s="17" t="s">
        <v>969</v>
      </c>
      <c r="K8" s="13" t="s">
        <v>13</v>
      </c>
      <c r="L8" s="14">
        <f>L10+L10*0.05</f>
        <v>900.9</v>
      </c>
      <c r="M8" s="17" t="s">
        <v>972</v>
      </c>
    </row>
    <row r="9" spans="1:13" ht="14.25" x14ac:dyDescent="0.2">
      <c r="B9" s="9" t="s">
        <v>26</v>
      </c>
      <c r="C9" s="300"/>
      <c r="D9" s="11">
        <v>69.921999999999997</v>
      </c>
      <c r="E9" s="11">
        <v>81</v>
      </c>
      <c r="F9" s="11">
        <v>85</v>
      </c>
      <c r="H9" s="13" t="s">
        <v>19</v>
      </c>
      <c r="I9" s="18">
        <v>623</v>
      </c>
      <c r="J9" s="17" t="s">
        <v>973</v>
      </c>
      <c r="K9" s="13" t="s">
        <v>19</v>
      </c>
      <c r="L9" s="18">
        <f>L10-L10*0.05</f>
        <v>815.1</v>
      </c>
      <c r="M9" s="17" t="s">
        <v>974</v>
      </c>
    </row>
    <row r="10" spans="1:13" ht="14.25" x14ac:dyDescent="0.2">
      <c r="B10" s="9" t="s">
        <v>32</v>
      </c>
      <c r="C10" s="300"/>
      <c r="D10" s="11">
        <v>96.744</v>
      </c>
      <c r="E10" s="11">
        <v>97</v>
      </c>
      <c r="F10" s="11">
        <v>120</v>
      </c>
      <c r="H10" s="13" t="s">
        <v>27</v>
      </c>
      <c r="I10" s="20">
        <v>656</v>
      </c>
      <c r="J10" s="17" t="s">
        <v>975</v>
      </c>
      <c r="K10" s="13" t="s">
        <v>27</v>
      </c>
      <c r="L10" s="20">
        <v>858</v>
      </c>
      <c r="M10" s="17" t="s">
        <v>976</v>
      </c>
    </row>
    <row r="11" spans="1:13" ht="14.25" x14ac:dyDescent="0.2">
      <c r="B11" s="9" t="s">
        <v>33</v>
      </c>
      <c r="C11" s="301"/>
      <c r="D11" s="11">
        <v>128.11000000000001</v>
      </c>
      <c r="E11" s="11">
        <v>128</v>
      </c>
      <c r="F11" s="11">
        <v>144</v>
      </c>
      <c r="H11" s="13" t="s">
        <v>121</v>
      </c>
      <c r="I11" s="20">
        <v>660</v>
      </c>
      <c r="J11" s="17" t="s">
        <v>977</v>
      </c>
      <c r="K11" s="13" t="s">
        <v>121</v>
      </c>
      <c r="L11" s="20" t="s">
        <v>1526</v>
      </c>
      <c r="M11" s="17" t="s">
        <v>978</v>
      </c>
    </row>
    <row r="12" spans="1:13" x14ac:dyDescent="0.25">
      <c r="B12" s="296"/>
      <c r="C12" s="297"/>
      <c r="D12" s="297"/>
      <c r="E12" s="297"/>
      <c r="F12" s="11"/>
      <c r="I12" s="3"/>
    </row>
    <row r="13" spans="1:13" x14ac:dyDescent="0.25">
      <c r="B13" s="9" t="s">
        <v>35</v>
      </c>
      <c r="C13" s="302" t="s">
        <v>36</v>
      </c>
      <c r="D13" s="11">
        <v>207.78</v>
      </c>
      <c r="E13" s="11">
        <v>264</v>
      </c>
      <c r="F13" s="11">
        <v>238</v>
      </c>
      <c r="I13" s="3"/>
    </row>
    <row r="14" spans="1:13" x14ac:dyDescent="0.25">
      <c r="B14" s="9" t="s">
        <v>37</v>
      </c>
      <c r="C14" s="300"/>
      <c r="D14" s="11">
        <v>444.11</v>
      </c>
      <c r="E14" s="11">
        <v>452</v>
      </c>
      <c r="F14" s="11">
        <v>530</v>
      </c>
      <c r="I14" s="3"/>
    </row>
    <row r="15" spans="1:13" x14ac:dyDescent="0.25">
      <c r="B15" s="9" t="s">
        <v>38</v>
      </c>
      <c r="C15" s="300"/>
      <c r="D15" s="11">
        <v>579.55999999999995</v>
      </c>
      <c r="E15" s="11">
        <v>568</v>
      </c>
      <c r="F15" s="11">
        <v>571</v>
      </c>
      <c r="I15" s="3"/>
    </row>
    <row r="16" spans="1:13" x14ac:dyDescent="0.25">
      <c r="B16" s="9" t="s">
        <v>39</v>
      </c>
      <c r="C16" s="300"/>
      <c r="D16" s="11">
        <v>746.22</v>
      </c>
      <c r="E16" s="11">
        <v>775</v>
      </c>
      <c r="F16" s="11">
        <v>665</v>
      </c>
      <c r="I16" s="3"/>
    </row>
    <row r="17" spans="2:9" x14ac:dyDescent="0.25">
      <c r="B17" s="49" t="s">
        <v>41</v>
      </c>
      <c r="C17" s="300"/>
      <c r="D17" s="51">
        <v>869.5</v>
      </c>
      <c r="E17" s="51">
        <v>854</v>
      </c>
      <c r="F17" s="51">
        <v>716</v>
      </c>
      <c r="I17" s="3"/>
    </row>
    <row r="18" spans="2:9" x14ac:dyDescent="0.25">
      <c r="B18" s="308"/>
      <c r="C18" s="297"/>
      <c r="D18" s="297"/>
      <c r="E18" s="297"/>
      <c r="F18" s="306"/>
      <c r="I18" s="3"/>
    </row>
    <row r="19" spans="2:9" x14ac:dyDescent="0.25">
      <c r="B19" s="9" t="s">
        <v>46</v>
      </c>
      <c r="C19" s="299" t="s">
        <v>47</v>
      </c>
      <c r="D19" s="11">
        <v>88.4</v>
      </c>
      <c r="E19" s="11">
        <v>100</v>
      </c>
      <c r="F19" s="11">
        <v>110</v>
      </c>
      <c r="I19" s="3"/>
    </row>
    <row r="20" spans="2:9" x14ac:dyDescent="0.25">
      <c r="B20" s="9" t="s">
        <v>48</v>
      </c>
      <c r="C20" s="300"/>
      <c r="D20" s="11">
        <v>94.6</v>
      </c>
      <c r="E20" s="11">
        <v>98</v>
      </c>
      <c r="F20" s="11">
        <v>112</v>
      </c>
      <c r="I20" s="3"/>
    </row>
    <row r="21" spans="2:9" ht="15.75" customHeight="1" x14ac:dyDescent="0.25">
      <c r="B21" s="296"/>
      <c r="C21" s="297"/>
      <c r="D21" s="297"/>
      <c r="E21" s="297"/>
      <c r="F21" s="11"/>
      <c r="I21" s="3"/>
    </row>
    <row r="22" spans="2:9" ht="15.75" customHeight="1" x14ac:dyDescent="0.25">
      <c r="B22" s="9" t="s">
        <v>50</v>
      </c>
      <c r="C22" s="302" t="s">
        <v>51</v>
      </c>
      <c r="D22" s="11">
        <v>271.44400000000002</v>
      </c>
      <c r="E22" s="11">
        <v>312</v>
      </c>
      <c r="F22" s="11">
        <v>310</v>
      </c>
      <c r="I22" s="3"/>
    </row>
    <row r="23" spans="2:9" ht="15.75" customHeight="1" x14ac:dyDescent="0.25">
      <c r="B23" s="9" t="s">
        <v>54</v>
      </c>
      <c r="C23" s="300"/>
      <c r="D23" s="11">
        <v>550.22199999999998</v>
      </c>
      <c r="E23" s="11">
        <v>510</v>
      </c>
      <c r="F23" s="11">
        <v>630</v>
      </c>
      <c r="I23" s="3"/>
    </row>
    <row r="24" spans="2:9" ht="15.75" customHeight="1" x14ac:dyDescent="0.25">
      <c r="B24" s="9" t="s">
        <v>55</v>
      </c>
      <c r="C24" s="300"/>
      <c r="D24" s="11">
        <v>609</v>
      </c>
      <c r="E24" s="11">
        <v>580</v>
      </c>
      <c r="F24" s="11">
        <v>740</v>
      </c>
      <c r="I24" s="3"/>
    </row>
    <row r="25" spans="2:9" ht="15.75" customHeight="1" x14ac:dyDescent="0.25">
      <c r="B25" s="9" t="s">
        <v>56</v>
      </c>
      <c r="C25" s="300"/>
      <c r="D25" s="11">
        <v>739.11099999999999</v>
      </c>
      <c r="E25" s="11">
        <v>777</v>
      </c>
      <c r="F25" s="11">
        <v>780</v>
      </c>
      <c r="I25" s="3"/>
    </row>
    <row r="26" spans="2:9" ht="15.75" customHeight="1" x14ac:dyDescent="0.25">
      <c r="B26" s="49" t="s">
        <v>57</v>
      </c>
      <c r="C26" s="300"/>
      <c r="D26" s="51">
        <v>746.88900000000001</v>
      </c>
      <c r="E26" s="51">
        <v>768</v>
      </c>
      <c r="F26" s="51">
        <v>712</v>
      </c>
      <c r="I26" s="3"/>
    </row>
    <row r="27" spans="2:9" ht="15.75" customHeight="1" x14ac:dyDescent="0.25">
      <c r="B27" s="308"/>
      <c r="C27" s="297"/>
      <c r="D27" s="297"/>
      <c r="E27" s="297"/>
      <c r="F27" s="306"/>
      <c r="I27" s="3"/>
    </row>
    <row r="28" spans="2:9" ht="15.75" customHeight="1" x14ac:dyDescent="0.25">
      <c r="B28" s="9" t="s">
        <v>60</v>
      </c>
      <c r="C28" s="299" t="s">
        <v>62</v>
      </c>
      <c r="D28" s="11">
        <v>19.36</v>
      </c>
      <c r="E28" s="11">
        <v>18</v>
      </c>
      <c r="F28" s="11">
        <v>25</v>
      </c>
      <c r="I28" s="3"/>
    </row>
    <row r="29" spans="2:9" ht="15.75" customHeight="1" x14ac:dyDescent="0.25">
      <c r="B29" s="9" t="s">
        <v>64</v>
      </c>
      <c r="C29" s="300"/>
      <c r="D29" s="11">
        <v>33.31</v>
      </c>
      <c r="E29" s="11">
        <v>36</v>
      </c>
      <c r="F29" s="11">
        <v>45</v>
      </c>
      <c r="I29" s="3"/>
    </row>
    <row r="30" spans="2:9" ht="15.75" customHeight="1" x14ac:dyDescent="0.25">
      <c r="B30" s="9" t="s">
        <v>65</v>
      </c>
      <c r="C30" s="301"/>
      <c r="D30" s="11">
        <v>41.74</v>
      </c>
      <c r="E30" s="11">
        <v>20</v>
      </c>
      <c r="F30" s="11">
        <v>47</v>
      </c>
      <c r="I30" s="3"/>
    </row>
    <row r="31" spans="2:9" ht="15.75" customHeight="1" x14ac:dyDescent="0.25">
      <c r="B31" s="296"/>
      <c r="C31" s="297"/>
      <c r="D31" s="297"/>
      <c r="E31" s="297"/>
      <c r="F31" s="11"/>
      <c r="I31" s="3"/>
    </row>
    <row r="32" spans="2:9" ht="15.75" customHeight="1" x14ac:dyDescent="0.25">
      <c r="B32" s="9" t="s">
        <v>66</v>
      </c>
      <c r="C32" s="302" t="s">
        <v>68</v>
      </c>
      <c r="D32" s="11">
        <v>204.5</v>
      </c>
      <c r="E32" s="11">
        <v>211</v>
      </c>
      <c r="F32" s="11">
        <v>226</v>
      </c>
      <c r="I32" s="3"/>
    </row>
    <row r="33" spans="2:9" ht="15.75" customHeight="1" x14ac:dyDescent="0.25">
      <c r="B33" s="49" t="s">
        <v>69</v>
      </c>
      <c r="C33" s="300"/>
      <c r="D33" s="51">
        <v>277.7</v>
      </c>
      <c r="E33" s="51">
        <v>284</v>
      </c>
      <c r="F33" s="51">
        <v>257</v>
      </c>
      <c r="I33" s="3"/>
    </row>
    <row r="34" spans="2:9" ht="15.75" customHeight="1" x14ac:dyDescent="0.25">
      <c r="B34" s="305"/>
      <c r="C34" s="297"/>
      <c r="D34" s="297"/>
      <c r="E34" s="297"/>
      <c r="F34" s="306"/>
      <c r="I34" s="3"/>
    </row>
    <row r="35" spans="2:9" ht="15.75" customHeight="1" x14ac:dyDescent="0.25">
      <c r="B35" s="9" t="s">
        <v>69</v>
      </c>
      <c r="C35" s="299" t="s">
        <v>71</v>
      </c>
      <c r="D35" s="11">
        <v>10.283300000000001</v>
      </c>
      <c r="E35" s="11">
        <v>8</v>
      </c>
      <c r="F35" s="11">
        <v>15</v>
      </c>
      <c r="I35" s="3"/>
    </row>
    <row r="36" spans="2:9" ht="15.75" customHeight="1" x14ac:dyDescent="0.25">
      <c r="B36" s="9" t="s">
        <v>72</v>
      </c>
      <c r="C36" s="300"/>
      <c r="D36" s="11">
        <v>11.8833</v>
      </c>
      <c r="E36" s="11">
        <v>9</v>
      </c>
      <c r="F36" s="11">
        <v>17</v>
      </c>
      <c r="I36" s="3"/>
    </row>
    <row r="37" spans="2:9" ht="15.75" customHeight="1" x14ac:dyDescent="0.25">
      <c r="B37" s="9" t="s">
        <v>73</v>
      </c>
      <c r="C37" s="301"/>
      <c r="D37" s="11">
        <v>17.433299999999999</v>
      </c>
      <c r="E37" s="11">
        <v>25</v>
      </c>
      <c r="F37" s="11">
        <v>25</v>
      </c>
      <c r="I37" s="3"/>
    </row>
    <row r="38" spans="2:9" ht="15.75" customHeight="1" x14ac:dyDescent="0.25">
      <c r="B38" s="296"/>
      <c r="C38" s="297"/>
      <c r="D38" s="297"/>
      <c r="E38" s="297"/>
      <c r="F38" s="11"/>
      <c r="I38" s="3"/>
    </row>
    <row r="39" spans="2:9" ht="15.75" customHeight="1" x14ac:dyDescent="0.25">
      <c r="B39" s="9" t="s">
        <v>76</v>
      </c>
      <c r="C39" s="302" t="s">
        <v>77</v>
      </c>
      <c r="D39" s="11">
        <v>117.467</v>
      </c>
      <c r="E39" s="11">
        <v>176</v>
      </c>
      <c r="F39" s="11">
        <v>213</v>
      </c>
      <c r="I39" s="3"/>
    </row>
    <row r="40" spans="2:9" ht="15.75" customHeight="1" x14ac:dyDescent="0.25">
      <c r="B40" s="9" t="s">
        <v>78</v>
      </c>
      <c r="C40" s="300"/>
      <c r="D40" s="11">
        <v>187.833</v>
      </c>
      <c r="E40" s="11">
        <v>131</v>
      </c>
      <c r="F40" s="11">
        <v>190</v>
      </c>
      <c r="I40" s="3"/>
    </row>
    <row r="41" spans="2:9" ht="15.75" customHeight="1" x14ac:dyDescent="0.25">
      <c r="B41" s="9" t="s">
        <v>79</v>
      </c>
      <c r="C41" s="300"/>
      <c r="D41" s="11">
        <v>218.333</v>
      </c>
      <c r="E41" s="11">
        <v>233</v>
      </c>
      <c r="F41" s="11">
        <v>223</v>
      </c>
      <c r="I41" s="3"/>
    </row>
    <row r="42" spans="2:9" ht="15.75" customHeight="1" x14ac:dyDescent="0.25">
      <c r="B42" s="49" t="s">
        <v>80</v>
      </c>
      <c r="C42" s="300"/>
      <c r="D42" s="51">
        <v>238.5</v>
      </c>
      <c r="E42" s="51">
        <v>103</v>
      </c>
      <c r="F42" s="51">
        <v>178</v>
      </c>
      <c r="I42" s="3"/>
    </row>
    <row r="43" spans="2:9" ht="15.75" customHeight="1" x14ac:dyDescent="0.25">
      <c r="B43" s="305"/>
      <c r="C43" s="297"/>
      <c r="D43" s="297"/>
      <c r="E43" s="297"/>
      <c r="F43" s="306"/>
      <c r="I43" s="3"/>
    </row>
    <row r="44" spans="2:9" ht="15.75" customHeight="1" x14ac:dyDescent="0.25">
      <c r="B44" s="9" t="s">
        <v>81</v>
      </c>
      <c r="C44" s="299" t="s">
        <v>82</v>
      </c>
      <c r="D44" s="11">
        <v>2</v>
      </c>
      <c r="E44" s="11">
        <v>1</v>
      </c>
      <c r="F44" s="11">
        <v>10</v>
      </c>
      <c r="I44" s="3"/>
    </row>
    <row r="45" spans="2:9" ht="15.75" customHeight="1" x14ac:dyDescent="0.25">
      <c r="B45" s="9" t="s">
        <v>83</v>
      </c>
      <c r="C45" s="300"/>
      <c r="D45" s="11">
        <v>7.133</v>
      </c>
      <c r="E45" s="11">
        <v>5</v>
      </c>
      <c r="F45" s="11">
        <v>15</v>
      </c>
      <c r="I45" s="3"/>
    </row>
    <row r="46" spans="2:9" ht="15.75" customHeight="1" x14ac:dyDescent="0.25">
      <c r="B46" s="9" t="s">
        <v>84</v>
      </c>
      <c r="C46" s="301"/>
      <c r="D46" s="11">
        <v>10.72</v>
      </c>
      <c r="E46" s="11">
        <v>5</v>
      </c>
      <c r="F46" s="11">
        <v>15</v>
      </c>
      <c r="I46" s="3"/>
    </row>
    <row r="47" spans="2:9" ht="15.75" customHeight="1" x14ac:dyDescent="0.25">
      <c r="B47" s="296"/>
      <c r="C47" s="297"/>
      <c r="D47" s="297"/>
      <c r="E47" s="297"/>
      <c r="F47" s="11"/>
      <c r="I47" s="3"/>
    </row>
    <row r="48" spans="2:9" ht="15.75" customHeight="1" x14ac:dyDescent="0.25">
      <c r="B48" s="9" t="s">
        <v>86</v>
      </c>
      <c r="C48" s="302" t="s">
        <v>87</v>
      </c>
      <c r="D48" s="11">
        <v>20.466999999999999</v>
      </c>
      <c r="E48" s="11">
        <v>22</v>
      </c>
      <c r="F48" s="11">
        <v>35</v>
      </c>
      <c r="I48" s="3"/>
    </row>
    <row r="49" spans="2:13" ht="15.75" customHeight="1" x14ac:dyDescent="0.25">
      <c r="B49" s="49" t="s">
        <v>88</v>
      </c>
      <c r="C49" s="300"/>
      <c r="D49" s="51">
        <v>20.367000000000001</v>
      </c>
      <c r="E49" s="51">
        <v>22</v>
      </c>
      <c r="F49" s="51">
        <v>35</v>
      </c>
      <c r="I49" s="3"/>
    </row>
    <row r="50" spans="2:13" ht="15.75" customHeight="1" x14ac:dyDescent="0.25">
      <c r="B50" s="305"/>
      <c r="C50" s="297"/>
      <c r="D50" s="297"/>
      <c r="E50" s="297"/>
      <c r="F50" s="306"/>
      <c r="I50" s="3"/>
    </row>
    <row r="51" spans="2:13" ht="15.75" customHeight="1" x14ac:dyDescent="0.25">
      <c r="B51" s="9" t="s">
        <v>89</v>
      </c>
      <c r="C51" s="299" t="s">
        <v>90</v>
      </c>
      <c r="D51" s="11">
        <v>5.15</v>
      </c>
      <c r="E51" s="11">
        <v>19</v>
      </c>
      <c r="F51" s="11">
        <v>25</v>
      </c>
      <c r="I51" s="3"/>
    </row>
    <row r="52" spans="2:13" ht="15.75" customHeight="1" x14ac:dyDescent="0.25">
      <c r="B52" s="49" t="s">
        <v>91</v>
      </c>
      <c r="C52" s="300"/>
      <c r="D52" s="51">
        <v>16.2</v>
      </c>
      <c r="E52" s="51">
        <v>19</v>
      </c>
      <c r="F52" s="51">
        <v>25</v>
      </c>
      <c r="I52" s="3"/>
    </row>
    <row r="53" spans="2:13" ht="15.75" customHeight="1" x14ac:dyDescent="0.25">
      <c r="B53" s="296"/>
      <c r="C53" s="297"/>
      <c r="D53" s="297"/>
      <c r="E53" s="297"/>
      <c r="F53" s="298"/>
      <c r="I53" s="3"/>
    </row>
    <row r="54" spans="2:13" ht="15.75" customHeight="1" x14ac:dyDescent="0.25">
      <c r="B54" s="9" t="s">
        <v>94</v>
      </c>
      <c r="C54" s="299" t="s">
        <v>95</v>
      </c>
      <c r="D54" s="11">
        <v>50.082999999999998</v>
      </c>
      <c r="E54" s="11">
        <v>54</v>
      </c>
      <c r="F54" s="11">
        <v>75</v>
      </c>
      <c r="I54" s="3"/>
    </row>
    <row r="55" spans="2:13" ht="15.75" customHeight="1" x14ac:dyDescent="0.25">
      <c r="B55" s="9" t="s">
        <v>96</v>
      </c>
      <c r="C55" s="300"/>
      <c r="D55" s="11">
        <v>93.992999999999995</v>
      </c>
      <c r="E55" s="11">
        <v>116</v>
      </c>
      <c r="F55" s="11">
        <v>144</v>
      </c>
      <c r="I55" s="3"/>
    </row>
    <row r="56" spans="2:13" ht="15.75" customHeight="1" x14ac:dyDescent="0.25">
      <c r="B56" s="9" t="s">
        <v>97</v>
      </c>
      <c r="C56" s="300"/>
      <c r="D56" s="11">
        <v>95.516999999999996</v>
      </c>
      <c r="E56" s="11">
        <v>91</v>
      </c>
      <c r="F56" s="11">
        <v>137</v>
      </c>
      <c r="I56" s="3"/>
    </row>
    <row r="57" spans="2:13" ht="15.75" customHeight="1" x14ac:dyDescent="0.25">
      <c r="B57" s="9" t="s">
        <v>98</v>
      </c>
      <c r="C57" s="300"/>
      <c r="D57" s="11">
        <v>100.92</v>
      </c>
      <c r="E57" s="11">
        <v>121</v>
      </c>
      <c r="F57" s="11">
        <v>163</v>
      </c>
      <c r="I57" s="3"/>
    </row>
    <row r="58" spans="2:13" ht="15.75" customHeight="1" x14ac:dyDescent="0.25">
      <c r="B58" s="9" t="s">
        <v>99</v>
      </c>
      <c r="C58" s="301"/>
      <c r="D58" s="11">
        <v>115.37</v>
      </c>
      <c r="E58" s="11">
        <v>118</v>
      </c>
      <c r="F58" s="11">
        <v>165</v>
      </c>
      <c r="I58" s="3"/>
    </row>
    <row r="59" spans="2:13" ht="15.75" customHeight="1" x14ac:dyDescent="0.25">
      <c r="B59" s="1"/>
      <c r="C59" s="1"/>
      <c r="D59" s="2"/>
      <c r="E59" s="2"/>
      <c r="F59" s="146"/>
      <c r="I59" s="3"/>
    </row>
    <row r="60" spans="2:13" ht="15.75" customHeight="1" x14ac:dyDescent="0.25">
      <c r="B60" s="1"/>
      <c r="C60" s="1"/>
      <c r="D60" s="2"/>
      <c r="E60" s="2"/>
      <c r="F60" s="146"/>
      <c r="I60" s="3"/>
    </row>
    <row r="61" spans="2:13" ht="15.75" customHeight="1" x14ac:dyDescent="0.2"/>
    <row r="62" spans="2:13" ht="15.75" customHeight="1" x14ac:dyDescent="0.25">
      <c r="B62" s="362" t="s">
        <v>986</v>
      </c>
      <c r="C62" s="297"/>
      <c r="D62" s="297"/>
      <c r="E62" s="297"/>
      <c r="F62" s="298"/>
      <c r="I62" s="3"/>
    </row>
    <row r="63" spans="2:13" ht="15.75" customHeight="1" x14ac:dyDescent="0.2">
      <c r="B63" s="4" t="s">
        <v>0</v>
      </c>
      <c r="C63" s="5" t="s">
        <v>1</v>
      </c>
      <c r="D63" s="5" t="s">
        <v>2</v>
      </c>
      <c r="E63" s="5" t="s">
        <v>43</v>
      </c>
      <c r="F63" s="45" t="s">
        <v>125</v>
      </c>
      <c r="H63" s="296" t="s">
        <v>6</v>
      </c>
      <c r="I63" s="297"/>
      <c r="J63" s="297"/>
      <c r="K63" s="297"/>
      <c r="L63" s="297"/>
      <c r="M63" s="298"/>
    </row>
    <row r="64" spans="2:13" ht="15.75" customHeight="1" x14ac:dyDescent="0.2">
      <c r="B64" s="9" t="s">
        <v>7</v>
      </c>
      <c r="C64" s="302" t="s">
        <v>9</v>
      </c>
      <c r="D64" s="11">
        <v>28.1</v>
      </c>
      <c r="E64" s="224">
        <v>31</v>
      </c>
      <c r="F64" s="11">
        <v>40</v>
      </c>
      <c r="H64" s="296" t="s">
        <v>106</v>
      </c>
      <c r="I64" s="297"/>
      <c r="J64" s="298"/>
      <c r="K64" s="296" t="s">
        <v>107</v>
      </c>
      <c r="L64" s="297"/>
      <c r="M64" s="298"/>
    </row>
    <row r="65" spans="2:13" ht="15.75" customHeight="1" x14ac:dyDescent="0.2">
      <c r="B65" s="9" t="s">
        <v>17</v>
      </c>
      <c r="C65" s="300"/>
      <c r="D65" s="11">
        <v>63.911000000000001</v>
      </c>
      <c r="E65" s="224">
        <v>70</v>
      </c>
      <c r="F65" s="11">
        <v>75</v>
      </c>
      <c r="H65" s="13" t="s">
        <v>13</v>
      </c>
      <c r="I65" s="14">
        <v>689</v>
      </c>
      <c r="J65" s="17" t="s">
        <v>989</v>
      </c>
      <c r="K65" s="13" t="s">
        <v>13</v>
      </c>
      <c r="L65" s="14">
        <f>L67+L67*0.05</f>
        <v>711.9</v>
      </c>
      <c r="M65" s="17" t="s">
        <v>990</v>
      </c>
    </row>
    <row r="66" spans="2:13" ht="15.75" customHeight="1" x14ac:dyDescent="0.2">
      <c r="B66" s="9" t="s">
        <v>26</v>
      </c>
      <c r="C66" s="300"/>
      <c r="D66" s="11">
        <v>69.921999999999997</v>
      </c>
      <c r="E66" s="224">
        <v>76</v>
      </c>
      <c r="F66" s="11">
        <v>85</v>
      </c>
      <c r="H66" s="13" t="s">
        <v>19</v>
      </c>
      <c r="I66" s="18">
        <v>623</v>
      </c>
      <c r="J66" s="17" t="s">
        <v>991</v>
      </c>
      <c r="K66" s="13" t="s">
        <v>19</v>
      </c>
      <c r="L66" s="18">
        <f>L67-L67*0.05</f>
        <v>644.1</v>
      </c>
      <c r="M66" s="17" t="s">
        <v>992</v>
      </c>
    </row>
    <row r="67" spans="2:13" ht="15.75" customHeight="1" x14ac:dyDescent="0.2">
      <c r="B67" s="9" t="s">
        <v>32</v>
      </c>
      <c r="C67" s="300"/>
      <c r="D67" s="11">
        <v>96.744</v>
      </c>
      <c r="E67" s="224">
        <v>98</v>
      </c>
      <c r="F67" s="11">
        <v>120</v>
      </c>
      <c r="H67" s="13" t="s">
        <v>27</v>
      </c>
      <c r="I67" s="20">
        <v>656</v>
      </c>
      <c r="J67" s="17" t="s">
        <v>993</v>
      </c>
      <c r="K67" s="13" t="s">
        <v>27</v>
      </c>
      <c r="L67" s="225">
        <v>678</v>
      </c>
      <c r="M67" s="17" t="s">
        <v>994</v>
      </c>
    </row>
    <row r="68" spans="2:13" ht="15.75" customHeight="1" x14ac:dyDescent="0.2">
      <c r="B68" s="9" t="s">
        <v>33</v>
      </c>
      <c r="C68" s="301"/>
      <c r="D68" s="11">
        <v>128.11000000000001</v>
      </c>
      <c r="E68" s="224">
        <v>126</v>
      </c>
      <c r="F68" s="11">
        <v>144</v>
      </c>
      <c r="H68" s="13" t="s">
        <v>121</v>
      </c>
      <c r="I68" s="20">
        <v>660</v>
      </c>
      <c r="J68" s="17" t="s">
        <v>995</v>
      </c>
      <c r="K68" s="13" t="s">
        <v>121</v>
      </c>
      <c r="L68" s="225">
        <v>668</v>
      </c>
      <c r="M68" s="17" t="s">
        <v>996</v>
      </c>
    </row>
    <row r="69" spans="2:13" ht="15.75" customHeight="1" x14ac:dyDescent="0.25">
      <c r="B69" s="296"/>
      <c r="C69" s="297"/>
      <c r="D69" s="297"/>
      <c r="E69" s="297"/>
      <c r="F69" s="11"/>
      <c r="I69" s="3"/>
    </row>
    <row r="70" spans="2:13" ht="15.75" customHeight="1" x14ac:dyDescent="0.25">
      <c r="B70" s="9" t="s">
        <v>35</v>
      </c>
      <c r="C70" s="302" t="s">
        <v>36</v>
      </c>
      <c r="D70" s="11">
        <v>207.78</v>
      </c>
      <c r="E70" s="224">
        <v>277</v>
      </c>
      <c r="F70" s="11">
        <v>238</v>
      </c>
      <c r="I70" s="3"/>
    </row>
    <row r="71" spans="2:13" ht="15.75" customHeight="1" x14ac:dyDescent="0.25">
      <c r="B71" s="9" t="s">
        <v>37</v>
      </c>
      <c r="C71" s="300"/>
      <c r="D71" s="11">
        <v>444.11</v>
      </c>
      <c r="E71" s="224">
        <v>424</v>
      </c>
      <c r="F71" s="11">
        <v>530</v>
      </c>
      <c r="I71" s="3"/>
    </row>
    <row r="72" spans="2:13" ht="15.75" customHeight="1" x14ac:dyDescent="0.25">
      <c r="B72" s="9" t="s">
        <v>38</v>
      </c>
      <c r="C72" s="300"/>
      <c r="D72" s="11">
        <v>579.55999999999995</v>
      </c>
      <c r="E72" s="224">
        <v>563</v>
      </c>
      <c r="F72" s="11">
        <v>571</v>
      </c>
      <c r="I72" s="3"/>
    </row>
    <row r="73" spans="2:13" ht="15.75" customHeight="1" x14ac:dyDescent="0.25">
      <c r="B73" s="9" t="s">
        <v>39</v>
      </c>
      <c r="C73" s="300"/>
      <c r="D73" s="11">
        <v>746.22</v>
      </c>
      <c r="E73" s="224">
        <v>758</v>
      </c>
      <c r="F73" s="11">
        <v>665</v>
      </c>
      <c r="I73" s="3"/>
    </row>
    <row r="74" spans="2:13" ht="15.75" customHeight="1" x14ac:dyDescent="0.25">
      <c r="B74" s="49" t="s">
        <v>41</v>
      </c>
      <c r="C74" s="300"/>
      <c r="D74" s="51">
        <v>869.5</v>
      </c>
      <c r="E74" s="226">
        <v>847</v>
      </c>
      <c r="F74" s="51">
        <v>716</v>
      </c>
      <c r="I74" s="3"/>
    </row>
    <row r="75" spans="2:13" ht="15.75" customHeight="1" x14ac:dyDescent="0.25">
      <c r="B75" s="308"/>
      <c r="C75" s="297"/>
      <c r="D75" s="297"/>
      <c r="E75" s="297"/>
      <c r="F75" s="306"/>
      <c r="I75" s="3"/>
    </row>
    <row r="76" spans="2:13" ht="15.75" customHeight="1" x14ac:dyDescent="0.25">
      <c r="B76" s="9" t="s">
        <v>46</v>
      </c>
      <c r="C76" s="299" t="s">
        <v>47</v>
      </c>
      <c r="D76" s="11">
        <v>88.4</v>
      </c>
      <c r="E76" s="224">
        <v>96</v>
      </c>
      <c r="F76" s="11">
        <v>110</v>
      </c>
      <c r="I76" s="3"/>
    </row>
    <row r="77" spans="2:13" ht="15.75" customHeight="1" x14ac:dyDescent="0.25">
      <c r="B77" s="9" t="s">
        <v>48</v>
      </c>
      <c r="C77" s="300"/>
      <c r="D77" s="11">
        <v>94.6</v>
      </c>
      <c r="E77" s="224">
        <v>99</v>
      </c>
      <c r="F77" s="11">
        <v>112</v>
      </c>
      <c r="I77" s="3"/>
    </row>
    <row r="78" spans="2:13" ht="15.75" customHeight="1" x14ac:dyDescent="0.25">
      <c r="B78" s="296"/>
      <c r="C78" s="297"/>
      <c r="D78" s="297"/>
      <c r="E78" s="297"/>
      <c r="F78" s="11"/>
      <c r="I78" s="3"/>
    </row>
    <row r="79" spans="2:13" ht="15.75" customHeight="1" x14ac:dyDescent="0.25">
      <c r="B79" s="9" t="s">
        <v>50</v>
      </c>
      <c r="C79" s="302" t="s">
        <v>51</v>
      </c>
      <c r="D79" s="11">
        <v>271.44400000000002</v>
      </c>
      <c r="E79" s="224">
        <v>337</v>
      </c>
      <c r="F79" s="11">
        <v>310</v>
      </c>
      <c r="I79" s="3"/>
    </row>
    <row r="80" spans="2:13" ht="15.75" customHeight="1" x14ac:dyDescent="0.25">
      <c r="B80" s="9" t="s">
        <v>54</v>
      </c>
      <c r="C80" s="300"/>
      <c r="D80" s="11">
        <v>550.22199999999998</v>
      </c>
      <c r="E80" s="224">
        <v>466</v>
      </c>
      <c r="F80" s="11">
        <v>630</v>
      </c>
      <c r="I80" s="3"/>
    </row>
    <row r="81" spans="2:9" ht="15.75" customHeight="1" x14ac:dyDescent="0.25">
      <c r="B81" s="9" t="s">
        <v>55</v>
      </c>
      <c r="C81" s="300"/>
      <c r="D81" s="11">
        <v>609</v>
      </c>
      <c r="E81" s="224">
        <v>600</v>
      </c>
      <c r="F81" s="11">
        <v>740</v>
      </c>
      <c r="I81" s="3"/>
    </row>
    <row r="82" spans="2:9" ht="15.75" customHeight="1" x14ac:dyDescent="0.25">
      <c r="B82" s="9" t="s">
        <v>56</v>
      </c>
      <c r="C82" s="300"/>
      <c r="D82" s="11">
        <v>739.11099999999999</v>
      </c>
      <c r="E82" s="224">
        <v>726</v>
      </c>
      <c r="F82" s="11">
        <v>780</v>
      </c>
      <c r="I82" s="3"/>
    </row>
    <row r="83" spans="2:9" ht="15.75" customHeight="1" x14ac:dyDescent="0.25">
      <c r="B83" s="49" t="s">
        <v>57</v>
      </c>
      <c r="C83" s="300"/>
      <c r="D83" s="51">
        <v>746.88900000000001</v>
      </c>
      <c r="E83" s="226">
        <v>730</v>
      </c>
      <c r="F83" s="51">
        <v>712</v>
      </c>
      <c r="I83" s="3"/>
    </row>
    <row r="84" spans="2:9" ht="15.75" customHeight="1" x14ac:dyDescent="0.25">
      <c r="B84" s="308"/>
      <c r="C84" s="297"/>
      <c r="D84" s="297"/>
      <c r="E84" s="297"/>
      <c r="F84" s="306"/>
      <c r="I84" s="3"/>
    </row>
    <row r="85" spans="2:9" ht="15.75" customHeight="1" x14ac:dyDescent="0.25">
      <c r="B85" s="9" t="s">
        <v>60</v>
      </c>
      <c r="C85" s="299" t="s">
        <v>62</v>
      </c>
      <c r="D85" s="11">
        <v>19.36</v>
      </c>
      <c r="E85" s="224">
        <v>25</v>
      </c>
      <c r="F85" s="11">
        <v>25</v>
      </c>
      <c r="I85" s="3"/>
    </row>
    <row r="86" spans="2:9" ht="15.75" customHeight="1" x14ac:dyDescent="0.25">
      <c r="B86" s="9" t="s">
        <v>64</v>
      </c>
      <c r="C86" s="300"/>
      <c r="D86" s="11">
        <v>33.31</v>
      </c>
      <c r="E86" s="224">
        <v>40</v>
      </c>
      <c r="F86" s="11">
        <v>45</v>
      </c>
      <c r="I86" s="3"/>
    </row>
    <row r="87" spans="2:9" ht="15.75" customHeight="1" x14ac:dyDescent="0.25">
      <c r="B87" s="9" t="s">
        <v>65</v>
      </c>
      <c r="C87" s="301"/>
      <c r="D87" s="11">
        <v>41.74</v>
      </c>
      <c r="E87" s="224">
        <v>46</v>
      </c>
      <c r="F87" s="11">
        <v>47</v>
      </c>
      <c r="I87" s="3"/>
    </row>
    <row r="88" spans="2:9" ht="15.75" customHeight="1" x14ac:dyDescent="0.25">
      <c r="B88" s="296"/>
      <c r="C88" s="297"/>
      <c r="D88" s="297"/>
      <c r="E88" s="297"/>
      <c r="F88" s="11"/>
      <c r="I88" s="3"/>
    </row>
    <row r="89" spans="2:9" ht="15.75" customHeight="1" x14ac:dyDescent="0.25">
      <c r="B89" s="9" t="s">
        <v>66</v>
      </c>
      <c r="C89" s="302" t="s">
        <v>68</v>
      </c>
      <c r="D89" s="11">
        <v>204.5</v>
      </c>
      <c r="E89" s="224">
        <v>205</v>
      </c>
      <c r="F89" s="11">
        <v>226</v>
      </c>
      <c r="I89" s="3"/>
    </row>
    <row r="90" spans="2:9" ht="15.75" customHeight="1" x14ac:dyDescent="0.25">
      <c r="B90" s="49" t="s">
        <v>69</v>
      </c>
      <c r="C90" s="300"/>
      <c r="D90" s="51">
        <v>277.7</v>
      </c>
      <c r="E90" s="226">
        <v>283</v>
      </c>
      <c r="F90" s="51">
        <v>257</v>
      </c>
      <c r="I90" s="3"/>
    </row>
    <row r="91" spans="2:9" ht="15.75" customHeight="1" x14ac:dyDescent="0.25">
      <c r="B91" s="305"/>
      <c r="C91" s="297"/>
      <c r="D91" s="297"/>
      <c r="E91" s="297"/>
      <c r="F91" s="306"/>
      <c r="I91" s="3"/>
    </row>
    <row r="92" spans="2:9" ht="15.75" customHeight="1" x14ac:dyDescent="0.25">
      <c r="B92" s="9" t="s">
        <v>69</v>
      </c>
      <c r="C92" s="299" t="s">
        <v>71</v>
      </c>
      <c r="D92" s="11">
        <v>10.283300000000001</v>
      </c>
      <c r="E92" s="224">
        <v>13</v>
      </c>
      <c r="F92" s="11">
        <v>15</v>
      </c>
      <c r="I92" s="3"/>
    </row>
    <row r="93" spans="2:9" ht="15.75" customHeight="1" x14ac:dyDescent="0.25">
      <c r="B93" s="9" t="s">
        <v>72</v>
      </c>
      <c r="C93" s="300"/>
      <c r="D93" s="11">
        <v>11.8833</v>
      </c>
      <c r="E93" s="224">
        <v>15</v>
      </c>
      <c r="F93" s="11">
        <v>17</v>
      </c>
      <c r="I93" s="3"/>
    </row>
    <row r="94" spans="2:9" ht="15.75" customHeight="1" x14ac:dyDescent="0.25">
      <c r="B94" s="9" t="s">
        <v>73</v>
      </c>
      <c r="C94" s="301"/>
      <c r="D94" s="11">
        <v>17.433299999999999</v>
      </c>
      <c r="E94" s="224">
        <v>18</v>
      </c>
      <c r="F94" s="11">
        <v>25</v>
      </c>
      <c r="I94" s="3"/>
    </row>
    <row r="95" spans="2:9" ht="15.75" customHeight="1" x14ac:dyDescent="0.25">
      <c r="B95" s="296"/>
      <c r="C95" s="297"/>
      <c r="D95" s="297"/>
      <c r="E95" s="297"/>
      <c r="F95" s="11"/>
      <c r="I95" s="3"/>
    </row>
    <row r="96" spans="2:9" ht="15.75" customHeight="1" x14ac:dyDescent="0.25">
      <c r="B96" s="9" t="s">
        <v>76</v>
      </c>
      <c r="C96" s="302" t="s">
        <v>77</v>
      </c>
      <c r="D96" s="11">
        <v>117.467</v>
      </c>
      <c r="E96" s="224">
        <v>123</v>
      </c>
      <c r="F96" s="11">
        <v>213</v>
      </c>
      <c r="I96" s="3"/>
    </row>
    <row r="97" spans="2:9" ht="15.75" customHeight="1" x14ac:dyDescent="0.25">
      <c r="B97" s="9" t="s">
        <v>78</v>
      </c>
      <c r="C97" s="300"/>
      <c r="D97" s="11">
        <v>187.833</v>
      </c>
      <c r="E97" s="224">
        <v>180</v>
      </c>
      <c r="F97" s="11">
        <v>190</v>
      </c>
      <c r="I97" s="3"/>
    </row>
    <row r="98" spans="2:9" ht="15.75" customHeight="1" x14ac:dyDescent="0.25">
      <c r="B98" s="9" t="s">
        <v>79</v>
      </c>
      <c r="C98" s="300"/>
      <c r="D98" s="11">
        <v>218.333</v>
      </c>
      <c r="E98" s="224">
        <v>236</v>
      </c>
      <c r="F98" s="11">
        <v>223</v>
      </c>
      <c r="I98" s="3"/>
    </row>
    <row r="99" spans="2:9" ht="15.75" customHeight="1" x14ac:dyDescent="0.25">
      <c r="B99" s="49" t="s">
        <v>80</v>
      </c>
      <c r="C99" s="300"/>
      <c r="D99" s="51">
        <v>238.5</v>
      </c>
      <c r="E99" s="226">
        <v>217</v>
      </c>
      <c r="F99" s="51">
        <v>178</v>
      </c>
      <c r="I99" s="3"/>
    </row>
    <row r="100" spans="2:9" ht="15.75" customHeight="1" x14ac:dyDescent="0.25">
      <c r="B100" s="305"/>
      <c r="C100" s="297"/>
      <c r="D100" s="297"/>
      <c r="E100" s="297"/>
      <c r="F100" s="306"/>
      <c r="I100" s="3"/>
    </row>
    <row r="101" spans="2:9" ht="15.75" customHeight="1" x14ac:dyDescent="0.25">
      <c r="B101" s="9" t="s">
        <v>81</v>
      </c>
      <c r="C101" s="299" t="s">
        <v>82</v>
      </c>
      <c r="D101" s="11">
        <v>2</v>
      </c>
      <c r="E101" s="224">
        <v>1</v>
      </c>
      <c r="F101" s="11">
        <v>10</v>
      </c>
      <c r="I101" s="3"/>
    </row>
    <row r="102" spans="2:9" ht="15.75" customHeight="1" x14ac:dyDescent="0.25">
      <c r="B102" s="9" t="s">
        <v>83</v>
      </c>
      <c r="C102" s="300"/>
      <c r="D102" s="11">
        <v>7.133</v>
      </c>
      <c r="E102" s="224">
        <v>23</v>
      </c>
      <c r="F102" s="11">
        <v>15</v>
      </c>
      <c r="I102" s="3"/>
    </row>
    <row r="103" spans="2:9" ht="15.75" customHeight="1" x14ac:dyDescent="0.25">
      <c r="B103" s="9" t="s">
        <v>84</v>
      </c>
      <c r="C103" s="301"/>
      <c r="D103" s="11">
        <v>10.72</v>
      </c>
      <c r="E103" s="224">
        <v>13</v>
      </c>
      <c r="F103" s="11">
        <v>15</v>
      </c>
      <c r="I103" s="3"/>
    </row>
    <row r="104" spans="2:9" ht="15.75" customHeight="1" x14ac:dyDescent="0.25">
      <c r="B104" s="296"/>
      <c r="C104" s="297"/>
      <c r="D104" s="297"/>
      <c r="E104" s="297"/>
      <c r="F104" s="11"/>
      <c r="I104" s="3"/>
    </row>
    <row r="105" spans="2:9" ht="15.75" customHeight="1" x14ac:dyDescent="0.25">
      <c r="B105" s="9" t="s">
        <v>86</v>
      </c>
      <c r="C105" s="302" t="s">
        <v>87</v>
      </c>
      <c r="D105" s="11">
        <v>20.466999999999999</v>
      </c>
      <c r="E105" s="224">
        <v>19</v>
      </c>
      <c r="F105" s="11">
        <v>35</v>
      </c>
      <c r="I105" s="3"/>
    </row>
    <row r="106" spans="2:9" ht="15.75" customHeight="1" x14ac:dyDescent="0.25">
      <c r="B106" s="49" t="s">
        <v>88</v>
      </c>
      <c r="C106" s="300"/>
      <c r="D106" s="51">
        <v>20.367000000000001</v>
      </c>
      <c r="E106" s="226">
        <v>21</v>
      </c>
      <c r="F106" s="51">
        <v>35</v>
      </c>
      <c r="I106" s="3"/>
    </row>
    <row r="107" spans="2:9" ht="15.75" customHeight="1" x14ac:dyDescent="0.25">
      <c r="B107" s="305"/>
      <c r="C107" s="297"/>
      <c r="D107" s="297"/>
      <c r="E107" s="297"/>
      <c r="F107" s="306"/>
      <c r="I107" s="3"/>
    </row>
    <row r="108" spans="2:9" ht="15.75" customHeight="1" x14ac:dyDescent="0.25">
      <c r="B108" s="9" t="s">
        <v>89</v>
      </c>
      <c r="C108" s="299" t="s">
        <v>90</v>
      </c>
      <c r="D108" s="11">
        <v>5.15</v>
      </c>
      <c r="E108" s="224">
        <v>24</v>
      </c>
      <c r="F108" s="11">
        <v>25</v>
      </c>
      <c r="I108" s="3"/>
    </row>
    <row r="109" spans="2:9" ht="15.75" customHeight="1" x14ac:dyDescent="0.25">
      <c r="B109" s="49" t="s">
        <v>91</v>
      </c>
      <c r="C109" s="300"/>
      <c r="D109" s="51">
        <v>16.2</v>
      </c>
      <c r="E109" s="226">
        <v>35</v>
      </c>
      <c r="F109" s="51">
        <v>25</v>
      </c>
      <c r="I109" s="3"/>
    </row>
    <row r="110" spans="2:9" ht="15.75" customHeight="1" x14ac:dyDescent="0.25">
      <c r="B110" s="296"/>
      <c r="C110" s="297"/>
      <c r="D110" s="297"/>
      <c r="E110" s="297"/>
      <c r="F110" s="298"/>
      <c r="I110" s="3"/>
    </row>
    <row r="111" spans="2:9" ht="15.75" customHeight="1" x14ac:dyDescent="0.25">
      <c r="B111" s="9" t="s">
        <v>94</v>
      </c>
      <c r="C111" s="299" t="s">
        <v>95</v>
      </c>
      <c r="D111" s="11">
        <v>50.082999999999998</v>
      </c>
      <c r="E111" s="224">
        <v>60</v>
      </c>
      <c r="F111" s="11">
        <v>75</v>
      </c>
      <c r="I111" s="3"/>
    </row>
    <row r="112" spans="2:9" ht="15.75" customHeight="1" x14ac:dyDescent="0.25">
      <c r="B112" s="9" t="s">
        <v>96</v>
      </c>
      <c r="C112" s="300"/>
      <c r="D112" s="11">
        <v>93.992999999999995</v>
      </c>
      <c r="E112" s="224">
        <v>96</v>
      </c>
      <c r="F112" s="11">
        <v>144</v>
      </c>
      <c r="I112" s="3"/>
    </row>
    <row r="113" spans="1:12" ht="15.75" customHeight="1" x14ac:dyDescent="0.25">
      <c r="B113" s="9" t="s">
        <v>97</v>
      </c>
      <c r="C113" s="300"/>
      <c r="D113" s="11">
        <v>95.516999999999996</v>
      </c>
      <c r="E113" s="224">
        <v>92</v>
      </c>
      <c r="F113" s="11">
        <v>137</v>
      </c>
      <c r="I113" s="3"/>
    </row>
    <row r="114" spans="1:12" ht="15.75" customHeight="1" x14ac:dyDescent="0.25">
      <c r="B114" s="9" t="s">
        <v>98</v>
      </c>
      <c r="C114" s="300"/>
      <c r="D114" s="11">
        <v>100.92</v>
      </c>
      <c r="E114" s="224">
        <v>108</v>
      </c>
      <c r="F114" s="11">
        <v>163</v>
      </c>
      <c r="I114" s="3"/>
    </row>
    <row r="115" spans="1:12" ht="15.75" customHeight="1" x14ac:dyDescent="0.25">
      <c r="B115" s="9" t="s">
        <v>99</v>
      </c>
      <c r="C115" s="301"/>
      <c r="D115" s="11">
        <v>115.37</v>
      </c>
      <c r="E115" s="224">
        <v>112</v>
      </c>
      <c r="F115" s="11">
        <v>165</v>
      </c>
      <c r="I115" s="3"/>
    </row>
    <row r="116" spans="1:12" ht="15.75" customHeight="1" x14ac:dyDescent="0.25">
      <c r="B116" s="1"/>
      <c r="C116" s="1"/>
      <c r="D116" s="2"/>
      <c r="E116" s="2"/>
      <c r="F116" s="146"/>
      <c r="I116" s="3"/>
    </row>
    <row r="117" spans="1:12" ht="15.75" customHeight="1" x14ac:dyDescent="0.25">
      <c r="B117" s="1"/>
      <c r="C117" s="1"/>
      <c r="D117" s="2"/>
      <c r="E117" s="2"/>
      <c r="F117" s="146"/>
      <c r="I117" s="3"/>
    </row>
    <row r="118" spans="1:12" ht="15.75" customHeight="1" x14ac:dyDescent="0.25">
      <c r="A118" s="9" t="s">
        <v>96</v>
      </c>
      <c r="B118" s="49"/>
      <c r="C118" s="47">
        <v>93.993333333333339</v>
      </c>
      <c r="D118" s="11">
        <v>121</v>
      </c>
      <c r="E118" s="11">
        <v>93</v>
      </c>
      <c r="I118" s="3"/>
    </row>
    <row r="119" spans="1:12" ht="15.75" customHeight="1" x14ac:dyDescent="0.25">
      <c r="A119" s="9" t="s">
        <v>97</v>
      </c>
      <c r="B119" s="49"/>
      <c r="C119" s="47">
        <v>95.516666666666652</v>
      </c>
      <c r="D119" s="11">
        <v>93</v>
      </c>
      <c r="E119" s="11">
        <v>97</v>
      </c>
      <c r="I119" s="3"/>
    </row>
    <row r="120" spans="1:12" ht="15.75" customHeight="1" x14ac:dyDescent="0.2">
      <c r="A120" s="9" t="s">
        <v>98</v>
      </c>
      <c r="B120" s="49"/>
      <c r="C120" s="47">
        <v>100.91666666666666</v>
      </c>
      <c r="D120" s="11">
        <v>126</v>
      </c>
      <c r="E120" s="11">
        <v>103</v>
      </c>
    </row>
    <row r="121" spans="1:12" ht="15.75" customHeight="1" x14ac:dyDescent="0.2">
      <c r="A121" s="9" t="s">
        <v>99</v>
      </c>
      <c r="B121" s="9"/>
      <c r="C121" s="47">
        <v>115.36666666666667</v>
      </c>
      <c r="D121" s="11">
        <v>124</v>
      </c>
      <c r="E121" s="11">
        <v>116</v>
      </c>
    </row>
    <row r="122" spans="1:12" ht="15.75" customHeight="1" x14ac:dyDescent="0.2"/>
    <row r="123" spans="1:12" ht="15.75" customHeight="1" x14ac:dyDescent="0.2"/>
    <row r="124" spans="1:12" ht="15.75" customHeight="1" x14ac:dyDescent="0.2"/>
    <row r="125" spans="1:12" ht="15.75" customHeight="1" x14ac:dyDescent="0.3">
      <c r="A125" s="161" t="s">
        <v>353</v>
      </c>
      <c r="B125" s="163" t="s">
        <v>966</v>
      </c>
    </row>
    <row r="126" spans="1:12" ht="15.75" customHeight="1" x14ac:dyDescent="0.3">
      <c r="A126" s="164" t="s">
        <v>360</v>
      </c>
      <c r="B126" s="165">
        <v>43145</v>
      </c>
    </row>
    <row r="127" spans="1:12" ht="15.75" customHeight="1" x14ac:dyDescent="0.25">
      <c r="A127" s="304" t="s">
        <v>1008</v>
      </c>
      <c r="B127" s="297"/>
      <c r="C127" s="297"/>
      <c r="D127" s="297"/>
      <c r="E127" s="298"/>
      <c r="H127" s="3"/>
    </row>
    <row r="128" spans="1:12" ht="15.75" customHeight="1" x14ac:dyDescent="0.2">
      <c r="A128" s="4" t="s">
        <v>0</v>
      </c>
      <c r="B128" s="5" t="s">
        <v>1</v>
      </c>
      <c r="C128" s="5" t="s">
        <v>2</v>
      </c>
      <c r="D128" s="5" t="s">
        <v>43</v>
      </c>
      <c r="E128" s="45" t="s">
        <v>125</v>
      </c>
      <c r="G128" s="296" t="s">
        <v>6</v>
      </c>
      <c r="H128" s="297"/>
      <c r="I128" s="297"/>
      <c r="J128" s="297"/>
      <c r="K128" s="297"/>
      <c r="L128" s="298"/>
    </row>
    <row r="129" spans="1:12" ht="15.75" customHeight="1" x14ac:dyDescent="0.2">
      <c r="A129" s="9" t="s">
        <v>7</v>
      </c>
      <c r="B129" s="302" t="s">
        <v>9</v>
      </c>
      <c r="C129" s="47">
        <v>28.1</v>
      </c>
      <c r="D129" s="11">
        <v>25</v>
      </c>
      <c r="E129" s="47">
        <v>25</v>
      </c>
      <c r="G129" s="296" t="s">
        <v>106</v>
      </c>
      <c r="H129" s="297"/>
      <c r="I129" s="298"/>
      <c r="J129" s="296" t="s">
        <v>107</v>
      </c>
      <c r="K129" s="297"/>
      <c r="L129" s="298"/>
    </row>
    <row r="130" spans="1:12" ht="15.75" customHeight="1" x14ac:dyDescent="0.2">
      <c r="A130" s="9" t="s">
        <v>17</v>
      </c>
      <c r="B130" s="300"/>
      <c r="C130" s="47">
        <v>63.911000000000001</v>
      </c>
      <c r="D130" s="11">
        <v>60</v>
      </c>
      <c r="E130" s="47">
        <v>65</v>
      </c>
      <c r="G130" s="13" t="s">
        <v>13</v>
      </c>
      <c r="H130" s="14">
        <v>800</v>
      </c>
      <c r="I130" s="17" t="s">
        <v>1014</v>
      </c>
      <c r="J130" s="13" t="s">
        <v>13</v>
      </c>
      <c r="K130" s="39">
        <f>+K132+K132*0.1</f>
        <v>801.9</v>
      </c>
      <c r="L130" s="17" t="s">
        <v>1016</v>
      </c>
    </row>
    <row r="131" spans="1:12" ht="15.75" customHeight="1" x14ac:dyDescent="0.2">
      <c r="A131" s="9" t="s">
        <v>26</v>
      </c>
      <c r="B131" s="300"/>
      <c r="C131" s="47">
        <v>69.921999999999997</v>
      </c>
      <c r="D131" s="11">
        <v>68</v>
      </c>
      <c r="E131" s="47">
        <v>68</v>
      </c>
      <c r="G131" s="13" t="s">
        <v>19</v>
      </c>
      <c r="H131" s="18">
        <v>724</v>
      </c>
      <c r="I131" s="17" t="s">
        <v>1017</v>
      </c>
      <c r="J131" s="13" t="s">
        <v>19</v>
      </c>
      <c r="K131" s="40">
        <f>+K132-K132*0.1</f>
        <v>656.1</v>
      </c>
      <c r="L131" s="17" t="s">
        <v>1018</v>
      </c>
    </row>
    <row r="132" spans="1:12" ht="15.75" customHeight="1" x14ac:dyDescent="0.2">
      <c r="A132" s="9" t="s">
        <v>32</v>
      </c>
      <c r="B132" s="300"/>
      <c r="C132" s="47">
        <v>96.744</v>
      </c>
      <c r="D132" s="11">
        <v>96</v>
      </c>
      <c r="E132" s="47">
        <v>96</v>
      </c>
      <c r="G132" s="13" t="s">
        <v>27</v>
      </c>
      <c r="H132" s="20">
        <v>672</v>
      </c>
      <c r="I132" s="17" t="s">
        <v>1019</v>
      </c>
      <c r="J132" s="13" t="s">
        <v>27</v>
      </c>
      <c r="K132" s="20">
        <v>729</v>
      </c>
      <c r="L132" s="17" t="s">
        <v>1020</v>
      </c>
    </row>
    <row r="133" spans="1:12" ht="15.75" customHeight="1" x14ac:dyDescent="0.2">
      <c r="A133" s="9" t="s">
        <v>33</v>
      </c>
      <c r="B133" s="301"/>
      <c r="C133" s="47">
        <v>128.11000000000001</v>
      </c>
      <c r="D133" s="11">
        <v>126</v>
      </c>
      <c r="E133" s="47">
        <v>126</v>
      </c>
      <c r="G133" s="13" t="s">
        <v>121</v>
      </c>
      <c r="H133" s="20">
        <v>764</v>
      </c>
      <c r="I133" s="17" t="s">
        <v>1021</v>
      </c>
      <c r="J133" s="13" t="s">
        <v>121</v>
      </c>
      <c r="K133" s="20">
        <v>743</v>
      </c>
      <c r="L133" s="17" t="s">
        <v>1022</v>
      </c>
    </row>
    <row r="134" spans="1:12" ht="15.75" customHeight="1" x14ac:dyDescent="0.25">
      <c r="A134" s="296"/>
      <c r="B134" s="297"/>
      <c r="C134" s="297"/>
      <c r="D134" s="297"/>
      <c r="E134" s="11"/>
      <c r="H134" s="3"/>
    </row>
    <row r="135" spans="1:12" ht="15.75" customHeight="1" x14ac:dyDescent="0.25">
      <c r="A135" s="9" t="s">
        <v>35</v>
      </c>
      <c r="B135" s="302" t="s">
        <v>36</v>
      </c>
      <c r="C135" s="47">
        <v>207.78</v>
      </c>
      <c r="D135" s="11">
        <v>201</v>
      </c>
      <c r="E135" s="47">
        <v>205</v>
      </c>
      <c r="H135" s="3"/>
    </row>
    <row r="136" spans="1:12" ht="15.75" customHeight="1" x14ac:dyDescent="0.25">
      <c r="A136" s="9" t="s">
        <v>37</v>
      </c>
      <c r="B136" s="300"/>
      <c r="C136" s="47">
        <v>444.11</v>
      </c>
      <c r="D136" s="11">
        <v>428</v>
      </c>
      <c r="E136" s="47">
        <v>432</v>
      </c>
      <c r="H136" s="3"/>
    </row>
    <row r="137" spans="1:12" ht="15.75" customHeight="1" x14ac:dyDescent="0.25">
      <c r="A137" s="9" t="s">
        <v>38</v>
      </c>
      <c r="B137" s="300"/>
      <c r="C137" s="47">
        <v>579.55999999999995</v>
      </c>
      <c r="D137" s="11">
        <v>566</v>
      </c>
      <c r="E137" s="47">
        <v>577</v>
      </c>
      <c r="H137" s="3"/>
    </row>
    <row r="138" spans="1:12" ht="15.75" customHeight="1" x14ac:dyDescent="0.25">
      <c r="A138" s="9" t="s">
        <v>39</v>
      </c>
      <c r="B138" s="300"/>
      <c r="C138" s="47">
        <v>746.22</v>
      </c>
      <c r="D138" s="11">
        <v>782</v>
      </c>
      <c r="E138" s="11">
        <v>793</v>
      </c>
      <c r="H138" s="3"/>
    </row>
    <row r="139" spans="1:12" ht="15.75" customHeight="1" x14ac:dyDescent="0.25">
      <c r="A139" s="49" t="s">
        <v>41</v>
      </c>
      <c r="B139" s="300"/>
      <c r="C139" s="50">
        <v>869.5</v>
      </c>
      <c r="D139" s="51">
        <v>832</v>
      </c>
      <c r="E139" s="50">
        <v>840</v>
      </c>
      <c r="H139" s="3"/>
    </row>
    <row r="140" spans="1:12" ht="15.75" customHeight="1" x14ac:dyDescent="0.25">
      <c r="A140" s="308"/>
      <c r="B140" s="297"/>
      <c r="C140" s="297"/>
      <c r="D140" s="297"/>
      <c r="E140" s="298"/>
      <c r="H140" s="3"/>
    </row>
    <row r="141" spans="1:12" ht="15.75" customHeight="1" x14ac:dyDescent="0.25">
      <c r="A141" s="9" t="s">
        <v>46</v>
      </c>
      <c r="B141" s="299" t="s">
        <v>47</v>
      </c>
      <c r="C141" s="11">
        <v>88.4</v>
      </c>
      <c r="D141" s="11">
        <v>86</v>
      </c>
      <c r="E141" s="47">
        <v>90</v>
      </c>
      <c r="H141" s="3"/>
    </row>
    <row r="142" spans="1:12" ht="15.75" customHeight="1" x14ac:dyDescent="0.25">
      <c r="A142" s="9" t="s">
        <v>48</v>
      </c>
      <c r="B142" s="300"/>
      <c r="C142" s="11">
        <v>94.6</v>
      </c>
      <c r="D142" s="11">
        <v>94</v>
      </c>
      <c r="E142" s="47">
        <v>97</v>
      </c>
      <c r="H142" s="3"/>
    </row>
    <row r="143" spans="1:12" ht="15.75" customHeight="1" x14ac:dyDescent="0.25">
      <c r="A143" s="296"/>
      <c r="B143" s="297"/>
      <c r="C143" s="297"/>
      <c r="D143" s="297"/>
      <c r="E143" s="11"/>
      <c r="H143" s="3"/>
    </row>
    <row r="144" spans="1:12" ht="15.75" customHeight="1" x14ac:dyDescent="0.25">
      <c r="A144" s="9" t="s">
        <v>50</v>
      </c>
      <c r="B144" s="302" t="s">
        <v>51</v>
      </c>
      <c r="C144" s="47">
        <v>271.44</v>
      </c>
      <c r="D144" s="11">
        <v>315</v>
      </c>
      <c r="E144" s="11">
        <v>331</v>
      </c>
      <c r="H144" s="3"/>
    </row>
    <row r="145" spans="1:8" ht="15.75" customHeight="1" x14ac:dyDescent="0.25">
      <c r="A145" s="9" t="s">
        <v>54</v>
      </c>
      <c r="B145" s="300"/>
      <c r="C145" s="47">
        <v>550.22199999999998</v>
      </c>
      <c r="D145" s="11">
        <v>434</v>
      </c>
      <c r="E145" s="11">
        <v>435</v>
      </c>
      <c r="H145" s="3"/>
    </row>
    <row r="146" spans="1:8" ht="15.75" customHeight="1" x14ac:dyDescent="0.25">
      <c r="A146" s="9" t="s">
        <v>55</v>
      </c>
      <c r="B146" s="300"/>
      <c r="C146" s="47">
        <v>609</v>
      </c>
      <c r="D146" s="11">
        <v>612</v>
      </c>
      <c r="E146" s="11">
        <v>612</v>
      </c>
      <c r="H146" s="3"/>
    </row>
    <row r="147" spans="1:8" ht="15.75" customHeight="1" x14ac:dyDescent="0.25">
      <c r="A147" s="9" t="s">
        <v>56</v>
      </c>
      <c r="B147" s="300"/>
      <c r="C147" s="47">
        <v>768.33333333333337</v>
      </c>
      <c r="D147" s="11">
        <v>763</v>
      </c>
      <c r="E147" s="11">
        <v>751</v>
      </c>
      <c r="H147" s="3"/>
    </row>
    <row r="148" spans="1:8" ht="15.75" customHeight="1" x14ac:dyDescent="0.25">
      <c r="A148" s="49" t="s">
        <v>57</v>
      </c>
      <c r="B148" s="300"/>
      <c r="C148" s="50">
        <v>746</v>
      </c>
      <c r="D148" s="51">
        <v>750</v>
      </c>
      <c r="E148" s="51">
        <v>748</v>
      </c>
      <c r="H148" s="3"/>
    </row>
    <row r="149" spans="1:8" ht="15.75" customHeight="1" x14ac:dyDescent="0.25">
      <c r="A149" s="308"/>
      <c r="B149" s="297"/>
      <c r="C149" s="297"/>
      <c r="D149" s="297"/>
      <c r="E149" s="298"/>
      <c r="H149" s="3"/>
    </row>
    <row r="150" spans="1:8" ht="15.75" customHeight="1" x14ac:dyDescent="0.25">
      <c r="A150" s="9" t="s">
        <v>60</v>
      </c>
      <c r="B150" s="299" t="s">
        <v>62</v>
      </c>
      <c r="C150" s="47">
        <v>19.741666666666667</v>
      </c>
      <c r="D150" s="52">
        <v>17</v>
      </c>
      <c r="E150" s="53">
        <v>21</v>
      </c>
      <c r="H150" s="3"/>
    </row>
    <row r="151" spans="1:8" ht="15.75" customHeight="1" x14ac:dyDescent="0.25">
      <c r="A151" s="9" t="s">
        <v>65</v>
      </c>
      <c r="B151" s="300"/>
      <c r="C151" s="11">
        <v>42</v>
      </c>
      <c r="D151" s="52">
        <v>38</v>
      </c>
      <c r="E151" s="54">
        <v>41</v>
      </c>
      <c r="H151" s="3"/>
    </row>
    <row r="152" spans="1:8" ht="15.75" customHeight="1" x14ac:dyDescent="0.25">
      <c r="A152" s="9" t="s">
        <v>64</v>
      </c>
      <c r="B152" s="301"/>
      <c r="C152" s="11">
        <v>42</v>
      </c>
      <c r="D152" s="52">
        <v>47</v>
      </c>
      <c r="E152" s="55">
        <v>42</v>
      </c>
      <c r="H152" s="3"/>
    </row>
    <row r="153" spans="1:8" ht="15.75" customHeight="1" x14ac:dyDescent="0.25">
      <c r="A153" s="296"/>
      <c r="B153" s="297"/>
      <c r="C153" s="297"/>
      <c r="D153" s="297"/>
      <c r="E153" s="11"/>
      <c r="H153" s="3"/>
    </row>
    <row r="154" spans="1:8" ht="15.75" customHeight="1" x14ac:dyDescent="0.25">
      <c r="A154" s="9" t="s">
        <v>66</v>
      </c>
      <c r="B154" s="302" t="s">
        <v>68</v>
      </c>
      <c r="C154" s="47">
        <v>204.5</v>
      </c>
      <c r="D154" s="11">
        <v>203</v>
      </c>
      <c r="E154" s="11">
        <v>200</v>
      </c>
      <c r="H154" s="3"/>
    </row>
    <row r="155" spans="1:8" ht="15.75" customHeight="1" x14ac:dyDescent="0.25">
      <c r="A155" s="49" t="s">
        <v>69</v>
      </c>
      <c r="B155" s="300"/>
      <c r="C155" s="50">
        <v>277.7</v>
      </c>
      <c r="D155" s="51">
        <v>277</v>
      </c>
      <c r="E155" s="51">
        <v>280</v>
      </c>
      <c r="H155" s="3"/>
    </row>
    <row r="156" spans="1:8" ht="15.75" customHeight="1" x14ac:dyDescent="0.25">
      <c r="A156" s="305"/>
      <c r="B156" s="297"/>
      <c r="C156" s="297"/>
      <c r="D156" s="297"/>
      <c r="E156" s="298"/>
      <c r="H156" s="3"/>
    </row>
    <row r="157" spans="1:8" ht="15.75" customHeight="1" x14ac:dyDescent="0.25">
      <c r="A157" s="56" t="s">
        <v>69</v>
      </c>
      <c r="B157" s="303" t="s">
        <v>71</v>
      </c>
      <c r="C157" s="47">
        <v>12</v>
      </c>
      <c r="D157" s="47">
        <v>12</v>
      </c>
      <c r="E157" s="11">
        <v>12</v>
      </c>
      <c r="H157" s="3"/>
    </row>
    <row r="158" spans="1:8" ht="15.75" customHeight="1" x14ac:dyDescent="0.25">
      <c r="A158" s="56" t="s">
        <v>72</v>
      </c>
      <c r="B158" s="300"/>
      <c r="C158" s="47">
        <v>14</v>
      </c>
      <c r="D158" s="47">
        <v>14</v>
      </c>
      <c r="E158" s="11">
        <v>13</v>
      </c>
      <c r="H158" s="3"/>
    </row>
    <row r="159" spans="1:8" ht="15.75" customHeight="1" x14ac:dyDescent="0.25">
      <c r="A159" s="56" t="s">
        <v>73</v>
      </c>
      <c r="B159" s="301"/>
      <c r="C159" s="47">
        <v>17.43333333333333</v>
      </c>
      <c r="D159" s="47">
        <v>17</v>
      </c>
      <c r="E159" s="11">
        <v>17</v>
      </c>
      <c r="H159" s="3"/>
    </row>
    <row r="160" spans="1:8" ht="15.75" customHeight="1" x14ac:dyDescent="0.25">
      <c r="A160" s="92"/>
      <c r="B160" s="69"/>
      <c r="C160" s="69"/>
      <c r="D160" s="69"/>
      <c r="E160" s="11"/>
      <c r="H160" s="3"/>
    </row>
    <row r="161" spans="1:8" ht="15.75" customHeight="1" x14ac:dyDescent="0.25">
      <c r="A161" s="56" t="s">
        <v>80</v>
      </c>
      <c r="B161" s="309" t="s">
        <v>77</v>
      </c>
      <c r="C161" s="47">
        <v>117</v>
      </c>
      <c r="D161" s="47">
        <v>117</v>
      </c>
      <c r="E161" s="11">
        <v>110</v>
      </c>
      <c r="H161" s="3"/>
    </row>
    <row r="162" spans="1:8" ht="15.75" customHeight="1" x14ac:dyDescent="0.25">
      <c r="A162" s="56" t="s">
        <v>78</v>
      </c>
      <c r="B162" s="300"/>
      <c r="C162" s="47">
        <v>188</v>
      </c>
      <c r="D162" s="47">
        <v>185</v>
      </c>
      <c r="E162" s="11">
        <v>189</v>
      </c>
      <c r="H162" s="3"/>
    </row>
    <row r="163" spans="1:8" ht="15.75" customHeight="1" x14ac:dyDescent="0.25">
      <c r="A163" s="56" t="s">
        <v>76</v>
      </c>
      <c r="B163" s="300"/>
      <c r="C163" s="47">
        <v>218</v>
      </c>
      <c r="D163" s="47">
        <v>216</v>
      </c>
      <c r="E163" s="11">
        <v>216</v>
      </c>
      <c r="H163" s="3"/>
    </row>
    <row r="164" spans="1:8" ht="15.75" customHeight="1" x14ac:dyDescent="0.25">
      <c r="A164" s="57" t="s">
        <v>79</v>
      </c>
      <c r="B164" s="300"/>
      <c r="C164" s="50">
        <v>239</v>
      </c>
      <c r="D164" s="50">
        <v>238</v>
      </c>
      <c r="E164" s="51">
        <v>239</v>
      </c>
      <c r="H164" s="3"/>
    </row>
    <row r="165" spans="1:8" ht="15.75" customHeight="1" x14ac:dyDescent="0.25">
      <c r="A165" s="305"/>
      <c r="B165" s="297"/>
      <c r="C165" s="297"/>
      <c r="D165" s="297"/>
      <c r="E165" s="298"/>
      <c r="H165" s="3"/>
    </row>
    <row r="166" spans="1:8" ht="15.75" customHeight="1" x14ac:dyDescent="0.25">
      <c r="A166" s="9" t="s">
        <v>81</v>
      </c>
      <c r="B166" s="299" t="s">
        <v>82</v>
      </c>
      <c r="C166" s="11">
        <v>2</v>
      </c>
      <c r="D166" s="11">
        <v>1</v>
      </c>
      <c r="E166" s="11">
        <v>1</v>
      </c>
      <c r="H166" s="3"/>
    </row>
    <row r="167" spans="1:8" ht="15.75" customHeight="1" x14ac:dyDescent="0.25">
      <c r="A167" s="9" t="s">
        <v>83</v>
      </c>
      <c r="B167" s="300"/>
      <c r="C167" s="11">
        <v>6</v>
      </c>
      <c r="D167" s="11">
        <v>1</v>
      </c>
      <c r="E167" s="11">
        <v>4</v>
      </c>
      <c r="H167" s="3"/>
    </row>
    <row r="168" spans="1:8" ht="15.75" customHeight="1" x14ac:dyDescent="0.25">
      <c r="A168" s="9" t="s">
        <v>155</v>
      </c>
      <c r="B168" s="301"/>
      <c r="C168" s="11">
        <v>3</v>
      </c>
      <c r="D168" s="11">
        <v>1</v>
      </c>
      <c r="E168" s="11">
        <v>1</v>
      </c>
      <c r="H168" s="3"/>
    </row>
    <row r="169" spans="1:8" ht="15.75" customHeight="1" x14ac:dyDescent="0.25">
      <c r="A169" s="296"/>
      <c r="B169" s="297"/>
      <c r="C169" s="297"/>
      <c r="D169" s="297"/>
      <c r="E169" s="298"/>
      <c r="H169" s="3"/>
    </row>
    <row r="170" spans="1:8" ht="15.75" customHeight="1" x14ac:dyDescent="0.25">
      <c r="A170" s="9" t="s">
        <v>86</v>
      </c>
      <c r="B170" s="302" t="s">
        <v>87</v>
      </c>
      <c r="C170" s="11">
        <v>19</v>
      </c>
      <c r="D170" s="11">
        <v>19</v>
      </c>
      <c r="E170" s="11">
        <v>19</v>
      </c>
      <c r="H170" s="3"/>
    </row>
    <row r="171" spans="1:8" ht="15.75" customHeight="1" x14ac:dyDescent="0.25">
      <c r="A171" s="49" t="s">
        <v>88</v>
      </c>
      <c r="B171" s="300"/>
      <c r="C171" s="51">
        <v>20</v>
      </c>
      <c r="D171" s="51">
        <v>19</v>
      </c>
      <c r="E171" s="51">
        <v>19</v>
      </c>
      <c r="H171" s="3"/>
    </row>
    <row r="172" spans="1:8" ht="15.75" customHeight="1" x14ac:dyDescent="0.25">
      <c r="A172" s="305"/>
      <c r="B172" s="297"/>
      <c r="C172" s="297"/>
      <c r="D172" s="297"/>
      <c r="E172" s="298"/>
      <c r="H172" s="3"/>
    </row>
    <row r="173" spans="1:8" ht="15.75" customHeight="1" x14ac:dyDescent="0.25">
      <c r="A173" s="9" t="s">
        <v>89</v>
      </c>
      <c r="B173" s="299" t="s">
        <v>90</v>
      </c>
      <c r="C173" s="11">
        <v>6</v>
      </c>
      <c r="D173" s="11">
        <v>14</v>
      </c>
      <c r="E173" s="11">
        <v>9</v>
      </c>
      <c r="H173" s="3"/>
    </row>
    <row r="174" spans="1:8" ht="15.75" customHeight="1" x14ac:dyDescent="0.25">
      <c r="A174" s="9" t="s">
        <v>91</v>
      </c>
      <c r="B174" s="300"/>
      <c r="C174" s="11">
        <v>17</v>
      </c>
      <c r="D174" s="11">
        <v>15</v>
      </c>
      <c r="E174" s="11">
        <v>16</v>
      </c>
      <c r="H174" s="3"/>
    </row>
    <row r="175" spans="1:8" ht="15.75" customHeight="1" x14ac:dyDescent="0.25">
      <c r="A175" s="49" t="s">
        <v>92</v>
      </c>
      <c r="B175" s="300"/>
      <c r="C175" s="51"/>
      <c r="D175" s="51"/>
      <c r="E175" s="11"/>
      <c r="H175" s="3"/>
    </row>
    <row r="176" spans="1:8" ht="15.75" customHeight="1" x14ac:dyDescent="0.25">
      <c r="A176" s="296"/>
      <c r="B176" s="297"/>
      <c r="C176" s="297"/>
      <c r="D176" s="297"/>
      <c r="E176" s="298"/>
      <c r="H176" s="3"/>
    </row>
    <row r="177" spans="1:8" ht="15.75" customHeight="1" x14ac:dyDescent="0.25">
      <c r="A177" s="9" t="s">
        <v>94</v>
      </c>
      <c r="B177" s="299" t="s">
        <v>95</v>
      </c>
      <c r="C177" s="47">
        <v>49.666666666666664</v>
      </c>
      <c r="D177" s="11">
        <v>55</v>
      </c>
      <c r="E177" s="11">
        <v>53</v>
      </c>
      <c r="H177" s="3"/>
    </row>
    <row r="178" spans="1:8" ht="15.75" customHeight="1" x14ac:dyDescent="0.25">
      <c r="A178" s="9" t="s">
        <v>96</v>
      </c>
      <c r="B178" s="300"/>
      <c r="C178" s="47">
        <v>122</v>
      </c>
      <c r="D178" s="11">
        <v>108</v>
      </c>
      <c r="E178" s="11">
        <v>200</v>
      </c>
      <c r="H178" s="3"/>
    </row>
    <row r="179" spans="1:8" ht="15.75" customHeight="1" x14ac:dyDescent="0.25">
      <c r="A179" s="9" t="s">
        <v>97</v>
      </c>
      <c r="B179" s="300"/>
      <c r="C179" s="47">
        <v>142.33333333333334</v>
      </c>
      <c r="D179" s="11">
        <v>188</v>
      </c>
      <c r="E179" s="11">
        <v>131</v>
      </c>
      <c r="H179" s="3"/>
    </row>
    <row r="180" spans="1:8" ht="15.75" customHeight="1" x14ac:dyDescent="0.25">
      <c r="A180" s="9" t="s">
        <v>98</v>
      </c>
      <c r="B180" s="300"/>
      <c r="C180" s="47">
        <v>100</v>
      </c>
      <c r="D180" s="11">
        <v>115</v>
      </c>
      <c r="E180" s="11">
        <v>102</v>
      </c>
      <c r="H180" s="3"/>
    </row>
    <row r="181" spans="1:8" ht="15.75" customHeight="1" x14ac:dyDescent="0.25">
      <c r="A181" s="9" t="s">
        <v>99</v>
      </c>
      <c r="B181" s="301"/>
      <c r="C181" s="47">
        <v>115</v>
      </c>
      <c r="D181" s="11">
        <v>115</v>
      </c>
      <c r="E181" s="11">
        <v>117</v>
      </c>
      <c r="H181" s="3"/>
    </row>
    <row r="182" spans="1:8" ht="15.75" customHeight="1" x14ac:dyDescent="0.2"/>
    <row r="183" spans="1:8" ht="15.75" customHeight="1" x14ac:dyDescent="0.2"/>
    <row r="184" spans="1:8" ht="15.75" customHeight="1" x14ac:dyDescent="0.2"/>
    <row r="185" spans="1:8" ht="15.75" customHeight="1" x14ac:dyDescent="0.2"/>
    <row r="186" spans="1:8" ht="15.75" customHeight="1" x14ac:dyDescent="0.2"/>
    <row r="187" spans="1:8" ht="15.75" customHeight="1" x14ac:dyDescent="0.2"/>
    <row r="188" spans="1:8" ht="15.75" customHeight="1" x14ac:dyDescent="0.2"/>
    <row r="189" spans="1:8" ht="15.75" customHeight="1" x14ac:dyDescent="0.2"/>
    <row r="190" spans="1:8" ht="15.75" customHeight="1" x14ac:dyDescent="0.2"/>
    <row r="191" spans="1:8" ht="15.75" customHeight="1" x14ac:dyDescent="0.2"/>
    <row r="192" spans="1:8"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0">
    <mergeCell ref="G128:L128"/>
    <mergeCell ref="G129:I129"/>
    <mergeCell ref="J129:L129"/>
    <mergeCell ref="B75:F75"/>
    <mergeCell ref="B78:E78"/>
    <mergeCell ref="B84:F84"/>
    <mergeCell ref="B88:E88"/>
    <mergeCell ref="B91:F91"/>
    <mergeCell ref="B95:E95"/>
    <mergeCell ref="B100:F100"/>
    <mergeCell ref="B129:B133"/>
    <mergeCell ref="C111:C115"/>
    <mergeCell ref="A127:E127"/>
    <mergeCell ref="C70:C74"/>
    <mergeCell ref="C76:C77"/>
    <mergeCell ref="B104:E104"/>
    <mergeCell ref="B107:F107"/>
    <mergeCell ref="B110:F110"/>
    <mergeCell ref="C101:C103"/>
    <mergeCell ref="C105:C106"/>
    <mergeCell ref="C108:C109"/>
    <mergeCell ref="C79:C83"/>
    <mergeCell ref="C85:C87"/>
    <mergeCell ref="C89:C90"/>
    <mergeCell ref="C92:C94"/>
    <mergeCell ref="C96:C99"/>
    <mergeCell ref="H64:J64"/>
    <mergeCell ref="K64:M64"/>
    <mergeCell ref="B69:E69"/>
    <mergeCell ref="C44:C46"/>
    <mergeCell ref="C48:C49"/>
    <mergeCell ref="C51:C52"/>
    <mergeCell ref="C54:C58"/>
    <mergeCell ref="C64:C68"/>
    <mergeCell ref="B47:E47"/>
    <mergeCell ref="B50:F50"/>
    <mergeCell ref="B53:F53"/>
    <mergeCell ref="B62:F62"/>
    <mergeCell ref="H63:M63"/>
    <mergeCell ref="B34:F34"/>
    <mergeCell ref="C35:C37"/>
    <mergeCell ref="B38:E38"/>
    <mergeCell ref="C39:C42"/>
    <mergeCell ref="B43:F43"/>
    <mergeCell ref="A156:E156"/>
    <mergeCell ref="B5:F5"/>
    <mergeCell ref="H6:M6"/>
    <mergeCell ref="C7:C11"/>
    <mergeCell ref="H7:J7"/>
    <mergeCell ref="K7:M7"/>
    <mergeCell ref="B12:E12"/>
    <mergeCell ref="B18:F18"/>
    <mergeCell ref="C13:C17"/>
    <mergeCell ref="C19:C20"/>
    <mergeCell ref="B21:E21"/>
    <mergeCell ref="C22:C26"/>
    <mergeCell ref="B27:F27"/>
    <mergeCell ref="C28:C30"/>
    <mergeCell ref="B31:E31"/>
    <mergeCell ref="C32:C33"/>
    <mergeCell ref="B177:B181"/>
    <mergeCell ref="A165:E165"/>
    <mergeCell ref="A169:E169"/>
    <mergeCell ref="A172:E172"/>
    <mergeCell ref="A176:E176"/>
    <mergeCell ref="B157:B159"/>
    <mergeCell ref="B161:B164"/>
    <mergeCell ref="B166:B168"/>
    <mergeCell ref="B170:B171"/>
    <mergeCell ref="B173:B175"/>
    <mergeCell ref="A134:D134"/>
    <mergeCell ref="B135:B139"/>
    <mergeCell ref="A140:E140"/>
    <mergeCell ref="B154:B155"/>
    <mergeCell ref="B141:B142"/>
    <mergeCell ref="A143:D143"/>
    <mergeCell ref="B144:B148"/>
    <mergeCell ref="A149:E149"/>
    <mergeCell ref="B150:B152"/>
    <mergeCell ref="A153:D153"/>
  </mergeCell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Z1000"/>
  <sheetViews>
    <sheetView workbookViewId="0"/>
  </sheetViews>
  <sheetFormatPr baseColWidth="10" defaultColWidth="12.625" defaultRowHeight="15" customHeight="1" x14ac:dyDescent="0.2"/>
  <cols>
    <col min="1" max="1" width="10" customWidth="1"/>
    <col min="2" max="2" width="12.875" customWidth="1"/>
    <col min="3" max="3" width="11.875" customWidth="1"/>
    <col min="4" max="4" width="13.25" customWidth="1"/>
    <col min="5" max="5" width="14.125" customWidth="1"/>
    <col min="6" max="6" width="12.5" customWidth="1"/>
    <col min="7" max="26" width="10" customWidth="1"/>
  </cols>
  <sheetData>
    <row r="2" spans="1:13" x14ac:dyDescent="0.25">
      <c r="B2" s="28" t="s">
        <v>1024</v>
      </c>
      <c r="C2" s="28"/>
      <c r="D2" s="28"/>
      <c r="E2" s="28"/>
      <c r="F2" s="28"/>
      <c r="G2" s="28"/>
      <c r="H2" s="28"/>
      <c r="I2" s="28"/>
      <c r="J2" s="28"/>
      <c r="K2" s="28"/>
      <c r="L2" s="28"/>
    </row>
    <row r="3" spans="1:13" x14ac:dyDescent="0.25">
      <c r="B3" s="28"/>
      <c r="C3" s="23"/>
      <c r="D3" s="23"/>
      <c r="E3" s="23"/>
      <c r="F3" s="23"/>
      <c r="G3" s="23"/>
      <c r="H3" s="28"/>
      <c r="I3" s="28"/>
      <c r="J3" s="28"/>
      <c r="K3" s="28"/>
      <c r="L3" s="28"/>
    </row>
    <row r="4" spans="1:13" x14ac:dyDescent="0.25">
      <c r="B4" s="332" t="s">
        <v>851</v>
      </c>
      <c r="C4" s="297"/>
      <c r="D4" s="297"/>
      <c r="E4" s="297"/>
      <c r="F4" s="297"/>
      <c r="G4" s="298"/>
    </row>
    <row r="5" spans="1:13" ht="24" x14ac:dyDescent="0.2">
      <c r="B5" s="4" t="s">
        <v>0</v>
      </c>
      <c r="C5" s="5" t="s">
        <v>1</v>
      </c>
      <c r="D5" s="5" t="s">
        <v>42</v>
      </c>
      <c r="E5" s="5" t="s">
        <v>43</v>
      </c>
      <c r="F5" s="5" t="s">
        <v>44</v>
      </c>
      <c r="G5" s="7" t="s">
        <v>206</v>
      </c>
      <c r="I5" s="296" t="s">
        <v>45</v>
      </c>
      <c r="J5" s="297"/>
      <c r="K5" s="297"/>
      <c r="L5" s="298"/>
    </row>
    <row r="6" spans="1:13" ht="14.25" x14ac:dyDescent="0.2">
      <c r="B6" s="310" t="s">
        <v>275</v>
      </c>
      <c r="C6" s="297"/>
      <c r="D6" s="297"/>
      <c r="E6" s="297"/>
      <c r="F6" s="297"/>
      <c r="G6" s="298"/>
      <c r="I6" s="305" t="s">
        <v>275</v>
      </c>
      <c r="J6" s="297"/>
      <c r="K6" s="297"/>
      <c r="L6" s="298"/>
    </row>
    <row r="7" spans="1:13" ht="14.25" x14ac:dyDescent="0.2">
      <c r="B7" s="9" t="s">
        <v>11</v>
      </c>
      <c r="C7" s="12" t="s">
        <v>12</v>
      </c>
      <c r="D7" s="17">
        <v>550</v>
      </c>
      <c r="E7" s="22">
        <v>550</v>
      </c>
      <c r="F7" s="11">
        <v>500</v>
      </c>
      <c r="G7" s="110"/>
      <c r="I7" s="12"/>
      <c r="J7" s="12" t="s">
        <v>52</v>
      </c>
      <c r="K7" s="12" t="s">
        <v>53</v>
      </c>
      <c r="L7" s="12"/>
    </row>
    <row r="8" spans="1:13" ht="14.25" x14ac:dyDescent="0.2">
      <c r="B8" s="9" t="s">
        <v>11</v>
      </c>
      <c r="C8" s="12" t="s">
        <v>18</v>
      </c>
      <c r="D8" s="17">
        <v>0</v>
      </c>
      <c r="E8" s="22">
        <v>0</v>
      </c>
      <c r="F8" s="11">
        <v>0</v>
      </c>
      <c r="G8" s="110"/>
      <c r="I8" s="12" t="s">
        <v>12</v>
      </c>
      <c r="J8" s="17">
        <v>550</v>
      </c>
      <c r="K8" s="11">
        <v>500</v>
      </c>
      <c r="L8" s="17" t="s">
        <v>1026</v>
      </c>
    </row>
    <row r="9" spans="1:13" ht="14.25" x14ac:dyDescent="0.2">
      <c r="B9" s="9" t="s">
        <v>21</v>
      </c>
      <c r="C9" s="12" t="s">
        <v>59</v>
      </c>
      <c r="D9" s="17">
        <v>440</v>
      </c>
      <c r="E9" s="22">
        <v>484</v>
      </c>
      <c r="F9" s="11">
        <v>455</v>
      </c>
      <c r="G9" s="110"/>
      <c r="I9" s="12" t="s">
        <v>18</v>
      </c>
      <c r="J9" s="24">
        <v>0</v>
      </c>
      <c r="K9" s="25">
        <v>0</v>
      </c>
      <c r="L9" s="24" t="s">
        <v>1028</v>
      </c>
    </row>
    <row r="10" spans="1:13" ht="14.25" x14ac:dyDescent="0.2">
      <c r="B10" s="12" t="s">
        <v>21</v>
      </c>
      <c r="C10" s="12" t="s">
        <v>63</v>
      </c>
      <c r="D10" s="24">
        <v>160</v>
      </c>
      <c r="E10" s="26">
        <v>175</v>
      </c>
      <c r="F10" s="25">
        <v>170</v>
      </c>
      <c r="G10" s="148"/>
      <c r="I10" s="330"/>
      <c r="J10" s="315"/>
      <c r="K10" s="315"/>
      <c r="L10" s="315"/>
    </row>
    <row r="11" spans="1:13" x14ac:dyDescent="0.25">
      <c r="A11" s="28"/>
      <c r="B11" s="329"/>
      <c r="C11" s="315"/>
      <c r="D11" s="315"/>
      <c r="E11" s="315"/>
      <c r="F11" s="315"/>
      <c r="G11" s="315"/>
      <c r="H11" s="28"/>
      <c r="I11" s="27"/>
      <c r="J11" s="27"/>
      <c r="K11" s="31"/>
      <c r="L11" s="27"/>
      <c r="M11" s="28"/>
    </row>
    <row r="14" spans="1:13" ht="24" x14ac:dyDescent="0.2">
      <c r="C14" s="4" t="s">
        <v>0</v>
      </c>
      <c r="D14" s="5" t="s">
        <v>1</v>
      </c>
      <c r="E14" s="5" t="s">
        <v>42</v>
      </c>
      <c r="F14" s="5" t="s">
        <v>44</v>
      </c>
      <c r="G14" s="7" t="s">
        <v>206</v>
      </c>
      <c r="I14" s="296" t="s">
        <v>45</v>
      </c>
      <c r="J14" s="297"/>
      <c r="K14" s="298"/>
    </row>
    <row r="15" spans="1:13" ht="14.25" x14ac:dyDescent="0.2">
      <c r="C15" s="310" t="s">
        <v>8</v>
      </c>
      <c r="D15" s="297"/>
      <c r="E15" s="297"/>
      <c r="F15" s="297"/>
      <c r="G15" s="306"/>
      <c r="I15" s="305" t="s">
        <v>10</v>
      </c>
      <c r="J15" s="297"/>
      <c r="K15" s="298"/>
    </row>
    <row r="16" spans="1:13" ht="14.25" x14ac:dyDescent="0.2">
      <c r="C16" s="9" t="s">
        <v>11</v>
      </c>
      <c r="D16" s="12" t="s">
        <v>12</v>
      </c>
      <c r="E16" s="17">
        <v>550</v>
      </c>
      <c r="F16" s="11">
        <v>550</v>
      </c>
      <c r="G16" s="110">
        <f>(E16-F16)/F16</f>
        <v>0</v>
      </c>
      <c r="I16" s="12"/>
      <c r="J16" s="12" t="s">
        <v>53</v>
      </c>
      <c r="K16" s="12"/>
    </row>
    <row r="17" spans="1:26" ht="14.25" x14ac:dyDescent="0.2">
      <c r="C17" s="9" t="s">
        <v>11</v>
      </c>
      <c r="D17" s="12" t="s">
        <v>18</v>
      </c>
      <c r="E17" s="17">
        <v>0</v>
      </c>
      <c r="F17" s="11">
        <v>0</v>
      </c>
      <c r="G17" s="110">
        <v>0</v>
      </c>
      <c r="I17" s="12" t="s">
        <v>12</v>
      </c>
      <c r="J17" s="11">
        <v>550</v>
      </c>
      <c r="K17" s="17" t="s">
        <v>1031</v>
      </c>
    </row>
    <row r="18" spans="1:26" ht="14.25" x14ac:dyDescent="0.2">
      <c r="C18" s="9" t="s">
        <v>21</v>
      </c>
      <c r="D18" s="12" t="s">
        <v>59</v>
      </c>
      <c r="E18" s="17">
        <v>440</v>
      </c>
      <c r="F18" s="11">
        <v>449</v>
      </c>
      <c r="G18" s="110">
        <f t="shared" ref="G18:G19" si="0">(E18-F18)/F18</f>
        <v>-2.0044543429844099E-2</v>
      </c>
      <c r="I18" s="12" t="s">
        <v>18</v>
      </c>
      <c r="J18" s="11">
        <v>0</v>
      </c>
      <c r="K18" s="17" t="s">
        <v>1033</v>
      </c>
    </row>
    <row r="19" spans="1:26" ht="14.25" x14ac:dyDescent="0.2">
      <c r="C19" s="9" t="s">
        <v>21</v>
      </c>
      <c r="D19" s="12" t="s">
        <v>63</v>
      </c>
      <c r="E19" s="17">
        <v>160</v>
      </c>
      <c r="F19" s="11">
        <v>157</v>
      </c>
      <c r="G19" s="110">
        <f t="shared" si="0"/>
        <v>1.9108280254777069E-2</v>
      </c>
    </row>
    <row r="21" spans="1:26" ht="15.75" customHeight="1" x14ac:dyDescent="0.25">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spans="1:26" ht="15.75" customHeight="1" x14ac:dyDescent="0.2"/>
    <row r="23" spans="1:26" ht="15.75" customHeight="1" x14ac:dyDescent="0.25">
      <c r="A23" s="21" t="s">
        <v>1036</v>
      </c>
    </row>
    <row r="24" spans="1:26" ht="15.75" customHeight="1" x14ac:dyDescent="0.2"/>
    <row r="25" spans="1:26" ht="15.75" customHeight="1" x14ac:dyDescent="0.2"/>
    <row r="26" spans="1:26" ht="15.75" customHeight="1" x14ac:dyDescent="0.2"/>
    <row r="27" spans="1:26" ht="15.75" customHeight="1" x14ac:dyDescent="0.25">
      <c r="B27" s="304" t="s">
        <v>662</v>
      </c>
      <c r="C27" s="297"/>
      <c r="D27" s="297"/>
      <c r="E27" s="297"/>
      <c r="F27" s="154"/>
      <c r="I27" s="3"/>
    </row>
    <row r="28" spans="1:26" ht="24.75" customHeight="1" x14ac:dyDescent="0.2">
      <c r="B28" s="4" t="s">
        <v>0</v>
      </c>
      <c r="C28" s="5" t="s">
        <v>1</v>
      </c>
      <c r="D28" s="5" t="s">
        <v>2</v>
      </c>
      <c r="E28" s="5" t="s">
        <v>43</v>
      </c>
      <c r="F28" s="45" t="s">
        <v>125</v>
      </c>
      <c r="H28" s="296" t="s">
        <v>6</v>
      </c>
      <c r="I28" s="297"/>
      <c r="J28" s="297"/>
      <c r="K28" s="297"/>
      <c r="L28" s="297"/>
      <c r="M28" s="298"/>
    </row>
    <row r="29" spans="1:26" ht="15.75" customHeight="1" x14ac:dyDescent="0.2">
      <c r="B29" s="9" t="s">
        <v>7</v>
      </c>
      <c r="C29" s="302" t="s">
        <v>9</v>
      </c>
      <c r="D29" s="11">
        <v>28.1</v>
      </c>
      <c r="E29" s="11">
        <v>31</v>
      </c>
      <c r="F29" s="11"/>
      <c r="H29" s="296" t="s">
        <v>106</v>
      </c>
      <c r="I29" s="297"/>
      <c r="J29" s="298"/>
      <c r="K29" s="296" t="s">
        <v>107</v>
      </c>
      <c r="L29" s="297"/>
      <c r="M29" s="298"/>
    </row>
    <row r="30" spans="1:26" ht="15.75" customHeight="1" x14ac:dyDescent="0.2">
      <c r="B30" s="9" t="s">
        <v>17</v>
      </c>
      <c r="C30" s="300"/>
      <c r="D30" s="11">
        <v>63.911000000000001</v>
      </c>
      <c r="E30" s="11">
        <v>81</v>
      </c>
      <c r="F30" s="11"/>
      <c r="H30" s="13" t="s">
        <v>13</v>
      </c>
      <c r="I30" s="14">
        <v>677</v>
      </c>
      <c r="J30" s="17" t="s">
        <v>1040</v>
      </c>
      <c r="K30" s="13" t="s">
        <v>13</v>
      </c>
      <c r="L30" s="14">
        <f>L32+L32*0.05</f>
        <v>0</v>
      </c>
      <c r="M30" s="17" t="s">
        <v>1041</v>
      </c>
    </row>
    <row r="31" spans="1:26" ht="15.75" customHeight="1" x14ac:dyDescent="0.2">
      <c r="B31" s="9" t="s">
        <v>26</v>
      </c>
      <c r="C31" s="300"/>
      <c r="D31" s="11">
        <v>69.921999999999997</v>
      </c>
      <c r="E31" s="11">
        <v>81</v>
      </c>
      <c r="F31" s="11"/>
      <c r="H31" s="13" t="s">
        <v>19</v>
      </c>
      <c r="I31" s="18">
        <v>612</v>
      </c>
      <c r="J31" s="17" t="s">
        <v>1042</v>
      </c>
      <c r="K31" s="13" t="s">
        <v>19</v>
      </c>
      <c r="L31" s="18">
        <f>L32-L32*0.05</f>
        <v>0</v>
      </c>
      <c r="M31" s="17" t="s">
        <v>1043</v>
      </c>
    </row>
    <row r="32" spans="1:26" ht="15.75" customHeight="1" x14ac:dyDescent="0.2">
      <c r="B32" s="9" t="s">
        <v>32</v>
      </c>
      <c r="C32" s="300"/>
      <c r="D32" s="11">
        <v>96.744</v>
      </c>
      <c r="E32" s="11">
        <v>97</v>
      </c>
      <c r="F32" s="11"/>
      <c r="H32" s="13" t="s">
        <v>27</v>
      </c>
      <c r="I32" s="20">
        <v>645</v>
      </c>
      <c r="J32" s="17" t="s">
        <v>1044</v>
      </c>
      <c r="K32" s="13" t="s">
        <v>27</v>
      </c>
      <c r="L32" s="20">
        <v>0</v>
      </c>
      <c r="M32" s="17" t="s">
        <v>1045</v>
      </c>
    </row>
    <row r="33" spans="2:13" ht="15.75" customHeight="1" x14ac:dyDescent="0.2">
      <c r="B33" s="9" t="s">
        <v>33</v>
      </c>
      <c r="C33" s="301"/>
      <c r="D33" s="11">
        <v>128.11000000000001</v>
      </c>
      <c r="E33" s="11">
        <v>128</v>
      </c>
      <c r="F33" s="11"/>
      <c r="H33" s="13" t="s">
        <v>121</v>
      </c>
      <c r="I33" s="20">
        <v>587</v>
      </c>
      <c r="J33" s="17" t="s">
        <v>1046</v>
      </c>
      <c r="K33" s="13" t="s">
        <v>121</v>
      </c>
      <c r="L33" s="20">
        <v>0</v>
      </c>
      <c r="M33" s="17" t="s">
        <v>1047</v>
      </c>
    </row>
    <row r="34" spans="2:13" ht="15.75" customHeight="1" x14ac:dyDescent="0.25">
      <c r="B34" s="296"/>
      <c r="C34" s="297"/>
      <c r="D34" s="297"/>
      <c r="E34" s="297"/>
      <c r="F34" s="11"/>
      <c r="I34" s="3"/>
    </row>
    <row r="35" spans="2:13" ht="15.75" customHeight="1" x14ac:dyDescent="0.25">
      <c r="B35" s="9" t="s">
        <v>35</v>
      </c>
      <c r="C35" s="302" t="s">
        <v>36</v>
      </c>
      <c r="D35" s="11">
        <v>207.78</v>
      </c>
      <c r="E35" s="11">
        <v>200</v>
      </c>
      <c r="F35" s="11"/>
      <c r="I35" s="3"/>
    </row>
    <row r="36" spans="2:13" ht="15.75" customHeight="1" x14ac:dyDescent="0.25">
      <c r="B36" s="9" t="s">
        <v>37</v>
      </c>
      <c r="C36" s="300"/>
      <c r="D36" s="11">
        <v>444.11</v>
      </c>
      <c r="E36" s="11">
        <v>265</v>
      </c>
      <c r="F36" s="11"/>
      <c r="I36" s="3"/>
    </row>
    <row r="37" spans="2:13" ht="15.75" customHeight="1" x14ac:dyDescent="0.25">
      <c r="B37" s="9" t="s">
        <v>38</v>
      </c>
      <c r="C37" s="300"/>
      <c r="D37" s="11">
        <v>579.55999999999995</v>
      </c>
      <c r="E37" s="11">
        <v>475</v>
      </c>
      <c r="F37" s="11"/>
      <c r="I37" s="3"/>
    </row>
    <row r="38" spans="2:13" ht="15.75" customHeight="1" x14ac:dyDescent="0.25">
      <c r="B38" s="9" t="s">
        <v>39</v>
      </c>
      <c r="C38" s="300"/>
      <c r="D38" s="11">
        <v>746.22</v>
      </c>
      <c r="E38" s="11">
        <v>670</v>
      </c>
      <c r="F38" s="11"/>
      <c r="I38" s="3"/>
    </row>
    <row r="39" spans="2:13" ht="15.75" customHeight="1" x14ac:dyDescent="0.25">
      <c r="B39" s="49" t="s">
        <v>41</v>
      </c>
      <c r="C39" s="300"/>
      <c r="D39" s="51">
        <v>869.5</v>
      </c>
      <c r="E39" s="51">
        <v>720</v>
      </c>
      <c r="F39" s="51"/>
      <c r="I39" s="3"/>
    </row>
    <row r="40" spans="2:13" ht="15.75" customHeight="1" x14ac:dyDescent="0.25">
      <c r="B40" s="308"/>
      <c r="C40" s="297"/>
      <c r="D40" s="297"/>
      <c r="E40" s="297"/>
      <c r="F40" s="306"/>
      <c r="I40" s="3"/>
    </row>
    <row r="41" spans="2:13" ht="15.75" customHeight="1" x14ac:dyDescent="0.25">
      <c r="B41" s="9" t="s">
        <v>46</v>
      </c>
      <c r="C41" s="299" t="s">
        <v>47</v>
      </c>
      <c r="D41" s="11">
        <v>88.4</v>
      </c>
      <c r="E41" s="11">
        <v>100</v>
      </c>
      <c r="F41" s="11"/>
      <c r="I41" s="3"/>
    </row>
    <row r="42" spans="2:13" ht="15.75" customHeight="1" x14ac:dyDescent="0.25">
      <c r="B42" s="9" t="s">
        <v>48</v>
      </c>
      <c r="C42" s="300"/>
      <c r="D42" s="11">
        <v>94.6</v>
      </c>
      <c r="E42" s="11">
        <v>98</v>
      </c>
      <c r="F42" s="11"/>
      <c r="I42" s="3"/>
    </row>
    <row r="43" spans="2:13" ht="15.75" customHeight="1" x14ac:dyDescent="0.25">
      <c r="B43" s="296"/>
      <c r="C43" s="297"/>
      <c r="D43" s="297"/>
      <c r="E43" s="297"/>
      <c r="F43" s="11"/>
      <c r="I43" s="3"/>
    </row>
    <row r="44" spans="2:13" ht="15.75" customHeight="1" x14ac:dyDescent="0.25">
      <c r="B44" s="9" t="s">
        <v>50</v>
      </c>
      <c r="C44" s="302" t="s">
        <v>51</v>
      </c>
      <c r="D44" s="11">
        <v>271.44400000000002</v>
      </c>
      <c r="E44" s="11">
        <v>192</v>
      </c>
      <c r="F44" s="11"/>
      <c r="I44" s="3"/>
    </row>
    <row r="45" spans="2:13" ht="15.75" customHeight="1" x14ac:dyDescent="0.25">
      <c r="B45" s="9" t="s">
        <v>54</v>
      </c>
      <c r="C45" s="300"/>
      <c r="D45" s="11">
        <v>550.22199999999998</v>
      </c>
      <c r="E45" s="11">
        <v>230</v>
      </c>
      <c r="F45" s="11"/>
      <c r="I45" s="3"/>
    </row>
    <row r="46" spans="2:13" ht="15.75" customHeight="1" x14ac:dyDescent="0.25">
      <c r="B46" s="9" t="s">
        <v>55</v>
      </c>
      <c r="C46" s="300"/>
      <c r="D46" s="11">
        <v>609</v>
      </c>
      <c r="E46" s="11">
        <v>660</v>
      </c>
      <c r="F46" s="11"/>
      <c r="I46" s="3"/>
    </row>
    <row r="47" spans="2:13" ht="15.75" customHeight="1" x14ac:dyDescent="0.25">
      <c r="B47" s="9" t="s">
        <v>56</v>
      </c>
      <c r="C47" s="300"/>
      <c r="D47" s="11">
        <v>739.11099999999999</v>
      </c>
      <c r="E47" s="11">
        <v>730</v>
      </c>
      <c r="F47" s="11"/>
      <c r="I47" s="3"/>
    </row>
    <row r="48" spans="2:13" ht="15.75" customHeight="1" x14ac:dyDescent="0.25">
      <c r="B48" s="49" t="s">
        <v>57</v>
      </c>
      <c r="C48" s="300"/>
      <c r="D48" s="51">
        <v>746.88900000000001</v>
      </c>
      <c r="E48" s="51">
        <v>585</v>
      </c>
      <c r="F48" s="51"/>
      <c r="I48" s="3"/>
    </row>
    <row r="49" spans="2:9" ht="15.75" customHeight="1" x14ac:dyDescent="0.25">
      <c r="B49" s="308"/>
      <c r="C49" s="297"/>
      <c r="D49" s="297"/>
      <c r="E49" s="297"/>
      <c r="F49" s="306"/>
      <c r="I49" s="3"/>
    </row>
    <row r="50" spans="2:9" ht="15.75" customHeight="1" x14ac:dyDescent="0.25">
      <c r="B50" s="9" t="s">
        <v>60</v>
      </c>
      <c r="C50" s="299" t="s">
        <v>62</v>
      </c>
      <c r="D50" s="11">
        <v>19.36</v>
      </c>
      <c r="E50" s="11">
        <v>18</v>
      </c>
      <c r="F50" s="11"/>
      <c r="I50" s="3"/>
    </row>
    <row r="51" spans="2:9" ht="15.75" customHeight="1" x14ac:dyDescent="0.25">
      <c r="B51" s="9" t="s">
        <v>64</v>
      </c>
      <c r="C51" s="300"/>
      <c r="D51" s="11">
        <v>33.31</v>
      </c>
      <c r="E51" s="11">
        <v>36</v>
      </c>
      <c r="F51" s="11"/>
      <c r="I51" s="3"/>
    </row>
    <row r="52" spans="2:9" ht="15.75" customHeight="1" x14ac:dyDescent="0.25">
      <c r="B52" s="9" t="s">
        <v>65</v>
      </c>
      <c r="C52" s="301"/>
      <c r="D52" s="11">
        <v>41.74</v>
      </c>
      <c r="E52" s="11">
        <v>20</v>
      </c>
      <c r="F52" s="11"/>
      <c r="I52" s="3"/>
    </row>
    <row r="53" spans="2:9" ht="15.75" customHeight="1" x14ac:dyDescent="0.25">
      <c r="B53" s="296"/>
      <c r="C53" s="297"/>
      <c r="D53" s="297"/>
      <c r="E53" s="297"/>
      <c r="F53" s="11"/>
      <c r="I53" s="3"/>
    </row>
    <row r="54" spans="2:9" ht="15.75" customHeight="1" x14ac:dyDescent="0.25">
      <c r="B54" s="9" t="s">
        <v>66</v>
      </c>
      <c r="C54" s="302" t="s">
        <v>68</v>
      </c>
      <c r="D54" s="11">
        <v>204.5</v>
      </c>
      <c r="E54" s="11">
        <v>220</v>
      </c>
      <c r="F54" s="11"/>
      <c r="I54" s="3"/>
    </row>
    <row r="55" spans="2:9" ht="15.75" customHeight="1" x14ac:dyDescent="0.25">
      <c r="B55" s="49" t="s">
        <v>69</v>
      </c>
      <c r="C55" s="300"/>
      <c r="D55" s="51">
        <v>277.7</v>
      </c>
      <c r="E55" s="51">
        <v>265</v>
      </c>
      <c r="F55" s="51"/>
      <c r="I55" s="3"/>
    </row>
    <row r="56" spans="2:9" ht="15.75" customHeight="1" x14ac:dyDescent="0.25">
      <c r="B56" s="305"/>
      <c r="C56" s="297"/>
      <c r="D56" s="297"/>
      <c r="E56" s="297"/>
      <c r="F56" s="306"/>
      <c r="I56" s="3"/>
    </row>
    <row r="57" spans="2:9" ht="15.75" customHeight="1" x14ac:dyDescent="0.25">
      <c r="B57" s="9" t="s">
        <v>69</v>
      </c>
      <c r="C57" s="299" t="s">
        <v>71</v>
      </c>
      <c r="D57" s="11">
        <v>10.283300000000001</v>
      </c>
      <c r="E57" s="11">
        <v>8</v>
      </c>
      <c r="F57" s="11"/>
      <c r="I57" s="3"/>
    </row>
    <row r="58" spans="2:9" ht="15.75" customHeight="1" x14ac:dyDescent="0.25">
      <c r="B58" s="9" t="s">
        <v>72</v>
      </c>
      <c r="C58" s="300"/>
      <c r="D58" s="11">
        <v>11.8833</v>
      </c>
      <c r="E58" s="11">
        <v>9</v>
      </c>
      <c r="F58" s="11"/>
      <c r="I58" s="3"/>
    </row>
    <row r="59" spans="2:9" ht="15.75" customHeight="1" x14ac:dyDescent="0.25">
      <c r="B59" s="9" t="s">
        <v>73</v>
      </c>
      <c r="C59" s="301"/>
      <c r="D59" s="11">
        <v>17.433299999999999</v>
      </c>
      <c r="E59" s="11">
        <v>25</v>
      </c>
      <c r="F59" s="11"/>
      <c r="I59" s="3"/>
    </row>
    <row r="60" spans="2:9" ht="15.75" customHeight="1" x14ac:dyDescent="0.25">
      <c r="B60" s="296"/>
      <c r="C60" s="297"/>
      <c r="D60" s="297"/>
      <c r="E60" s="297"/>
      <c r="F60" s="11"/>
      <c r="I60" s="3"/>
    </row>
    <row r="61" spans="2:9" ht="15.75" customHeight="1" x14ac:dyDescent="0.25">
      <c r="B61" s="9" t="s">
        <v>76</v>
      </c>
      <c r="C61" s="302" t="s">
        <v>77</v>
      </c>
      <c r="D61" s="11">
        <v>117.467</v>
      </c>
      <c r="E61" s="11">
        <v>176</v>
      </c>
      <c r="F61" s="11"/>
      <c r="I61" s="3"/>
    </row>
    <row r="62" spans="2:9" ht="15.75" customHeight="1" x14ac:dyDescent="0.25">
      <c r="B62" s="9" t="s">
        <v>78</v>
      </c>
      <c r="C62" s="300"/>
      <c r="D62" s="11">
        <v>187.833</v>
      </c>
      <c r="E62" s="11">
        <v>131</v>
      </c>
      <c r="F62" s="11"/>
      <c r="I62" s="3"/>
    </row>
    <row r="63" spans="2:9" ht="15.75" customHeight="1" x14ac:dyDescent="0.25">
      <c r="B63" s="9" t="s">
        <v>79</v>
      </c>
      <c r="C63" s="300"/>
      <c r="D63" s="11">
        <v>218.333</v>
      </c>
      <c r="E63" s="11">
        <v>233</v>
      </c>
      <c r="F63" s="11"/>
      <c r="I63" s="3"/>
    </row>
    <row r="64" spans="2:9" ht="15.75" customHeight="1" x14ac:dyDescent="0.25">
      <c r="B64" s="49" t="s">
        <v>80</v>
      </c>
      <c r="C64" s="300"/>
      <c r="D64" s="51">
        <v>238.5</v>
      </c>
      <c r="E64" s="51">
        <v>103</v>
      </c>
      <c r="F64" s="51"/>
      <c r="I64" s="3"/>
    </row>
    <row r="65" spans="2:9" ht="15.75" customHeight="1" x14ac:dyDescent="0.25">
      <c r="B65" s="305"/>
      <c r="C65" s="297"/>
      <c r="D65" s="297"/>
      <c r="E65" s="297"/>
      <c r="F65" s="306"/>
      <c r="I65" s="3"/>
    </row>
    <row r="66" spans="2:9" ht="15.75" customHeight="1" x14ac:dyDescent="0.25">
      <c r="B66" s="9" t="s">
        <v>81</v>
      </c>
      <c r="C66" s="299" t="s">
        <v>82</v>
      </c>
      <c r="D66" s="11">
        <v>2</v>
      </c>
      <c r="E66" s="11">
        <v>1</v>
      </c>
      <c r="F66" s="11"/>
      <c r="I66" s="3"/>
    </row>
    <row r="67" spans="2:9" ht="15.75" customHeight="1" x14ac:dyDescent="0.25">
      <c r="B67" s="9" t="s">
        <v>83</v>
      </c>
      <c r="C67" s="300"/>
      <c r="D67" s="11">
        <v>7.133</v>
      </c>
      <c r="E67" s="11">
        <v>5</v>
      </c>
      <c r="F67" s="11"/>
      <c r="I67" s="3"/>
    </row>
    <row r="68" spans="2:9" ht="15.75" customHeight="1" x14ac:dyDescent="0.25">
      <c r="B68" s="9" t="s">
        <v>84</v>
      </c>
      <c r="C68" s="301"/>
      <c r="D68" s="11">
        <v>10.72</v>
      </c>
      <c r="E68" s="11">
        <v>5</v>
      </c>
      <c r="F68" s="11"/>
      <c r="I68" s="3"/>
    </row>
    <row r="69" spans="2:9" ht="15.75" customHeight="1" x14ac:dyDescent="0.25">
      <c r="B69" s="296"/>
      <c r="C69" s="297"/>
      <c r="D69" s="297"/>
      <c r="E69" s="297"/>
      <c r="F69" s="11"/>
      <c r="I69" s="3"/>
    </row>
    <row r="70" spans="2:9" ht="15.75" customHeight="1" x14ac:dyDescent="0.25">
      <c r="B70" s="9" t="s">
        <v>86</v>
      </c>
      <c r="C70" s="302" t="s">
        <v>87</v>
      </c>
      <c r="D70" s="11">
        <v>20.466999999999999</v>
      </c>
      <c r="E70" s="11">
        <v>22</v>
      </c>
      <c r="F70" s="11"/>
      <c r="I70" s="3"/>
    </row>
    <row r="71" spans="2:9" ht="15.75" customHeight="1" x14ac:dyDescent="0.25">
      <c r="B71" s="49" t="s">
        <v>88</v>
      </c>
      <c r="C71" s="300"/>
      <c r="D71" s="51">
        <v>20.367000000000001</v>
      </c>
      <c r="E71" s="51">
        <v>22</v>
      </c>
      <c r="F71" s="51"/>
      <c r="I71" s="3"/>
    </row>
    <row r="72" spans="2:9" ht="15.75" customHeight="1" x14ac:dyDescent="0.25">
      <c r="B72" s="305"/>
      <c r="C72" s="297"/>
      <c r="D72" s="297"/>
      <c r="E72" s="297"/>
      <c r="F72" s="306"/>
      <c r="I72" s="3"/>
    </row>
    <row r="73" spans="2:9" ht="15.75" customHeight="1" x14ac:dyDescent="0.25">
      <c r="B73" s="9" t="s">
        <v>89</v>
      </c>
      <c r="C73" s="299" t="s">
        <v>90</v>
      </c>
      <c r="D73" s="11">
        <v>5.15</v>
      </c>
      <c r="E73" s="11">
        <v>19</v>
      </c>
      <c r="F73" s="11"/>
      <c r="I73" s="3"/>
    </row>
    <row r="74" spans="2:9" ht="15.75" customHeight="1" x14ac:dyDescent="0.25">
      <c r="B74" s="49" t="s">
        <v>91</v>
      </c>
      <c r="C74" s="300"/>
      <c r="D74" s="51">
        <v>16.2</v>
      </c>
      <c r="E74" s="51">
        <v>19</v>
      </c>
      <c r="F74" s="51"/>
      <c r="I74" s="3"/>
    </row>
    <row r="75" spans="2:9" ht="15.75" customHeight="1" x14ac:dyDescent="0.25">
      <c r="B75" s="296"/>
      <c r="C75" s="297"/>
      <c r="D75" s="297"/>
      <c r="E75" s="297"/>
      <c r="F75" s="298"/>
      <c r="I75" s="3"/>
    </row>
    <row r="76" spans="2:9" ht="15.75" customHeight="1" x14ac:dyDescent="0.25">
      <c r="B76" s="9" t="s">
        <v>94</v>
      </c>
      <c r="C76" s="299" t="s">
        <v>95</v>
      </c>
      <c r="D76" s="11">
        <v>50.082999999999998</v>
      </c>
      <c r="E76" s="11">
        <v>54</v>
      </c>
      <c r="F76" s="11"/>
      <c r="I76" s="3"/>
    </row>
    <row r="77" spans="2:9" ht="15.75" customHeight="1" x14ac:dyDescent="0.25">
      <c r="B77" s="9" t="s">
        <v>96</v>
      </c>
      <c r="C77" s="300"/>
      <c r="D77" s="11">
        <v>93.992999999999995</v>
      </c>
      <c r="E77" s="11">
        <v>116</v>
      </c>
      <c r="F77" s="11"/>
      <c r="I77" s="3"/>
    </row>
    <row r="78" spans="2:9" ht="15.75" customHeight="1" x14ac:dyDescent="0.25">
      <c r="B78" s="9" t="s">
        <v>97</v>
      </c>
      <c r="C78" s="300"/>
      <c r="D78" s="11">
        <v>95.516999999999996</v>
      </c>
      <c r="E78" s="11">
        <v>91</v>
      </c>
      <c r="F78" s="11"/>
      <c r="I78" s="3"/>
    </row>
    <row r="79" spans="2:9" ht="15.75" customHeight="1" x14ac:dyDescent="0.25">
      <c r="B79" s="9" t="s">
        <v>98</v>
      </c>
      <c r="C79" s="300"/>
      <c r="D79" s="11">
        <v>100.92</v>
      </c>
      <c r="E79" s="11">
        <v>121</v>
      </c>
      <c r="F79" s="11"/>
      <c r="I79" s="3"/>
    </row>
    <row r="80" spans="2:9" ht="15.75" customHeight="1" x14ac:dyDescent="0.25">
      <c r="B80" s="9" t="s">
        <v>99</v>
      </c>
      <c r="C80" s="301"/>
      <c r="D80" s="11">
        <v>115.37</v>
      </c>
      <c r="E80" s="11">
        <v>118</v>
      </c>
      <c r="F80" s="11"/>
      <c r="I80" s="3"/>
    </row>
    <row r="81" spans="1:25" ht="15.75" customHeight="1" x14ac:dyDescent="0.25">
      <c r="B81" s="1"/>
      <c r="C81" s="1"/>
      <c r="D81" s="2"/>
      <c r="E81" s="2"/>
      <c r="F81" s="146"/>
      <c r="I81" s="3"/>
    </row>
    <row r="82" spans="1:25" ht="15.75" customHeight="1" x14ac:dyDescent="0.25">
      <c r="A82" s="345"/>
      <c r="B82" s="297"/>
      <c r="C82" s="297"/>
      <c r="D82" s="297"/>
      <c r="E82" s="297"/>
      <c r="F82" s="297"/>
      <c r="G82" s="297"/>
      <c r="H82" s="297"/>
      <c r="I82" s="297"/>
      <c r="J82" s="297"/>
      <c r="K82" s="297"/>
      <c r="L82" s="297"/>
      <c r="M82" s="297"/>
      <c r="N82" s="297"/>
      <c r="O82" s="297"/>
      <c r="P82" s="297"/>
      <c r="Q82" s="297"/>
      <c r="R82" s="297"/>
      <c r="S82" s="297"/>
      <c r="T82" s="297"/>
      <c r="U82" s="297"/>
      <c r="V82" s="297"/>
      <c r="W82" s="297"/>
      <c r="X82" s="297"/>
      <c r="Y82" s="298"/>
    </row>
    <row r="83" spans="1:25" ht="15.75" customHeight="1" x14ac:dyDescent="0.2">
      <c r="Y83" s="346"/>
    </row>
    <row r="84" spans="1:25" ht="15.75" customHeight="1" x14ac:dyDescent="0.3">
      <c r="A84" s="161" t="s">
        <v>353</v>
      </c>
      <c r="B84" s="163" t="s">
        <v>1024</v>
      </c>
      <c r="Y84" s="300"/>
    </row>
    <row r="85" spans="1:25" ht="15.75" customHeight="1" x14ac:dyDescent="0.3">
      <c r="A85" s="164" t="s">
        <v>360</v>
      </c>
      <c r="B85" s="165">
        <v>43145</v>
      </c>
      <c r="Y85" s="300"/>
    </row>
    <row r="86" spans="1:25" ht="15.75" customHeight="1" x14ac:dyDescent="0.3">
      <c r="L86" s="320" t="s">
        <v>153</v>
      </c>
      <c r="M86" s="297"/>
      <c r="N86" s="297"/>
      <c r="O86" s="297"/>
      <c r="P86" s="297"/>
      <c r="Q86" s="298"/>
      <c r="S86" s="321" t="s">
        <v>154</v>
      </c>
      <c r="T86" s="322"/>
      <c r="U86" s="322"/>
      <c r="V86" s="322"/>
      <c r="W86" s="323"/>
      <c r="Y86" s="300"/>
    </row>
    <row r="87" spans="1:25" ht="15.75" customHeight="1" x14ac:dyDescent="0.2">
      <c r="A87" s="156" t="s">
        <v>0</v>
      </c>
      <c r="B87" s="157" t="s">
        <v>1</v>
      </c>
      <c r="C87" s="157" t="s">
        <v>42</v>
      </c>
      <c r="D87" s="157" t="s">
        <v>43</v>
      </c>
      <c r="E87" s="157" t="s">
        <v>44</v>
      </c>
      <c r="G87" s="296" t="s">
        <v>45</v>
      </c>
      <c r="H87" s="297"/>
      <c r="I87" s="297"/>
      <c r="J87" s="298"/>
      <c r="L87" s="311" t="s">
        <v>157</v>
      </c>
      <c r="M87" s="312"/>
      <c r="N87" s="312"/>
      <c r="O87" s="312"/>
      <c r="P87" s="312"/>
      <c r="Q87" s="313"/>
      <c r="S87" s="325" t="s">
        <v>157</v>
      </c>
      <c r="T87" s="297"/>
      <c r="U87" s="297"/>
      <c r="V87" s="297"/>
      <c r="W87" s="298"/>
      <c r="Y87" s="300"/>
    </row>
    <row r="88" spans="1:25" ht="15.75" customHeight="1" x14ac:dyDescent="0.2">
      <c r="A88" s="363" t="s">
        <v>8</v>
      </c>
      <c r="B88" s="297"/>
      <c r="C88" s="297"/>
      <c r="D88" s="297"/>
      <c r="E88" s="298"/>
      <c r="G88" s="305" t="s">
        <v>10</v>
      </c>
      <c r="H88" s="297"/>
      <c r="I88" s="297"/>
      <c r="J88" s="298"/>
      <c r="L88" s="317"/>
      <c r="M88" s="318"/>
      <c r="N88" s="318"/>
      <c r="O88" s="318"/>
      <c r="P88" s="318"/>
      <c r="Q88" s="319"/>
      <c r="S88" s="58" t="s">
        <v>160</v>
      </c>
      <c r="T88" s="59" t="s">
        <v>161</v>
      </c>
      <c r="U88" s="59" t="s">
        <v>162</v>
      </c>
      <c r="V88" s="61" t="s">
        <v>163</v>
      </c>
      <c r="W88" s="62" t="s">
        <v>165</v>
      </c>
      <c r="Y88" s="300"/>
    </row>
    <row r="89" spans="1:25" ht="15.75" customHeight="1" x14ac:dyDescent="0.25">
      <c r="A89" s="9" t="s">
        <v>11</v>
      </c>
      <c r="B89" s="9" t="s">
        <v>12</v>
      </c>
      <c r="C89" s="11">
        <v>520</v>
      </c>
      <c r="D89" s="22">
        <v>499</v>
      </c>
      <c r="E89" s="11">
        <v>531</v>
      </c>
      <c r="G89" s="12"/>
      <c r="H89" s="12" t="s">
        <v>52</v>
      </c>
      <c r="I89" s="12" t="s">
        <v>53</v>
      </c>
      <c r="J89" s="12"/>
      <c r="L89" s="63" t="s">
        <v>168</v>
      </c>
      <c r="M89" s="64" t="s">
        <v>169</v>
      </c>
      <c r="N89" s="64" t="s">
        <v>171</v>
      </c>
      <c r="O89" s="64" t="s">
        <v>172</v>
      </c>
      <c r="P89" s="65" t="s">
        <v>173</v>
      </c>
      <c r="Q89" s="66" t="s">
        <v>175</v>
      </c>
      <c r="S89" s="63" t="s">
        <v>176</v>
      </c>
      <c r="T89" s="67">
        <v>0.52</v>
      </c>
      <c r="U89" s="68">
        <v>2.4870000000000001</v>
      </c>
      <c r="V89" s="70">
        <f t="shared" ref="V89:V93" si="1">+U89/T89</f>
        <v>4.782692307692308</v>
      </c>
      <c r="W89" s="72"/>
      <c r="Y89" s="300"/>
    </row>
    <row r="90" spans="1:25" ht="15.75" customHeight="1" x14ac:dyDescent="0.25">
      <c r="A90" s="9" t="s">
        <v>11</v>
      </c>
      <c r="B90" s="12" t="s">
        <v>18</v>
      </c>
      <c r="C90" s="11">
        <v>0</v>
      </c>
      <c r="D90" s="22">
        <v>0</v>
      </c>
      <c r="E90" s="11">
        <v>0</v>
      </c>
      <c r="G90" s="12" t="s">
        <v>12</v>
      </c>
      <c r="H90" s="17">
        <v>500</v>
      </c>
      <c r="I90" s="11">
        <v>531</v>
      </c>
      <c r="J90" s="17" t="s">
        <v>1049</v>
      </c>
      <c r="L90" s="73">
        <v>440</v>
      </c>
      <c r="M90" s="74">
        <v>73</v>
      </c>
      <c r="N90" s="74">
        <f>+U89</f>
        <v>2.4870000000000001</v>
      </c>
      <c r="O90" s="76">
        <f>+U92</f>
        <v>0</v>
      </c>
      <c r="P90" s="77">
        <f>+U90</f>
        <v>2.0430000000000001</v>
      </c>
      <c r="Q90" s="78">
        <f>(L90-M90)*(N90-O90)/(P90-O90)+M90</f>
        <v>519.75917767988244</v>
      </c>
      <c r="S90" s="80" t="s">
        <v>188</v>
      </c>
      <c r="T90" s="74">
        <v>0.46</v>
      </c>
      <c r="U90" s="82">
        <v>2.0430000000000001</v>
      </c>
      <c r="V90" s="84">
        <f t="shared" si="1"/>
        <v>4.4413043478260867</v>
      </c>
      <c r="W90" s="86">
        <f>(U90-U92)/(U89-U92)</f>
        <v>0.8214716525934862</v>
      </c>
      <c r="Y90" s="300"/>
    </row>
    <row r="91" spans="1:25" ht="15.75" customHeight="1" x14ac:dyDescent="0.25">
      <c r="A91" s="9" t="s">
        <v>21</v>
      </c>
      <c r="B91" s="12" t="s">
        <v>59</v>
      </c>
      <c r="C91" s="11">
        <v>440</v>
      </c>
      <c r="D91" s="22">
        <v>535</v>
      </c>
      <c r="E91" s="11">
        <v>443</v>
      </c>
      <c r="G91" s="12" t="s">
        <v>18</v>
      </c>
      <c r="H91" s="17">
        <v>0</v>
      </c>
      <c r="I91" s="11">
        <v>0</v>
      </c>
      <c r="J91" s="17" t="s">
        <v>1051</v>
      </c>
      <c r="L91" s="73" t="s">
        <v>168</v>
      </c>
      <c r="M91" s="74" t="s">
        <v>171</v>
      </c>
      <c r="N91" s="74" t="s">
        <v>190</v>
      </c>
      <c r="O91" s="74" t="s">
        <v>191</v>
      </c>
      <c r="P91" s="77" t="s">
        <v>173</v>
      </c>
      <c r="Q91" s="87" t="s">
        <v>192</v>
      </c>
      <c r="S91" s="80" t="s">
        <v>193</v>
      </c>
      <c r="T91" s="74">
        <v>0.24099999999999999</v>
      </c>
      <c r="U91" s="82">
        <v>0.48099999999999998</v>
      </c>
      <c r="V91" s="84">
        <f t="shared" si="1"/>
        <v>1.995850622406639</v>
      </c>
      <c r="W91" s="86">
        <f>(U91-U92)/(U89-U92)</f>
        <v>0.19340570969039</v>
      </c>
      <c r="Y91" s="300"/>
    </row>
    <row r="92" spans="1:25" ht="15.75" customHeight="1" x14ac:dyDescent="0.25">
      <c r="A92" s="9" t="s">
        <v>21</v>
      </c>
      <c r="B92" s="12" t="s">
        <v>63</v>
      </c>
      <c r="C92" s="11">
        <v>160</v>
      </c>
      <c r="D92" s="22">
        <v>152</v>
      </c>
      <c r="E92" s="11">
        <v>160</v>
      </c>
      <c r="L92" s="73">
        <v>160</v>
      </c>
      <c r="M92" s="74">
        <f>+U89</f>
        <v>2.4870000000000001</v>
      </c>
      <c r="N92" s="76">
        <f>+U92</f>
        <v>0</v>
      </c>
      <c r="O92" s="89">
        <f>+Q90</f>
        <v>519.75917767988244</v>
      </c>
      <c r="P92" s="77">
        <f>+U91</f>
        <v>0.48099999999999998</v>
      </c>
      <c r="Q92" s="90">
        <f>(L92*(M92-N92)-O92*(P92-N92))/(M92-P92)</f>
        <v>73.73670764505313</v>
      </c>
      <c r="S92" s="80" t="s">
        <v>194</v>
      </c>
      <c r="T92" s="74">
        <v>0.16800000000000001</v>
      </c>
      <c r="U92" s="91">
        <v>0</v>
      </c>
      <c r="V92" s="84">
        <f t="shared" si="1"/>
        <v>0</v>
      </c>
      <c r="W92" s="86"/>
      <c r="Y92" s="300"/>
    </row>
    <row r="93" spans="1:25" ht="15.75" customHeight="1" x14ac:dyDescent="0.25">
      <c r="L93" s="80" t="s">
        <v>196</v>
      </c>
      <c r="M93" s="93"/>
      <c r="N93" s="93"/>
      <c r="O93" s="93"/>
      <c r="P93" s="94"/>
      <c r="Q93" s="95"/>
      <c r="S93" s="96" t="s">
        <v>197</v>
      </c>
      <c r="T93" s="97">
        <v>0.192</v>
      </c>
      <c r="U93" s="99">
        <v>0.127</v>
      </c>
      <c r="V93" s="100">
        <f t="shared" si="1"/>
        <v>0.66145833333333337</v>
      </c>
      <c r="W93" s="101">
        <f>+(U93-U92)/(U89-U92)</f>
        <v>5.1065540812223559E-2</v>
      </c>
      <c r="Y93" s="300"/>
    </row>
    <row r="94" spans="1:25" ht="15.75" customHeight="1" x14ac:dyDescent="0.2">
      <c r="L94" s="80" t="s">
        <v>199</v>
      </c>
      <c r="M94" s="93" t="s">
        <v>169</v>
      </c>
      <c r="N94" s="93" t="s">
        <v>200</v>
      </c>
      <c r="O94" s="93" t="s">
        <v>201</v>
      </c>
      <c r="P94" s="94" t="s">
        <v>191</v>
      </c>
      <c r="Q94" s="87" t="s">
        <v>202</v>
      </c>
      <c r="S94" s="311" t="s">
        <v>203</v>
      </c>
      <c r="T94" s="312"/>
      <c r="U94" s="312"/>
      <c r="V94" s="312"/>
      <c r="W94" s="313"/>
      <c r="Y94" s="300"/>
    </row>
    <row r="95" spans="1:25" ht="15.75" customHeight="1" x14ac:dyDescent="0.2">
      <c r="L95" s="102">
        <f>+U93</f>
        <v>0.127</v>
      </c>
      <c r="M95" s="103">
        <f>+Q92</f>
        <v>73.73670764505313</v>
      </c>
      <c r="N95" s="97">
        <f>+U89</f>
        <v>2.4870000000000001</v>
      </c>
      <c r="O95" s="104">
        <f>+U92</f>
        <v>0</v>
      </c>
      <c r="P95" s="105">
        <f>+Q90</f>
        <v>519.75917767988244</v>
      </c>
      <c r="Q95" s="106">
        <f>M95+(P95-M95)*(L95-O95)/(N95-O95)</f>
        <v>96.51308629178547</v>
      </c>
      <c r="S95" s="314"/>
      <c r="T95" s="315"/>
      <c r="U95" s="315"/>
      <c r="V95" s="315"/>
      <c r="W95" s="316"/>
      <c r="Y95" s="300"/>
    </row>
    <row r="96" spans="1:25" ht="15.75" customHeight="1" x14ac:dyDescent="0.2">
      <c r="L96" s="311" t="s">
        <v>204</v>
      </c>
      <c r="M96" s="312"/>
      <c r="N96" s="312"/>
      <c r="O96" s="312"/>
      <c r="P96" s="312"/>
      <c r="Q96" s="313"/>
      <c r="S96" s="317"/>
      <c r="T96" s="318"/>
      <c r="U96" s="318"/>
      <c r="V96" s="318"/>
      <c r="W96" s="319"/>
      <c r="Y96" s="300"/>
    </row>
    <row r="97" spans="1:25" ht="15.75" customHeight="1" x14ac:dyDescent="0.2">
      <c r="L97" s="317"/>
      <c r="M97" s="318"/>
      <c r="N97" s="318"/>
      <c r="O97" s="318"/>
      <c r="P97" s="318"/>
      <c r="Q97" s="319"/>
      <c r="S97" s="58" t="s">
        <v>160</v>
      </c>
      <c r="T97" s="59" t="s">
        <v>161</v>
      </c>
      <c r="U97" s="59" t="s">
        <v>162</v>
      </c>
      <c r="V97" s="61" t="s">
        <v>163</v>
      </c>
      <c r="W97" s="62" t="s">
        <v>165</v>
      </c>
      <c r="Y97" s="300"/>
    </row>
    <row r="98" spans="1:25" ht="15.75" customHeight="1" x14ac:dyDescent="0.25">
      <c r="L98" s="63" t="s">
        <v>168</v>
      </c>
      <c r="M98" s="64" t="s">
        <v>169</v>
      </c>
      <c r="N98" s="64" t="s">
        <v>171</v>
      </c>
      <c r="O98" s="64" t="s">
        <v>172</v>
      </c>
      <c r="P98" s="65" t="s">
        <v>173</v>
      </c>
      <c r="Q98" s="66" t="s">
        <v>175</v>
      </c>
      <c r="S98" s="63" t="s">
        <v>176</v>
      </c>
      <c r="T98" s="67">
        <v>0.6</v>
      </c>
      <c r="U98" s="68">
        <v>1.613</v>
      </c>
      <c r="V98" s="70">
        <f t="shared" ref="V98:V102" si="2">+U98/T98</f>
        <v>2.6883333333333335</v>
      </c>
      <c r="W98" s="107"/>
      <c r="Y98" s="300"/>
    </row>
    <row r="99" spans="1:25" ht="15.75" customHeight="1" x14ac:dyDescent="0.25">
      <c r="L99" s="73">
        <v>420</v>
      </c>
      <c r="M99" s="74">
        <v>20</v>
      </c>
      <c r="N99" s="74">
        <f>+U98</f>
        <v>1.613</v>
      </c>
      <c r="O99" s="76">
        <f>+U101</f>
        <v>8.1000000000000003E-2</v>
      </c>
      <c r="P99" s="77">
        <f>+U99</f>
        <v>1.2729999999999999</v>
      </c>
      <c r="Q99" s="108">
        <f>(L99-M99)*(N99-O99)/(P99-O99)+M99</f>
        <v>534.09395973154358</v>
      </c>
      <c r="S99" s="80" t="s">
        <v>188</v>
      </c>
      <c r="T99" s="74">
        <v>0.54900000000000004</v>
      </c>
      <c r="U99" s="82">
        <v>1.2729999999999999</v>
      </c>
      <c r="V99" s="84">
        <f t="shared" si="2"/>
        <v>2.3187613843351547</v>
      </c>
      <c r="W99" s="86">
        <f>(U99-U101)/(U98-U101)</f>
        <v>0.77806788511749347</v>
      </c>
      <c r="Y99" s="300"/>
    </row>
    <row r="100" spans="1:25" ht="15.75" customHeight="1" x14ac:dyDescent="0.25">
      <c r="L100" s="73" t="s">
        <v>168</v>
      </c>
      <c r="M100" s="74" t="s">
        <v>171</v>
      </c>
      <c r="N100" s="74" t="s">
        <v>190</v>
      </c>
      <c r="O100" s="74" t="s">
        <v>191</v>
      </c>
      <c r="P100" s="77" t="s">
        <v>173</v>
      </c>
      <c r="Q100" s="87" t="s">
        <v>192</v>
      </c>
      <c r="S100" s="80" t="s">
        <v>193</v>
      </c>
      <c r="T100" s="74">
        <v>0.443</v>
      </c>
      <c r="U100" s="91">
        <v>0.54500000000000004</v>
      </c>
      <c r="V100" s="84">
        <f t="shared" si="2"/>
        <v>1.2302483069977428</v>
      </c>
      <c r="W100" s="86">
        <f>(U100-U101)/(U98-U101)</f>
        <v>0.30287206266318539</v>
      </c>
      <c r="Y100" s="300"/>
    </row>
    <row r="101" spans="1:25" ht="15.75" customHeight="1" x14ac:dyDescent="0.25">
      <c r="L101" s="73">
        <v>140</v>
      </c>
      <c r="M101" s="74">
        <f>+U98</f>
        <v>1.613</v>
      </c>
      <c r="N101" s="76">
        <f>+U101</f>
        <v>8.1000000000000003E-2</v>
      </c>
      <c r="O101" s="74">
        <f>+Q99</f>
        <v>534.09395973154358</v>
      </c>
      <c r="P101" s="109">
        <f>+U100</f>
        <v>0.54500000000000004</v>
      </c>
      <c r="Q101" s="78">
        <f>(L101*(M101-N101)-O101*(P101-N101))/(M101-P101)</f>
        <v>-31.216851418947758</v>
      </c>
      <c r="S101" s="80" t="s">
        <v>194</v>
      </c>
      <c r="T101" s="74">
        <v>0.38</v>
      </c>
      <c r="U101" s="91">
        <v>8.1000000000000003E-2</v>
      </c>
      <c r="V101" s="84">
        <f t="shared" si="2"/>
        <v>0.2131578947368421</v>
      </c>
      <c r="W101" s="86"/>
      <c r="Y101" s="300"/>
    </row>
    <row r="102" spans="1:25" ht="15.75" customHeight="1" x14ac:dyDescent="0.25">
      <c r="L102" s="80" t="s">
        <v>196</v>
      </c>
      <c r="M102" s="93"/>
      <c r="N102" s="93"/>
      <c r="O102" s="93"/>
      <c r="P102" s="94"/>
      <c r="Q102" s="95"/>
      <c r="S102" s="111" t="s">
        <v>197</v>
      </c>
      <c r="T102" s="112">
        <v>0.40600000000000003</v>
      </c>
      <c r="U102" s="113">
        <v>0.23699999999999999</v>
      </c>
      <c r="V102" s="114">
        <f t="shared" si="2"/>
        <v>0.58374384236453192</v>
      </c>
      <c r="W102" s="115">
        <f>+(U102-U101)/(U98-U101)</f>
        <v>0.10182767624020886</v>
      </c>
      <c r="Y102" s="300"/>
    </row>
    <row r="103" spans="1:25" ht="15.75" customHeight="1" x14ac:dyDescent="0.2">
      <c r="L103" s="80" t="s">
        <v>199</v>
      </c>
      <c r="M103" s="93" t="s">
        <v>169</v>
      </c>
      <c r="N103" s="93" t="s">
        <v>200</v>
      </c>
      <c r="O103" s="93" t="s">
        <v>201</v>
      </c>
      <c r="P103" s="94" t="s">
        <v>191</v>
      </c>
      <c r="Q103" s="87" t="s">
        <v>202</v>
      </c>
      <c r="Y103" s="300"/>
    </row>
    <row r="104" spans="1:25" ht="15.75" customHeight="1" x14ac:dyDescent="0.2">
      <c r="L104" s="116">
        <f>+U102</f>
        <v>0.23699999999999999</v>
      </c>
      <c r="M104" s="117">
        <f>+Q101</f>
        <v>-31.216851418947758</v>
      </c>
      <c r="N104" s="112">
        <f>+U98</f>
        <v>1.613</v>
      </c>
      <c r="O104" s="118">
        <f>+U101</f>
        <v>8.1000000000000003E-2</v>
      </c>
      <c r="P104" s="119">
        <f>+Q99</f>
        <v>534.09395973154358</v>
      </c>
      <c r="Q104" s="78">
        <f>M104+(P104-M104)*(L104-O104)/(N104-O104)</f>
        <v>26.347434833974322</v>
      </c>
      <c r="T104" s="121"/>
      <c r="Y104" s="300"/>
    </row>
    <row r="105" spans="1:25" ht="15.75" customHeight="1" x14ac:dyDescent="0.2">
      <c r="Y105" s="301"/>
    </row>
    <row r="106" spans="1:25" ht="15.75" customHeight="1" x14ac:dyDescent="0.25">
      <c r="A106" s="345"/>
      <c r="B106" s="297"/>
      <c r="C106" s="297"/>
      <c r="D106" s="297"/>
      <c r="E106" s="297"/>
      <c r="F106" s="297"/>
      <c r="G106" s="297"/>
      <c r="H106" s="297"/>
      <c r="I106" s="297"/>
      <c r="J106" s="297"/>
      <c r="K106" s="297"/>
      <c r="L106" s="297"/>
      <c r="M106" s="297"/>
      <c r="N106" s="297"/>
      <c r="O106" s="297"/>
      <c r="P106" s="297"/>
      <c r="Q106" s="297"/>
      <c r="R106" s="297"/>
      <c r="S106" s="297"/>
      <c r="T106" s="297"/>
      <c r="U106" s="297"/>
      <c r="V106" s="297"/>
      <c r="W106" s="297"/>
      <c r="X106" s="297"/>
      <c r="Y106" s="298"/>
    </row>
    <row r="107" spans="1:25" ht="15.75" customHeight="1" x14ac:dyDescent="0.2"/>
    <row r="108" spans="1:25" ht="15.75" customHeight="1" x14ac:dyDescent="0.25">
      <c r="A108" s="345"/>
      <c r="B108" s="297"/>
      <c r="C108" s="297"/>
      <c r="D108" s="297"/>
      <c r="E108" s="297"/>
      <c r="F108" s="297"/>
      <c r="G108" s="297"/>
      <c r="H108" s="297"/>
      <c r="I108" s="297"/>
      <c r="J108" s="297"/>
      <c r="K108" s="297"/>
      <c r="L108" s="297"/>
      <c r="M108" s="297"/>
      <c r="N108" s="297"/>
      <c r="O108" s="297"/>
      <c r="P108" s="297"/>
      <c r="Q108" s="297"/>
      <c r="R108" s="297"/>
      <c r="S108" s="297"/>
      <c r="T108" s="297"/>
      <c r="U108" s="297"/>
      <c r="V108" s="297"/>
      <c r="W108" s="297"/>
      <c r="X108" s="297"/>
      <c r="Y108" s="298"/>
    </row>
    <row r="109" spans="1:25" ht="15.75" customHeight="1" x14ac:dyDescent="0.2">
      <c r="Y109" s="346"/>
    </row>
    <row r="110" spans="1:25" ht="15.75" customHeight="1" x14ac:dyDescent="0.3">
      <c r="A110" s="161" t="s">
        <v>353</v>
      </c>
      <c r="B110" s="163" t="s">
        <v>1024</v>
      </c>
      <c r="Y110" s="300"/>
    </row>
    <row r="111" spans="1:25" ht="15.75" customHeight="1" x14ac:dyDescent="0.3">
      <c r="A111" s="164" t="s">
        <v>360</v>
      </c>
      <c r="B111" s="165">
        <v>43236</v>
      </c>
      <c r="Y111" s="300"/>
    </row>
    <row r="112" spans="1:25" ht="15.75" customHeight="1" x14ac:dyDescent="0.3">
      <c r="L112" s="320" t="s">
        <v>153</v>
      </c>
      <c r="M112" s="297"/>
      <c r="N112" s="297"/>
      <c r="O112" s="297"/>
      <c r="P112" s="297"/>
      <c r="Q112" s="298"/>
      <c r="S112" s="321" t="s">
        <v>154</v>
      </c>
      <c r="T112" s="322"/>
      <c r="U112" s="322"/>
      <c r="V112" s="322"/>
      <c r="W112" s="323"/>
      <c r="Y112" s="300"/>
    </row>
    <row r="113" spans="1:25" ht="15.75" customHeight="1" x14ac:dyDescent="0.2">
      <c r="A113" s="156" t="s">
        <v>0</v>
      </c>
      <c r="B113" s="157" t="s">
        <v>1</v>
      </c>
      <c r="C113" s="157" t="s">
        <v>42</v>
      </c>
      <c r="D113" s="157" t="s">
        <v>43</v>
      </c>
      <c r="E113" s="157" t="s">
        <v>44</v>
      </c>
      <c r="G113" s="296" t="s">
        <v>45</v>
      </c>
      <c r="H113" s="297"/>
      <c r="I113" s="297"/>
      <c r="J113" s="298"/>
      <c r="L113" s="311" t="s">
        <v>157</v>
      </c>
      <c r="M113" s="312"/>
      <c r="N113" s="312"/>
      <c r="O113" s="312"/>
      <c r="P113" s="312"/>
      <c r="Q113" s="313"/>
      <c r="S113" s="325" t="s">
        <v>157</v>
      </c>
      <c r="T113" s="297"/>
      <c r="U113" s="297"/>
      <c r="V113" s="297"/>
      <c r="W113" s="298"/>
      <c r="Y113" s="300"/>
    </row>
    <row r="114" spans="1:25" ht="15.75" customHeight="1" x14ac:dyDescent="0.2">
      <c r="A114" s="363" t="s">
        <v>8</v>
      </c>
      <c r="B114" s="297"/>
      <c r="C114" s="297"/>
      <c r="D114" s="297"/>
      <c r="E114" s="298"/>
      <c r="G114" s="305" t="s">
        <v>10</v>
      </c>
      <c r="H114" s="297"/>
      <c r="I114" s="297"/>
      <c r="J114" s="298"/>
      <c r="L114" s="317"/>
      <c r="M114" s="318"/>
      <c r="N114" s="318"/>
      <c r="O114" s="318"/>
      <c r="P114" s="318"/>
      <c r="Q114" s="319"/>
      <c r="S114" s="58" t="s">
        <v>160</v>
      </c>
      <c r="T114" s="59" t="s">
        <v>161</v>
      </c>
      <c r="U114" s="59" t="s">
        <v>162</v>
      </c>
      <c r="V114" s="61" t="s">
        <v>163</v>
      </c>
      <c r="W114" s="62" t="s">
        <v>165</v>
      </c>
      <c r="Y114" s="300"/>
    </row>
    <row r="115" spans="1:25" ht="15.75" customHeight="1" x14ac:dyDescent="0.25">
      <c r="A115" s="9" t="s">
        <v>11</v>
      </c>
      <c r="B115" s="9" t="s">
        <v>12</v>
      </c>
      <c r="C115" s="11">
        <v>520</v>
      </c>
      <c r="D115" s="22">
        <v>519</v>
      </c>
      <c r="E115" s="11">
        <v>500</v>
      </c>
      <c r="G115" s="12"/>
      <c r="H115" s="12" t="s">
        <v>52</v>
      </c>
      <c r="I115" s="12" t="s">
        <v>53</v>
      </c>
      <c r="J115" s="12"/>
      <c r="L115" s="63" t="s">
        <v>168</v>
      </c>
      <c r="M115" s="64" t="s">
        <v>169</v>
      </c>
      <c r="N115" s="64" t="s">
        <v>171</v>
      </c>
      <c r="O115" s="64" t="s">
        <v>172</v>
      </c>
      <c r="P115" s="65" t="s">
        <v>173</v>
      </c>
      <c r="Q115" s="66" t="s">
        <v>175</v>
      </c>
      <c r="S115" s="63" t="s">
        <v>176</v>
      </c>
      <c r="T115" s="67">
        <v>0.52</v>
      </c>
      <c r="U115" s="68">
        <v>2.4870000000000001</v>
      </c>
      <c r="V115" s="70">
        <f t="shared" ref="V115:V119" si="3">+U115/T115</f>
        <v>4.782692307692308</v>
      </c>
      <c r="W115" s="72"/>
      <c r="Y115" s="300"/>
    </row>
    <row r="116" spans="1:25" ht="15.75" customHeight="1" x14ac:dyDescent="0.25">
      <c r="A116" s="9" t="s">
        <v>11</v>
      </c>
      <c r="B116" s="12" t="s">
        <v>18</v>
      </c>
      <c r="C116" s="11">
        <v>0</v>
      </c>
      <c r="D116" s="22">
        <v>0</v>
      </c>
      <c r="E116" s="11">
        <v>0</v>
      </c>
      <c r="G116" s="12" t="s">
        <v>12</v>
      </c>
      <c r="H116" s="17">
        <v>520</v>
      </c>
      <c r="I116" s="11">
        <v>500</v>
      </c>
      <c r="J116" s="17" t="s">
        <v>1059</v>
      </c>
      <c r="L116" s="73">
        <v>440</v>
      </c>
      <c r="M116" s="74">
        <v>73</v>
      </c>
      <c r="N116" s="74">
        <f>+U115</f>
        <v>2.4870000000000001</v>
      </c>
      <c r="O116" s="76">
        <f>+U118</f>
        <v>0</v>
      </c>
      <c r="P116" s="77">
        <f>+U116</f>
        <v>2.0430000000000001</v>
      </c>
      <c r="Q116" s="78">
        <f>(L116-M116)*(N116-O116)/(P116-O116)+M116</f>
        <v>519.75917767988244</v>
      </c>
      <c r="S116" s="80" t="s">
        <v>188</v>
      </c>
      <c r="T116" s="74">
        <v>0.46</v>
      </c>
      <c r="U116" s="82">
        <v>2.0430000000000001</v>
      </c>
      <c r="V116" s="84">
        <f t="shared" si="3"/>
        <v>4.4413043478260867</v>
      </c>
      <c r="W116" s="86">
        <f>(U116-U118)/(U115-U118)</f>
        <v>0.8214716525934862</v>
      </c>
      <c r="Y116" s="300"/>
    </row>
    <row r="117" spans="1:25" ht="15.75" customHeight="1" x14ac:dyDescent="0.25">
      <c r="A117" s="9" t="s">
        <v>21</v>
      </c>
      <c r="B117" s="12" t="s">
        <v>59</v>
      </c>
      <c r="C117" s="11">
        <v>440</v>
      </c>
      <c r="D117" s="22">
        <v>470</v>
      </c>
      <c r="E117" s="11">
        <v>448</v>
      </c>
      <c r="G117" s="12" t="s">
        <v>18</v>
      </c>
      <c r="H117" s="17">
        <v>0</v>
      </c>
      <c r="I117" s="11">
        <v>0</v>
      </c>
      <c r="J117" s="17" t="s">
        <v>1060</v>
      </c>
      <c r="L117" s="73" t="s">
        <v>168</v>
      </c>
      <c r="M117" s="74" t="s">
        <v>171</v>
      </c>
      <c r="N117" s="74" t="s">
        <v>190</v>
      </c>
      <c r="O117" s="74" t="s">
        <v>191</v>
      </c>
      <c r="P117" s="77" t="s">
        <v>173</v>
      </c>
      <c r="Q117" s="87" t="s">
        <v>192</v>
      </c>
      <c r="S117" s="80" t="s">
        <v>193</v>
      </c>
      <c r="T117" s="74">
        <v>0.24099999999999999</v>
      </c>
      <c r="U117" s="82">
        <v>0.48099999999999998</v>
      </c>
      <c r="V117" s="84">
        <f t="shared" si="3"/>
        <v>1.995850622406639</v>
      </c>
      <c r="W117" s="86">
        <f>(U117-U118)/(U115-U118)</f>
        <v>0.19340570969039</v>
      </c>
      <c r="Y117" s="300"/>
    </row>
    <row r="118" spans="1:25" ht="15.75" customHeight="1" x14ac:dyDescent="0.25">
      <c r="A118" s="9" t="s">
        <v>21</v>
      </c>
      <c r="B118" s="12" t="s">
        <v>63</v>
      </c>
      <c r="C118" s="11">
        <v>160</v>
      </c>
      <c r="D118" s="22">
        <v>152</v>
      </c>
      <c r="E118" s="11">
        <v>161</v>
      </c>
      <c r="L118" s="73">
        <v>160</v>
      </c>
      <c r="M118" s="74">
        <f>+U115</f>
        <v>2.4870000000000001</v>
      </c>
      <c r="N118" s="76">
        <f>+U118</f>
        <v>0</v>
      </c>
      <c r="O118" s="89">
        <f>+Q116</f>
        <v>519.75917767988244</v>
      </c>
      <c r="P118" s="77">
        <f>+U117</f>
        <v>0.48099999999999998</v>
      </c>
      <c r="Q118" s="90">
        <f>(L118*(M118-N118)-O118*(P118-N118))/(M118-P118)</f>
        <v>73.73670764505313</v>
      </c>
      <c r="S118" s="80" t="s">
        <v>194</v>
      </c>
      <c r="T118" s="74">
        <v>0.16800000000000001</v>
      </c>
      <c r="U118" s="91">
        <v>0</v>
      </c>
      <c r="V118" s="84">
        <f t="shared" si="3"/>
        <v>0</v>
      </c>
      <c r="W118" s="86"/>
      <c r="Y118" s="300"/>
    </row>
    <row r="119" spans="1:25" ht="15.75" customHeight="1" x14ac:dyDescent="0.25">
      <c r="L119" s="80" t="s">
        <v>196</v>
      </c>
      <c r="M119" s="93"/>
      <c r="N119" s="93"/>
      <c r="O119" s="93"/>
      <c r="P119" s="94"/>
      <c r="Q119" s="95"/>
      <c r="S119" s="96" t="s">
        <v>197</v>
      </c>
      <c r="T119" s="97">
        <v>0.192</v>
      </c>
      <c r="U119" s="99">
        <v>0.127</v>
      </c>
      <c r="V119" s="100">
        <f t="shared" si="3"/>
        <v>0.66145833333333337</v>
      </c>
      <c r="W119" s="101">
        <f>+(U119-U118)/(U115-U118)</f>
        <v>5.1065540812223559E-2</v>
      </c>
      <c r="Y119" s="300"/>
    </row>
    <row r="120" spans="1:25" ht="15.75" customHeight="1" x14ac:dyDescent="0.2">
      <c r="L120" s="80" t="s">
        <v>199</v>
      </c>
      <c r="M120" s="93" t="s">
        <v>169</v>
      </c>
      <c r="N120" s="93" t="s">
        <v>200</v>
      </c>
      <c r="O120" s="93" t="s">
        <v>201</v>
      </c>
      <c r="P120" s="94" t="s">
        <v>191</v>
      </c>
      <c r="Q120" s="87" t="s">
        <v>202</v>
      </c>
      <c r="S120" s="311" t="s">
        <v>203</v>
      </c>
      <c r="T120" s="312"/>
      <c r="U120" s="312"/>
      <c r="V120" s="312"/>
      <c r="W120" s="313"/>
      <c r="Y120" s="300"/>
    </row>
    <row r="121" spans="1:25" ht="15.75" customHeight="1" x14ac:dyDescent="0.2">
      <c r="L121" s="102">
        <f>+U119</f>
        <v>0.127</v>
      </c>
      <c r="M121" s="103">
        <f>+Q118</f>
        <v>73.73670764505313</v>
      </c>
      <c r="N121" s="97">
        <f>+U115</f>
        <v>2.4870000000000001</v>
      </c>
      <c r="O121" s="104">
        <f>+U118</f>
        <v>0</v>
      </c>
      <c r="P121" s="105">
        <f>+Q116</f>
        <v>519.75917767988244</v>
      </c>
      <c r="Q121" s="106">
        <f>M121+(P121-M121)*(L121-O121)/(N121-O121)</f>
        <v>96.51308629178547</v>
      </c>
      <c r="S121" s="314"/>
      <c r="T121" s="315"/>
      <c r="U121" s="315"/>
      <c r="V121" s="315"/>
      <c r="W121" s="316"/>
      <c r="Y121" s="300"/>
    </row>
    <row r="122" spans="1:25" ht="15.75" customHeight="1" x14ac:dyDescent="0.2">
      <c r="L122" s="311" t="s">
        <v>204</v>
      </c>
      <c r="M122" s="312"/>
      <c r="N122" s="312"/>
      <c r="O122" s="312"/>
      <c r="P122" s="312"/>
      <c r="Q122" s="313"/>
      <c r="S122" s="317"/>
      <c r="T122" s="318"/>
      <c r="U122" s="318"/>
      <c r="V122" s="318"/>
      <c r="W122" s="319"/>
      <c r="Y122" s="300"/>
    </row>
    <row r="123" spans="1:25" ht="15.75" customHeight="1" x14ac:dyDescent="0.2">
      <c r="L123" s="317"/>
      <c r="M123" s="318"/>
      <c r="N123" s="318"/>
      <c r="O123" s="318"/>
      <c r="P123" s="318"/>
      <c r="Q123" s="319"/>
      <c r="S123" s="58" t="s">
        <v>160</v>
      </c>
      <c r="T123" s="59" t="s">
        <v>161</v>
      </c>
      <c r="U123" s="59" t="s">
        <v>162</v>
      </c>
      <c r="V123" s="61" t="s">
        <v>163</v>
      </c>
      <c r="W123" s="62" t="s">
        <v>165</v>
      </c>
      <c r="Y123" s="300"/>
    </row>
    <row r="124" spans="1:25" ht="15.75" customHeight="1" x14ac:dyDescent="0.25">
      <c r="L124" s="63" t="s">
        <v>168</v>
      </c>
      <c r="M124" s="64" t="s">
        <v>169</v>
      </c>
      <c r="N124" s="64" t="s">
        <v>171</v>
      </c>
      <c r="O124" s="64" t="s">
        <v>172</v>
      </c>
      <c r="P124" s="65" t="s">
        <v>173</v>
      </c>
      <c r="Q124" s="66" t="s">
        <v>175</v>
      </c>
      <c r="S124" s="63" t="s">
        <v>176</v>
      </c>
      <c r="T124" s="67">
        <v>0.6</v>
      </c>
      <c r="U124" s="68">
        <v>1.613</v>
      </c>
      <c r="V124" s="70">
        <f t="shared" ref="V124:V128" si="4">+U124/T124</f>
        <v>2.6883333333333335</v>
      </c>
      <c r="W124" s="107"/>
      <c r="Y124" s="300"/>
    </row>
    <row r="125" spans="1:25" ht="15.75" customHeight="1" x14ac:dyDescent="0.25">
      <c r="L125" s="73">
        <v>420</v>
      </c>
      <c r="M125" s="74">
        <v>20</v>
      </c>
      <c r="N125" s="74">
        <f>+U124</f>
        <v>1.613</v>
      </c>
      <c r="O125" s="76">
        <f>+U127</f>
        <v>8.1000000000000003E-2</v>
      </c>
      <c r="P125" s="77">
        <f>+U125</f>
        <v>1.2729999999999999</v>
      </c>
      <c r="Q125" s="108">
        <f>(L125-M125)*(N125-O125)/(P125-O125)+M125</f>
        <v>534.09395973154358</v>
      </c>
      <c r="S125" s="80" t="s">
        <v>188</v>
      </c>
      <c r="T125" s="74">
        <v>0.54900000000000004</v>
      </c>
      <c r="U125" s="82">
        <v>1.2729999999999999</v>
      </c>
      <c r="V125" s="84">
        <f t="shared" si="4"/>
        <v>2.3187613843351547</v>
      </c>
      <c r="W125" s="86">
        <f>(U125-U127)/(U124-U127)</f>
        <v>0.77806788511749347</v>
      </c>
      <c r="Y125" s="300"/>
    </row>
    <row r="126" spans="1:25" ht="15.75" customHeight="1" x14ac:dyDescent="0.25">
      <c r="L126" s="73" t="s">
        <v>168</v>
      </c>
      <c r="M126" s="74" t="s">
        <v>171</v>
      </c>
      <c r="N126" s="74" t="s">
        <v>190</v>
      </c>
      <c r="O126" s="74" t="s">
        <v>191</v>
      </c>
      <c r="P126" s="77" t="s">
        <v>173</v>
      </c>
      <c r="Q126" s="87" t="s">
        <v>192</v>
      </c>
      <c r="S126" s="80" t="s">
        <v>193</v>
      </c>
      <c r="T126" s="74">
        <v>0.443</v>
      </c>
      <c r="U126" s="91">
        <v>0.54500000000000004</v>
      </c>
      <c r="V126" s="84">
        <f t="shared" si="4"/>
        <v>1.2302483069977428</v>
      </c>
      <c r="W126" s="86">
        <f>(U126-U127)/(U124-U127)</f>
        <v>0.30287206266318539</v>
      </c>
      <c r="Y126" s="300"/>
    </row>
    <row r="127" spans="1:25" ht="15.75" customHeight="1" x14ac:dyDescent="0.25">
      <c r="L127" s="73">
        <v>140</v>
      </c>
      <c r="M127" s="74">
        <f>+U124</f>
        <v>1.613</v>
      </c>
      <c r="N127" s="76">
        <f>+U127</f>
        <v>8.1000000000000003E-2</v>
      </c>
      <c r="O127" s="74">
        <f>+Q125</f>
        <v>534.09395973154358</v>
      </c>
      <c r="P127" s="109">
        <f>+U126</f>
        <v>0.54500000000000004</v>
      </c>
      <c r="Q127" s="78">
        <f>(L127*(M127-N127)-O127*(P127-N127))/(M127-P127)</f>
        <v>-31.216851418947758</v>
      </c>
      <c r="S127" s="80" t="s">
        <v>194</v>
      </c>
      <c r="T127" s="74">
        <v>0.38</v>
      </c>
      <c r="U127" s="91">
        <v>8.1000000000000003E-2</v>
      </c>
      <c r="V127" s="84">
        <f t="shared" si="4"/>
        <v>0.2131578947368421</v>
      </c>
      <c r="W127" s="86"/>
      <c r="Y127" s="300"/>
    </row>
    <row r="128" spans="1:25" ht="15.75" customHeight="1" x14ac:dyDescent="0.25">
      <c r="L128" s="80" t="s">
        <v>196</v>
      </c>
      <c r="M128" s="93"/>
      <c r="N128" s="93"/>
      <c r="O128" s="93"/>
      <c r="P128" s="94"/>
      <c r="Q128" s="95"/>
      <c r="S128" s="111" t="s">
        <v>197</v>
      </c>
      <c r="T128" s="112">
        <v>0.40600000000000003</v>
      </c>
      <c r="U128" s="113">
        <v>0.23699999999999999</v>
      </c>
      <c r="V128" s="114">
        <f t="shared" si="4"/>
        <v>0.58374384236453192</v>
      </c>
      <c r="W128" s="115">
        <f>+(U128-U127)/(U124-U127)</f>
        <v>0.10182767624020886</v>
      </c>
      <c r="Y128" s="300"/>
    </row>
    <row r="129" spans="1:26" ht="15.75" customHeight="1" x14ac:dyDescent="0.2">
      <c r="L129" s="80" t="s">
        <v>199</v>
      </c>
      <c r="M129" s="93" t="s">
        <v>169</v>
      </c>
      <c r="N129" s="93" t="s">
        <v>200</v>
      </c>
      <c r="O129" s="93" t="s">
        <v>201</v>
      </c>
      <c r="P129" s="94" t="s">
        <v>191</v>
      </c>
      <c r="Q129" s="87" t="s">
        <v>202</v>
      </c>
      <c r="Y129" s="300"/>
    </row>
    <row r="130" spans="1:26" ht="15.75" customHeight="1" x14ac:dyDescent="0.2">
      <c r="L130" s="116">
        <f>+U128</f>
        <v>0.23699999999999999</v>
      </c>
      <c r="M130" s="117">
        <f>+Q127</f>
        <v>-31.216851418947758</v>
      </c>
      <c r="N130" s="112">
        <f>+U124</f>
        <v>1.613</v>
      </c>
      <c r="O130" s="118">
        <f>+U127</f>
        <v>8.1000000000000003E-2</v>
      </c>
      <c r="P130" s="119">
        <f>+Q125</f>
        <v>534.09395973154358</v>
      </c>
      <c r="Q130" s="78">
        <f>M130+(P130-M130)*(L130-O130)/(N130-O130)</f>
        <v>26.347434833974322</v>
      </c>
      <c r="T130" s="121"/>
      <c r="Y130" s="300"/>
    </row>
    <row r="131" spans="1:26" ht="15.75" customHeight="1" x14ac:dyDescent="0.2">
      <c r="Y131" s="301"/>
    </row>
    <row r="132" spans="1:26" ht="15.75" customHeight="1" x14ac:dyDescent="0.25">
      <c r="A132" s="345"/>
      <c r="B132" s="297"/>
      <c r="C132" s="297"/>
      <c r="D132" s="297"/>
      <c r="E132" s="297"/>
      <c r="F132" s="297"/>
      <c r="G132" s="297"/>
      <c r="H132" s="297"/>
      <c r="I132" s="297"/>
      <c r="J132" s="297"/>
      <c r="K132" s="297"/>
      <c r="L132" s="297"/>
      <c r="M132" s="297"/>
      <c r="N132" s="297"/>
      <c r="O132" s="297"/>
      <c r="P132" s="297"/>
      <c r="Q132" s="297"/>
      <c r="R132" s="297"/>
      <c r="S132" s="297"/>
      <c r="T132" s="297"/>
      <c r="U132" s="297"/>
      <c r="V132" s="297"/>
      <c r="W132" s="297"/>
      <c r="X132" s="297"/>
      <c r="Y132" s="298"/>
    </row>
    <row r="133" spans="1:26" ht="15.75" customHeight="1" x14ac:dyDescent="0.2"/>
    <row r="134" spans="1:26" ht="15.75" customHeight="1" x14ac:dyDescent="0.25">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5.75" customHeight="1" x14ac:dyDescent="0.25">
      <c r="A135" s="28" t="s">
        <v>1036</v>
      </c>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5.75" customHeight="1" x14ac:dyDescent="0.25">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5.75" customHeight="1" x14ac:dyDescent="0.2"/>
    <row r="138" spans="1:26" ht="15.75" customHeight="1" x14ac:dyDescent="0.2"/>
    <row r="139" spans="1:26" ht="15.75" customHeight="1" x14ac:dyDescent="0.25">
      <c r="B139" s="304" t="s">
        <v>1069</v>
      </c>
      <c r="C139" s="297"/>
      <c r="D139" s="297"/>
      <c r="E139" s="297"/>
      <c r="F139" s="154"/>
      <c r="G139" s="28"/>
      <c r="H139" s="296" t="s">
        <v>6</v>
      </c>
      <c r="I139" s="297"/>
      <c r="J139" s="297"/>
      <c r="K139" s="297"/>
      <c r="L139" s="297"/>
      <c r="M139" s="298"/>
    </row>
    <row r="140" spans="1:26" ht="15.75" customHeight="1" x14ac:dyDescent="0.25">
      <c r="B140" s="4" t="s">
        <v>0</v>
      </c>
      <c r="C140" s="5" t="s">
        <v>1</v>
      </c>
      <c r="D140" s="5" t="s">
        <v>2</v>
      </c>
      <c r="E140" s="5" t="s">
        <v>43</v>
      </c>
      <c r="F140" s="45" t="s">
        <v>125</v>
      </c>
      <c r="G140" s="28"/>
      <c r="H140" s="296" t="s">
        <v>106</v>
      </c>
      <c r="I140" s="297"/>
      <c r="J140" s="298"/>
      <c r="K140" s="296" t="s">
        <v>107</v>
      </c>
      <c r="L140" s="297"/>
      <c r="M140" s="298"/>
    </row>
    <row r="141" spans="1:26" ht="15.75" customHeight="1" x14ac:dyDescent="0.25">
      <c r="B141" s="9" t="s">
        <v>7</v>
      </c>
      <c r="C141" s="302" t="s">
        <v>9</v>
      </c>
      <c r="D141" s="47">
        <v>28.1</v>
      </c>
      <c r="E141" s="11">
        <v>50</v>
      </c>
      <c r="F141" s="11"/>
      <c r="G141" s="28"/>
      <c r="H141" s="13" t="s">
        <v>13</v>
      </c>
      <c r="I141" s="39">
        <f>I143+I143*0.05</f>
        <v>766.5</v>
      </c>
      <c r="J141" s="17" t="s">
        <v>1071</v>
      </c>
      <c r="K141" s="13" t="s">
        <v>13</v>
      </c>
      <c r="L141" s="39">
        <f>L143+L143*0.05</f>
        <v>0</v>
      </c>
      <c r="M141" s="17" t="s">
        <v>1072</v>
      </c>
    </row>
    <row r="142" spans="1:26" ht="15.75" customHeight="1" x14ac:dyDescent="0.25">
      <c r="B142" s="9" t="s">
        <v>17</v>
      </c>
      <c r="C142" s="300"/>
      <c r="D142" s="47">
        <v>63.911000000000001</v>
      </c>
      <c r="E142" s="11">
        <v>63</v>
      </c>
      <c r="F142" s="11"/>
      <c r="G142" s="28"/>
      <c r="H142" s="13" t="s">
        <v>19</v>
      </c>
      <c r="I142" s="40">
        <f>I143-I143*0.05</f>
        <v>693.5</v>
      </c>
      <c r="J142" s="17" t="s">
        <v>1073</v>
      </c>
      <c r="K142" s="13" t="s">
        <v>19</v>
      </c>
      <c r="L142" s="40">
        <f>L143-L143*0.05</f>
        <v>0</v>
      </c>
      <c r="M142" s="17" t="s">
        <v>1074</v>
      </c>
    </row>
    <row r="143" spans="1:26" ht="15.75" customHeight="1" x14ac:dyDescent="0.25">
      <c r="B143" s="9" t="s">
        <v>26</v>
      </c>
      <c r="C143" s="300"/>
      <c r="D143" s="47">
        <v>69.921999999999997</v>
      </c>
      <c r="E143" s="11">
        <v>65</v>
      </c>
      <c r="F143" s="11"/>
      <c r="G143" s="28"/>
      <c r="H143" s="13" t="s">
        <v>27</v>
      </c>
      <c r="I143" s="20">
        <v>730</v>
      </c>
      <c r="J143" s="17" t="s">
        <v>1076</v>
      </c>
      <c r="K143" s="13" t="s">
        <v>27</v>
      </c>
      <c r="L143" s="182"/>
      <c r="M143" s="17" t="s">
        <v>1077</v>
      </c>
    </row>
    <row r="144" spans="1:26" ht="15.75" customHeight="1" x14ac:dyDescent="0.25">
      <c r="B144" s="9" t="s">
        <v>32</v>
      </c>
      <c r="C144" s="300"/>
      <c r="D144" s="47">
        <v>96.744</v>
      </c>
      <c r="E144" s="11">
        <v>82</v>
      </c>
      <c r="F144" s="11">
        <v>142</v>
      </c>
      <c r="G144" s="28"/>
      <c r="H144" s="13" t="s">
        <v>121</v>
      </c>
      <c r="I144" s="20">
        <v>735</v>
      </c>
      <c r="J144" s="17" t="s">
        <v>1079</v>
      </c>
      <c r="K144" s="13" t="s">
        <v>121</v>
      </c>
      <c r="L144" s="182"/>
      <c r="M144" s="17" t="s">
        <v>1080</v>
      </c>
    </row>
    <row r="145" spans="2:13" ht="15.75" customHeight="1" x14ac:dyDescent="0.25">
      <c r="B145" s="9" t="s">
        <v>33</v>
      </c>
      <c r="C145" s="301"/>
      <c r="D145" s="47">
        <v>128.11000000000001</v>
      </c>
      <c r="E145" s="11">
        <v>130</v>
      </c>
      <c r="F145" s="11">
        <v>268</v>
      </c>
      <c r="G145" s="28"/>
      <c r="H145" s="28"/>
      <c r="I145" s="28"/>
      <c r="J145" s="28"/>
      <c r="K145" s="28"/>
      <c r="L145" s="28"/>
      <c r="M145" s="28"/>
    </row>
    <row r="146" spans="2:13" ht="15.75" customHeight="1" x14ac:dyDescent="0.25">
      <c r="B146" s="41"/>
      <c r="C146" s="42"/>
      <c r="D146" s="42"/>
      <c r="E146" s="11"/>
      <c r="F146" s="11"/>
      <c r="G146" s="28"/>
      <c r="H146" s="3"/>
      <c r="I146" s="28"/>
      <c r="J146" s="28"/>
      <c r="K146" s="28"/>
      <c r="L146" s="28"/>
      <c r="M146" s="28"/>
    </row>
    <row r="147" spans="2:13" ht="15.75" customHeight="1" x14ac:dyDescent="0.25">
      <c r="B147" s="9" t="s">
        <v>35</v>
      </c>
      <c r="C147" s="302" t="s">
        <v>36</v>
      </c>
      <c r="D147" s="47">
        <v>207.78</v>
      </c>
      <c r="E147" s="11">
        <v>286</v>
      </c>
      <c r="F147" s="11">
        <v>203</v>
      </c>
      <c r="G147" s="28"/>
      <c r="H147" s="3"/>
      <c r="I147" s="28"/>
      <c r="J147" s="28"/>
      <c r="K147" s="28"/>
      <c r="L147" s="28"/>
      <c r="M147" s="28"/>
    </row>
    <row r="148" spans="2:13" ht="15.75" customHeight="1" x14ac:dyDescent="0.25">
      <c r="B148" s="9" t="s">
        <v>37</v>
      </c>
      <c r="C148" s="300"/>
      <c r="D148" s="47">
        <v>444.11</v>
      </c>
      <c r="E148" s="11">
        <v>347</v>
      </c>
      <c r="F148" s="11">
        <v>457</v>
      </c>
      <c r="G148" s="28"/>
      <c r="H148" s="3"/>
      <c r="I148" s="28"/>
      <c r="J148" s="28"/>
      <c r="K148" s="28"/>
      <c r="L148" s="28"/>
      <c r="M148" s="28"/>
    </row>
    <row r="149" spans="2:13" ht="15.75" customHeight="1" x14ac:dyDescent="0.25">
      <c r="B149" s="9" t="s">
        <v>38</v>
      </c>
      <c r="C149" s="300"/>
      <c r="D149" s="47">
        <v>579.55999999999995</v>
      </c>
      <c r="E149" s="11">
        <v>466</v>
      </c>
      <c r="F149" s="11">
        <v>533</v>
      </c>
      <c r="G149" s="28"/>
      <c r="H149" s="3"/>
      <c r="I149" s="28"/>
      <c r="J149" s="28"/>
      <c r="K149" s="28"/>
      <c r="L149" s="28"/>
      <c r="M149" s="28"/>
    </row>
    <row r="150" spans="2:13" ht="15.75" customHeight="1" x14ac:dyDescent="0.25">
      <c r="B150" s="9" t="s">
        <v>39</v>
      </c>
      <c r="C150" s="300"/>
      <c r="D150" s="47">
        <v>746.22</v>
      </c>
      <c r="E150" s="11">
        <v>782</v>
      </c>
      <c r="F150" s="11">
        <v>729</v>
      </c>
      <c r="G150" s="28"/>
      <c r="H150" s="3"/>
      <c r="I150" s="28"/>
      <c r="J150" s="28"/>
      <c r="K150" s="28"/>
      <c r="L150" s="28"/>
      <c r="M150" s="28"/>
    </row>
    <row r="151" spans="2:13" ht="15.75" customHeight="1" x14ac:dyDescent="0.25">
      <c r="B151" s="49" t="s">
        <v>41</v>
      </c>
      <c r="C151" s="300"/>
      <c r="D151" s="50">
        <v>869.5</v>
      </c>
      <c r="E151" s="51">
        <v>817</v>
      </c>
      <c r="F151" s="51">
        <v>784</v>
      </c>
      <c r="G151" s="28"/>
      <c r="H151" s="3"/>
      <c r="I151" s="28"/>
      <c r="J151" s="28"/>
      <c r="K151" s="28"/>
      <c r="L151" s="28"/>
      <c r="M151" s="28"/>
    </row>
    <row r="152" spans="2:13" ht="15.75" customHeight="1" x14ac:dyDescent="0.25">
      <c r="B152" s="79"/>
      <c r="C152" s="81"/>
      <c r="D152" s="81"/>
      <c r="E152" s="81"/>
      <c r="F152" s="81"/>
      <c r="G152" s="28"/>
      <c r="H152" s="3"/>
      <c r="I152" s="28"/>
      <c r="J152" s="28"/>
      <c r="K152" s="28"/>
      <c r="L152" s="28"/>
      <c r="M152" s="28"/>
    </row>
    <row r="153" spans="2:13" ht="15.75" customHeight="1" x14ac:dyDescent="0.25">
      <c r="B153" s="9" t="s">
        <v>46</v>
      </c>
      <c r="C153" s="299" t="s">
        <v>47</v>
      </c>
      <c r="D153" s="47">
        <v>88.4</v>
      </c>
      <c r="E153" s="11">
        <v>91</v>
      </c>
      <c r="F153" s="11">
        <v>103</v>
      </c>
      <c r="G153" s="28"/>
      <c r="H153" s="3"/>
      <c r="I153" s="28"/>
      <c r="J153" s="28"/>
      <c r="K153" s="28"/>
      <c r="L153" s="28"/>
      <c r="M153" s="28"/>
    </row>
    <row r="154" spans="2:13" ht="15.75" customHeight="1" x14ac:dyDescent="0.25">
      <c r="B154" s="9" t="s">
        <v>48</v>
      </c>
      <c r="C154" s="300"/>
      <c r="D154" s="47">
        <v>94.6</v>
      </c>
      <c r="E154" s="11">
        <v>95</v>
      </c>
      <c r="F154" s="11">
        <v>99</v>
      </c>
      <c r="G154" s="28"/>
      <c r="H154" s="3"/>
      <c r="I154" s="28"/>
      <c r="J154" s="28"/>
      <c r="K154" s="28"/>
      <c r="L154" s="28"/>
      <c r="M154" s="28"/>
    </row>
    <row r="155" spans="2:13" ht="15.75" customHeight="1" x14ac:dyDescent="0.25">
      <c r="B155" s="41"/>
      <c r="C155" s="42"/>
      <c r="D155" s="69"/>
      <c r="E155" s="11"/>
      <c r="F155" s="11"/>
      <c r="G155" s="28"/>
      <c r="H155" s="3"/>
      <c r="I155" s="28"/>
      <c r="J155" s="28"/>
      <c r="K155" s="28"/>
      <c r="L155" s="28"/>
      <c r="M155" s="28"/>
    </row>
    <row r="156" spans="2:13" ht="15.75" customHeight="1" x14ac:dyDescent="0.25">
      <c r="B156" s="9" t="s">
        <v>50</v>
      </c>
      <c r="C156" s="302" t="s">
        <v>51</v>
      </c>
      <c r="D156" s="47">
        <v>271.44400000000002</v>
      </c>
      <c r="E156" s="11">
        <v>404</v>
      </c>
      <c r="F156" s="11">
        <v>300</v>
      </c>
      <c r="G156" s="28"/>
      <c r="H156" s="3"/>
      <c r="I156" s="28"/>
      <c r="J156" s="28"/>
      <c r="K156" s="28"/>
      <c r="L156" s="28"/>
      <c r="M156" s="28"/>
    </row>
    <row r="157" spans="2:13" ht="15.75" customHeight="1" x14ac:dyDescent="0.25">
      <c r="B157" s="9" t="s">
        <v>54</v>
      </c>
      <c r="C157" s="300"/>
      <c r="D157" s="47">
        <v>550.22199999999998</v>
      </c>
      <c r="E157" s="11">
        <v>448</v>
      </c>
      <c r="F157" s="11">
        <v>573</v>
      </c>
      <c r="G157" s="28"/>
      <c r="H157" s="3"/>
      <c r="I157" s="28"/>
      <c r="J157" s="28"/>
      <c r="K157" s="28"/>
      <c r="L157" s="28"/>
      <c r="M157" s="28"/>
    </row>
    <row r="158" spans="2:13" ht="15.75" customHeight="1" x14ac:dyDescent="0.25">
      <c r="B158" s="9" t="s">
        <v>55</v>
      </c>
      <c r="C158" s="300"/>
      <c r="D158" s="47">
        <v>609</v>
      </c>
      <c r="E158" s="11">
        <v>645</v>
      </c>
      <c r="F158" s="11">
        <v>604</v>
      </c>
      <c r="G158" s="28"/>
      <c r="H158" s="3"/>
      <c r="I158" s="28"/>
      <c r="J158" s="28"/>
      <c r="K158" s="28"/>
      <c r="L158" s="28"/>
      <c r="M158" s="28"/>
    </row>
    <row r="159" spans="2:13" ht="15.75" customHeight="1" x14ac:dyDescent="0.25">
      <c r="B159" s="9" t="s">
        <v>56</v>
      </c>
      <c r="C159" s="300"/>
      <c r="D159" s="47">
        <v>739.11099999999999</v>
      </c>
      <c r="E159" s="11">
        <v>552</v>
      </c>
      <c r="F159" s="11">
        <v>763</v>
      </c>
      <c r="G159" s="28"/>
      <c r="H159" s="3"/>
      <c r="I159" s="28"/>
      <c r="J159" s="28"/>
      <c r="K159" s="28"/>
      <c r="L159" s="28"/>
      <c r="M159" s="28"/>
    </row>
    <row r="160" spans="2:13" ht="15.75" customHeight="1" x14ac:dyDescent="0.25">
      <c r="B160" s="49" t="s">
        <v>57</v>
      </c>
      <c r="C160" s="300"/>
      <c r="D160" s="50">
        <v>746.88900000000001</v>
      </c>
      <c r="E160" s="51">
        <v>809</v>
      </c>
      <c r="F160" s="51">
        <v>633</v>
      </c>
      <c r="G160" s="28"/>
      <c r="H160" s="28"/>
      <c r="I160" s="28"/>
      <c r="J160" s="28"/>
      <c r="K160" s="28"/>
      <c r="L160" s="28"/>
      <c r="M160" s="28"/>
    </row>
    <row r="161" spans="2:13" ht="15.75" customHeight="1" x14ac:dyDescent="0.25">
      <c r="B161" s="79"/>
      <c r="C161" s="81"/>
      <c r="D161" s="81"/>
      <c r="E161" s="81"/>
      <c r="F161" s="81"/>
      <c r="G161" s="28"/>
      <c r="H161" s="28"/>
      <c r="I161" s="28"/>
      <c r="J161" s="28"/>
      <c r="K161" s="28"/>
      <c r="L161" s="28"/>
      <c r="M161" s="28"/>
    </row>
    <row r="162" spans="2:13" ht="15.75" customHeight="1" x14ac:dyDescent="0.25">
      <c r="B162" s="9" t="s">
        <v>60</v>
      </c>
      <c r="C162" s="299" t="s">
        <v>62</v>
      </c>
      <c r="D162" s="47">
        <v>19.36</v>
      </c>
      <c r="E162" s="11">
        <v>22</v>
      </c>
      <c r="F162" s="11"/>
      <c r="G162" s="28"/>
      <c r="H162" s="28"/>
      <c r="I162" s="28"/>
      <c r="J162" s="28"/>
      <c r="K162" s="28"/>
      <c r="L162" s="28"/>
      <c r="M162" s="28"/>
    </row>
    <row r="163" spans="2:13" ht="15.75" customHeight="1" x14ac:dyDescent="0.25">
      <c r="B163" s="9" t="s">
        <v>64</v>
      </c>
      <c r="C163" s="300"/>
      <c r="D163" s="47">
        <v>33.31</v>
      </c>
      <c r="E163" s="11">
        <v>37</v>
      </c>
      <c r="F163" s="11"/>
      <c r="G163" s="28"/>
      <c r="H163" s="28"/>
      <c r="I163" s="28"/>
      <c r="J163" s="28"/>
      <c r="K163" s="28"/>
      <c r="L163" s="28"/>
      <c r="M163" s="28"/>
    </row>
    <row r="164" spans="2:13" ht="15.75" customHeight="1" x14ac:dyDescent="0.25">
      <c r="B164" s="9" t="s">
        <v>65</v>
      </c>
      <c r="C164" s="301"/>
      <c r="D164" s="47">
        <v>41.74</v>
      </c>
      <c r="E164" s="11">
        <v>40</v>
      </c>
      <c r="F164" s="11"/>
      <c r="G164" s="28"/>
      <c r="H164" s="28"/>
      <c r="I164" s="28"/>
      <c r="J164" s="28"/>
      <c r="K164" s="28"/>
      <c r="L164" s="28"/>
      <c r="M164" s="28"/>
    </row>
    <row r="165" spans="2:13" ht="15.75" customHeight="1" x14ac:dyDescent="0.25">
      <c r="B165" s="41"/>
      <c r="C165" s="42"/>
      <c r="D165" s="69"/>
      <c r="E165" s="11"/>
      <c r="F165" s="11"/>
      <c r="G165" s="28"/>
      <c r="H165" s="28"/>
      <c r="I165" s="28"/>
      <c r="J165" s="28"/>
      <c r="K165" s="28"/>
      <c r="L165" s="28"/>
      <c r="M165" s="28"/>
    </row>
    <row r="166" spans="2:13" ht="15.75" customHeight="1" x14ac:dyDescent="0.25">
      <c r="B166" s="9" t="s">
        <v>66</v>
      </c>
      <c r="C166" s="302" t="s">
        <v>68</v>
      </c>
      <c r="D166" s="47">
        <v>204.5</v>
      </c>
      <c r="E166" s="11">
        <v>226</v>
      </c>
      <c r="F166" s="11"/>
      <c r="G166" s="28"/>
      <c r="H166" s="3"/>
      <c r="I166" s="28"/>
      <c r="J166" s="28"/>
      <c r="K166" s="28"/>
      <c r="L166" s="28"/>
      <c r="M166" s="28"/>
    </row>
    <row r="167" spans="2:13" ht="15.75" customHeight="1" x14ac:dyDescent="0.25">
      <c r="B167" s="49" t="s">
        <v>69</v>
      </c>
      <c r="C167" s="300"/>
      <c r="D167" s="50">
        <v>277.7</v>
      </c>
      <c r="E167" s="51">
        <v>290</v>
      </c>
      <c r="F167" s="51"/>
      <c r="G167" s="28"/>
      <c r="H167" s="3"/>
      <c r="I167" s="28"/>
      <c r="J167" s="28"/>
      <c r="K167" s="28"/>
      <c r="L167" s="28"/>
      <c r="M167" s="28"/>
    </row>
    <row r="168" spans="2:13" ht="15.75" customHeight="1" x14ac:dyDescent="0.25">
      <c r="B168" s="44"/>
      <c r="C168" s="46"/>
      <c r="D168" s="46"/>
      <c r="E168" s="46"/>
      <c r="F168" s="46"/>
      <c r="G168" s="28"/>
      <c r="H168" s="3"/>
      <c r="I168" s="28"/>
      <c r="J168" s="28"/>
      <c r="K168" s="28"/>
      <c r="L168" s="28"/>
      <c r="M168" s="28"/>
    </row>
    <row r="169" spans="2:13" ht="15.75" customHeight="1" x14ac:dyDescent="0.25">
      <c r="B169" s="9" t="s">
        <v>69</v>
      </c>
      <c r="C169" s="299" t="s">
        <v>71</v>
      </c>
      <c r="D169" s="47">
        <v>10.283300000000001</v>
      </c>
      <c r="E169" s="11">
        <v>9</v>
      </c>
      <c r="F169" s="11"/>
      <c r="G169" s="28"/>
      <c r="H169" s="3"/>
      <c r="I169" s="28"/>
      <c r="J169" s="28"/>
      <c r="K169" s="28"/>
      <c r="L169" s="28"/>
      <c r="M169" s="28"/>
    </row>
    <row r="170" spans="2:13" ht="15.75" customHeight="1" x14ac:dyDescent="0.25">
      <c r="B170" s="9" t="s">
        <v>72</v>
      </c>
      <c r="C170" s="300"/>
      <c r="D170" s="47">
        <v>11.8833</v>
      </c>
      <c r="E170" s="11">
        <v>12</v>
      </c>
      <c r="F170" s="11"/>
      <c r="G170" s="28"/>
      <c r="H170" s="3"/>
      <c r="I170" s="28"/>
      <c r="J170" s="28"/>
      <c r="K170" s="28"/>
      <c r="L170" s="28"/>
      <c r="M170" s="28"/>
    </row>
    <row r="171" spans="2:13" ht="15.75" customHeight="1" x14ac:dyDescent="0.25">
      <c r="B171" s="9" t="s">
        <v>73</v>
      </c>
      <c r="C171" s="301"/>
      <c r="D171" s="47">
        <v>17.433299999999999</v>
      </c>
      <c r="E171" s="11">
        <v>16</v>
      </c>
      <c r="F171" s="11"/>
      <c r="G171" s="28"/>
      <c r="H171" s="3"/>
      <c r="I171" s="28"/>
      <c r="J171" s="28"/>
      <c r="K171" s="28"/>
      <c r="L171" s="28"/>
      <c r="M171" s="28"/>
    </row>
    <row r="172" spans="2:13" ht="15.75" customHeight="1" x14ac:dyDescent="0.25">
      <c r="B172" s="41"/>
      <c r="C172" s="42"/>
      <c r="D172" s="69"/>
      <c r="E172" s="11"/>
      <c r="F172" s="11"/>
      <c r="G172" s="28"/>
      <c r="H172" s="3"/>
      <c r="I172" s="28"/>
      <c r="J172" s="28"/>
      <c r="K172" s="28"/>
      <c r="L172" s="28"/>
      <c r="M172" s="28"/>
    </row>
    <row r="173" spans="2:13" ht="15.75" customHeight="1" x14ac:dyDescent="0.25">
      <c r="B173" s="9" t="s">
        <v>76</v>
      </c>
      <c r="C173" s="302" t="s">
        <v>77</v>
      </c>
      <c r="D173" s="47">
        <v>117.467</v>
      </c>
      <c r="E173" s="11">
        <v>140</v>
      </c>
      <c r="F173" s="11"/>
      <c r="G173" s="28"/>
      <c r="H173" s="3"/>
      <c r="I173" s="28"/>
      <c r="J173" s="28"/>
      <c r="K173" s="28"/>
      <c r="L173" s="28"/>
      <c r="M173" s="28"/>
    </row>
    <row r="174" spans="2:13" ht="15.75" customHeight="1" x14ac:dyDescent="0.25">
      <c r="B174" s="9" t="s">
        <v>78</v>
      </c>
      <c r="C174" s="300"/>
      <c r="D174" s="47">
        <v>187.833</v>
      </c>
      <c r="E174" s="11">
        <v>162</v>
      </c>
      <c r="F174" s="11"/>
      <c r="G174" s="28"/>
      <c r="H174" s="3"/>
      <c r="I174" s="28"/>
      <c r="J174" s="28"/>
      <c r="K174" s="28"/>
      <c r="L174" s="28"/>
      <c r="M174" s="28"/>
    </row>
    <row r="175" spans="2:13" ht="15.75" customHeight="1" x14ac:dyDescent="0.25">
      <c r="B175" s="9" t="s">
        <v>79</v>
      </c>
      <c r="C175" s="300"/>
      <c r="D175" s="47">
        <v>218.333</v>
      </c>
      <c r="E175" s="11">
        <v>194</v>
      </c>
      <c r="F175" s="11"/>
      <c r="G175" s="28"/>
      <c r="H175" s="3"/>
      <c r="I175" s="28"/>
      <c r="J175" s="28"/>
      <c r="K175" s="28"/>
      <c r="L175" s="28"/>
      <c r="M175" s="28"/>
    </row>
    <row r="176" spans="2:13" ht="15.75" customHeight="1" x14ac:dyDescent="0.25">
      <c r="B176" s="49" t="s">
        <v>80</v>
      </c>
      <c r="C176" s="300"/>
      <c r="D176" s="50">
        <v>238.5</v>
      </c>
      <c r="E176" s="51">
        <v>248</v>
      </c>
      <c r="F176" s="51"/>
      <c r="G176" s="28"/>
      <c r="H176" s="3"/>
      <c r="I176" s="28"/>
      <c r="J176" s="28"/>
      <c r="K176" s="28"/>
      <c r="L176" s="28"/>
      <c r="M176" s="28"/>
    </row>
    <row r="177" spans="2:13" ht="15.75" customHeight="1" x14ac:dyDescent="0.25">
      <c r="B177" s="44"/>
      <c r="C177" s="46"/>
      <c r="D177" s="46"/>
      <c r="E177" s="46"/>
      <c r="F177" s="46"/>
      <c r="G177" s="28"/>
      <c r="H177" s="3"/>
      <c r="I177" s="28"/>
      <c r="J177" s="28"/>
      <c r="K177" s="28"/>
      <c r="L177" s="28"/>
      <c r="M177" s="28"/>
    </row>
    <row r="178" spans="2:13" ht="15.75" customHeight="1" x14ac:dyDescent="0.25">
      <c r="B178" s="9" t="s">
        <v>81</v>
      </c>
      <c r="C178" s="299" t="s">
        <v>82</v>
      </c>
      <c r="D178" s="11">
        <v>2</v>
      </c>
      <c r="E178" s="11">
        <v>4</v>
      </c>
      <c r="F178" s="11">
        <v>2</v>
      </c>
      <c r="G178" s="28"/>
      <c r="H178" s="3"/>
      <c r="I178" s="28"/>
      <c r="J178" s="28"/>
      <c r="K178" s="28"/>
      <c r="L178" s="28"/>
      <c r="M178" s="28"/>
    </row>
    <row r="179" spans="2:13" ht="15.75" customHeight="1" x14ac:dyDescent="0.25">
      <c r="B179" s="9" t="s">
        <v>83</v>
      </c>
      <c r="C179" s="300"/>
      <c r="D179" s="47">
        <v>7.133</v>
      </c>
      <c r="E179" s="11">
        <v>11</v>
      </c>
      <c r="F179" s="11">
        <v>7</v>
      </c>
      <c r="G179" s="28"/>
      <c r="H179" s="3"/>
      <c r="I179" s="28"/>
      <c r="J179" s="28"/>
      <c r="K179" s="28"/>
      <c r="L179" s="28"/>
      <c r="M179" s="28"/>
    </row>
    <row r="180" spans="2:13" ht="15.75" customHeight="1" x14ac:dyDescent="0.25">
      <c r="B180" s="9" t="s">
        <v>84</v>
      </c>
      <c r="C180" s="301"/>
      <c r="D180" s="47">
        <v>10.72</v>
      </c>
      <c r="E180" s="11">
        <v>10</v>
      </c>
      <c r="F180" s="11">
        <v>5</v>
      </c>
      <c r="G180" s="28"/>
      <c r="H180" s="3"/>
      <c r="I180" s="28"/>
      <c r="J180" s="28"/>
      <c r="K180" s="28"/>
      <c r="L180" s="28"/>
      <c r="M180" s="28"/>
    </row>
    <row r="181" spans="2:13" ht="15.75" customHeight="1" x14ac:dyDescent="0.25">
      <c r="B181" s="41"/>
      <c r="C181" s="42"/>
      <c r="D181" s="69"/>
      <c r="E181" s="11"/>
      <c r="F181" s="11"/>
      <c r="G181" s="28"/>
      <c r="H181" s="3"/>
      <c r="I181" s="28"/>
      <c r="J181" s="28"/>
      <c r="K181" s="28"/>
      <c r="L181" s="28"/>
      <c r="M181" s="28"/>
    </row>
    <row r="182" spans="2:13" ht="15.75" customHeight="1" x14ac:dyDescent="0.25">
      <c r="B182" s="9" t="s">
        <v>86</v>
      </c>
      <c r="C182" s="302" t="s">
        <v>87</v>
      </c>
      <c r="D182" s="47">
        <v>20.466999999999999</v>
      </c>
      <c r="E182" s="11">
        <v>21</v>
      </c>
      <c r="F182" s="11">
        <v>10</v>
      </c>
      <c r="G182" s="28"/>
      <c r="H182" s="3"/>
      <c r="I182" s="28"/>
      <c r="J182" s="28"/>
      <c r="K182" s="28"/>
      <c r="L182" s="28"/>
      <c r="M182" s="28"/>
    </row>
    <row r="183" spans="2:13" ht="15.75" customHeight="1" x14ac:dyDescent="0.25">
      <c r="B183" s="49" t="s">
        <v>88</v>
      </c>
      <c r="C183" s="300"/>
      <c r="D183" s="50">
        <v>20.367000000000001</v>
      </c>
      <c r="E183" s="51">
        <v>21</v>
      </c>
      <c r="F183" s="51">
        <v>12</v>
      </c>
      <c r="G183" s="28"/>
      <c r="H183" s="3"/>
      <c r="I183" s="28"/>
      <c r="J183" s="28"/>
      <c r="K183" s="28"/>
      <c r="L183" s="28"/>
      <c r="M183" s="28"/>
    </row>
    <row r="184" spans="2:13" ht="15.75" customHeight="1" x14ac:dyDescent="0.25">
      <c r="B184" s="44"/>
      <c r="C184" s="46"/>
      <c r="D184" s="46"/>
      <c r="E184" s="46"/>
      <c r="F184" s="46"/>
      <c r="G184" s="28"/>
      <c r="H184" s="3"/>
      <c r="I184" s="28"/>
      <c r="J184" s="28"/>
      <c r="K184" s="28"/>
      <c r="L184" s="28"/>
      <c r="M184" s="28"/>
    </row>
    <row r="185" spans="2:13" ht="15.75" customHeight="1" x14ac:dyDescent="0.25">
      <c r="B185" s="9" t="s">
        <v>89</v>
      </c>
      <c r="C185" s="299" t="s">
        <v>90</v>
      </c>
      <c r="D185" s="47">
        <v>5.15</v>
      </c>
      <c r="E185" s="11">
        <v>8</v>
      </c>
      <c r="F185" s="11"/>
      <c r="G185" s="28"/>
      <c r="H185" s="3"/>
      <c r="I185" s="28"/>
      <c r="J185" s="28"/>
      <c r="K185" s="28"/>
      <c r="L185" s="28"/>
      <c r="M185" s="28"/>
    </row>
    <row r="186" spans="2:13" ht="15.75" customHeight="1" x14ac:dyDescent="0.25">
      <c r="B186" s="49" t="s">
        <v>91</v>
      </c>
      <c r="C186" s="300"/>
      <c r="D186" s="50">
        <v>16.2</v>
      </c>
      <c r="E186" s="51">
        <v>12</v>
      </c>
      <c r="F186" s="51"/>
      <c r="G186" s="28"/>
      <c r="H186" s="3"/>
      <c r="I186" s="28"/>
      <c r="J186" s="28"/>
      <c r="K186" s="28"/>
      <c r="L186" s="28"/>
      <c r="M186" s="28"/>
    </row>
    <row r="187" spans="2:13" ht="15.75" customHeight="1" x14ac:dyDescent="0.25">
      <c r="B187" s="41"/>
      <c r="C187" s="42"/>
      <c r="D187" s="69"/>
      <c r="E187" s="201"/>
      <c r="F187" s="201"/>
      <c r="G187" s="28"/>
      <c r="H187" s="3"/>
      <c r="I187" s="28"/>
      <c r="J187" s="28"/>
      <c r="K187" s="28"/>
      <c r="L187" s="28"/>
      <c r="M187" s="28"/>
    </row>
    <row r="188" spans="2:13" ht="15.75" customHeight="1" x14ac:dyDescent="0.25">
      <c r="B188" s="9" t="s">
        <v>94</v>
      </c>
      <c r="C188" s="299" t="s">
        <v>95</v>
      </c>
      <c r="D188" s="47">
        <v>50.082999999999998</v>
      </c>
      <c r="E188" s="11">
        <v>55</v>
      </c>
      <c r="F188" s="11"/>
      <c r="G188" s="28"/>
      <c r="H188" s="3"/>
      <c r="I188" s="28"/>
      <c r="J188" s="28"/>
      <c r="K188" s="28"/>
      <c r="L188" s="28"/>
      <c r="M188" s="28"/>
    </row>
    <row r="189" spans="2:13" ht="15.75" customHeight="1" x14ac:dyDescent="0.25">
      <c r="B189" s="9" t="s">
        <v>96</v>
      </c>
      <c r="C189" s="300"/>
      <c r="D189" s="47">
        <v>93.992999999999995</v>
      </c>
      <c r="E189" s="11">
        <v>91</v>
      </c>
      <c r="F189" s="11"/>
      <c r="G189" s="28"/>
      <c r="H189" s="3"/>
      <c r="I189" s="28"/>
      <c r="J189" s="28"/>
      <c r="K189" s="28"/>
      <c r="L189" s="28"/>
      <c r="M189" s="28"/>
    </row>
    <row r="190" spans="2:13" ht="15.75" customHeight="1" x14ac:dyDescent="0.25">
      <c r="B190" s="9" t="s">
        <v>97</v>
      </c>
      <c r="C190" s="300"/>
      <c r="D190" s="47">
        <v>95.516999999999996</v>
      </c>
      <c r="E190" s="11">
        <v>101</v>
      </c>
      <c r="F190" s="11"/>
      <c r="G190" s="28"/>
      <c r="H190" s="3"/>
      <c r="I190" s="28"/>
      <c r="J190" s="28"/>
      <c r="K190" s="28"/>
      <c r="L190" s="28"/>
      <c r="M190" s="28"/>
    </row>
    <row r="191" spans="2:13" ht="15.75" customHeight="1" x14ac:dyDescent="0.25">
      <c r="B191" s="9" t="s">
        <v>98</v>
      </c>
      <c r="C191" s="300"/>
      <c r="D191" s="47">
        <v>100.92</v>
      </c>
      <c r="E191" s="11">
        <v>102</v>
      </c>
      <c r="F191" s="11"/>
      <c r="G191" s="28"/>
      <c r="H191" s="3"/>
      <c r="I191" s="28"/>
      <c r="J191" s="28"/>
      <c r="K191" s="28"/>
      <c r="L191" s="28"/>
      <c r="M191" s="28"/>
    </row>
    <row r="192" spans="2:13" ht="15.75" customHeight="1" x14ac:dyDescent="0.25">
      <c r="B192" s="9" t="s">
        <v>99</v>
      </c>
      <c r="C192" s="301"/>
      <c r="D192" s="47">
        <v>115.37</v>
      </c>
      <c r="E192" s="11">
        <v>106</v>
      </c>
      <c r="F192" s="11"/>
      <c r="G192" s="28"/>
      <c r="H192" s="3"/>
      <c r="I192" s="28"/>
      <c r="J192" s="28"/>
      <c r="K192" s="28"/>
      <c r="L192" s="28"/>
      <c r="M192" s="28"/>
    </row>
    <row r="193" spans="1:26" ht="15.75" customHeight="1" x14ac:dyDescent="0.2"/>
    <row r="194" spans="1:26" ht="15.75" customHeight="1" x14ac:dyDescent="0.2"/>
    <row r="195" spans="1:26" ht="15.75" customHeight="1" x14ac:dyDescent="0.2"/>
    <row r="196" spans="1:26" ht="15.75" customHeight="1" x14ac:dyDescent="0.25">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5.75" customHeight="1" x14ac:dyDescent="0.2"/>
    <row r="198" spans="1:26" ht="15.75" customHeight="1" x14ac:dyDescent="0.2"/>
    <row r="199" spans="1:26" ht="15.75" customHeight="1" x14ac:dyDescent="0.25">
      <c r="A199" s="28"/>
      <c r="B199" s="28" t="s">
        <v>1024</v>
      </c>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5.75" customHeight="1" x14ac:dyDescent="0.25">
      <c r="A200" s="28"/>
      <c r="B200" s="28"/>
      <c r="C200" s="23"/>
      <c r="D200" s="23"/>
      <c r="E200" s="23"/>
      <c r="F200" s="23"/>
      <c r="G200" s="23"/>
      <c r="H200" s="28"/>
      <c r="I200" s="28"/>
      <c r="J200" s="28"/>
      <c r="K200" s="28"/>
      <c r="L200" s="28"/>
      <c r="M200" s="28"/>
      <c r="N200" s="28"/>
      <c r="O200" s="28"/>
      <c r="P200" s="28"/>
      <c r="Q200" s="28"/>
      <c r="R200" s="28"/>
      <c r="S200" s="28"/>
      <c r="T200" s="28"/>
      <c r="U200" s="28"/>
      <c r="V200" s="28"/>
      <c r="W200" s="28"/>
      <c r="X200" s="28"/>
      <c r="Y200" s="28"/>
      <c r="Z200" s="28"/>
    </row>
    <row r="201" spans="1:26" ht="15.75" customHeight="1" x14ac:dyDescent="0.25">
      <c r="A201" s="28"/>
      <c r="B201" s="332" t="s">
        <v>851</v>
      </c>
      <c r="C201" s="297"/>
      <c r="D201" s="297"/>
      <c r="E201" s="297"/>
      <c r="F201" s="297"/>
      <c r="G201" s="298"/>
      <c r="H201" s="28"/>
      <c r="I201" s="28"/>
      <c r="J201" s="28"/>
      <c r="K201" s="28"/>
      <c r="L201" s="28"/>
      <c r="M201" s="28"/>
      <c r="N201" s="28"/>
      <c r="O201" s="28"/>
      <c r="P201" s="28"/>
      <c r="Q201" s="28"/>
      <c r="R201" s="28"/>
      <c r="S201" s="28"/>
      <c r="T201" s="28"/>
      <c r="U201" s="28"/>
      <c r="V201" s="28"/>
      <c r="W201" s="28"/>
      <c r="X201" s="28"/>
      <c r="Y201" s="28"/>
      <c r="Z201" s="28"/>
    </row>
    <row r="202" spans="1:26" ht="15.75" customHeight="1" x14ac:dyDescent="0.25">
      <c r="A202" s="28"/>
      <c r="B202" s="4" t="s">
        <v>0</v>
      </c>
      <c r="C202" s="5" t="s">
        <v>1</v>
      </c>
      <c r="D202" s="5" t="s">
        <v>42</v>
      </c>
      <c r="E202" s="5" t="s">
        <v>43</v>
      </c>
      <c r="F202" s="5" t="s">
        <v>44</v>
      </c>
      <c r="G202" s="7" t="s">
        <v>206</v>
      </c>
      <c r="H202" s="28"/>
      <c r="I202" s="296" t="s">
        <v>45</v>
      </c>
      <c r="J202" s="297"/>
      <c r="K202" s="297"/>
      <c r="L202" s="298"/>
      <c r="M202" s="28"/>
      <c r="N202" s="28"/>
      <c r="O202" s="28"/>
      <c r="P202" s="28"/>
      <c r="Q202" s="28"/>
      <c r="R202" s="28"/>
      <c r="S202" s="28"/>
      <c r="T202" s="28"/>
      <c r="U202" s="28"/>
      <c r="V202" s="28"/>
      <c r="W202" s="28"/>
      <c r="X202" s="28"/>
      <c r="Y202" s="28"/>
      <c r="Z202" s="28"/>
    </row>
    <row r="203" spans="1:26" ht="15.75" customHeight="1" x14ac:dyDescent="0.25">
      <c r="A203" s="28"/>
      <c r="B203" s="310" t="s">
        <v>275</v>
      </c>
      <c r="C203" s="297"/>
      <c r="D203" s="297"/>
      <c r="E203" s="297"/>
      <c r="F203" s="297"/>
      <c r="G203" s="298"/>
      <c r="H203" s="28"/>
      <c r="I203" s="305" t="s">
        <v>275</v>
      </c>
      <c r="J203" s="297"/>
      <c r="K203" s="297"/>
      <c r="L203" s="298"/>
      <c r="M203" s="28"/>
      <c r="N203" s="28"/>
      <c r="O203" s="28"/>
      <c r="P203" s="28"/>
      <c r="Q203" s="28"/>
      <c r="R203" s="28"/>
      <c r="S203" s="28"/>
      <c r="T203" s="28"/>
      <c r="U203" s="28"/>
      <c r="V203" s="28"/>
      <c r="W203" s="28"/>
      <c r="X203" s="28"/>
      <c r="Y203" s="28"/>
      <c r="Z203" s="28"/>
    </row>
    <row r="204" spans="1:26" ht="15.75" customHeight="1" x14ac:dyDescent="0.25">
      <c r="A204" s="28"/>
      <c r="B204" s="9" t="s">
        <v>11</v>
      </c>
      <c r="C204" s="12" t="s">
        <v>12</v>
      </c>
      <c r="D204" s="17">
        <v>500</v>
      </c>
      <c r="E204" s="22">
        <v>499</v>
      </c>
      <c r="F204" s="11"/>
      <c r="G204" s="110"/>
      <c r="H204" s="28"/>
      <c r="I204" s="12"/>
      <c r="J204" s="12" t="s">
        <v>52</v>
      </c>
      <c r="K204" s="12" t="s">
        <v>53</v>
      </c>
      <c r="L204" s="12"/>
      <c r="M204" s="28"/>
      <c r="N204" s="28"/>
      <c r="O204" s="28"/>
      <c r="P204" s="28"/>
      <c r="Q204" s="28"/>
      <c r="R204" s="28"/>
      <c r="S204" s="28"/>
      <c r="T204" s="28"/>
      <c r="U204" s="28"/>
      <c r="V204" s="28"/>
      <c r="W204" s="28"/>
      <c r="X204" s="28"/>
      <c r="Y204" s="28"/>
      <c r="Z204" s="28"/>
    </row>
    <row r="205" spans="1:26" ht="15.75" customHeight="1" x14ac:dyDescent="0.25">
      <c r="A205" s="28"/>
      <c r="B205" s="9" t="s">
        <v>11</v>
      </c>
      <c r="C205" s="12" t="s">
        <v>18</v>
      </c>
      <c r="D205" s="17">
        <v>0</v>
      </c>
      <c r="E205" s="22">
        <v>0</v>
      </c>
      <c r="F205" s="11"/>
      <c r="G205" s="110"/>
      <c r="H205" s="28"/>
      <c r="I205" s="12" t="s">
        <v>12</v>
      </c>
      <c r="J205" s="17">
        <v>550</v>
      </c>
      <c r="K205" s="11">
        <v>510</v>
      </c>
      <c r="L205" s="17" t="s">
        <v>1087</v>
      </c>
      <c r="M205" s="28"/>
      <c r="N205" s="28"/>
      <c r="O205" s="28"/>
      <c r="P205" s="28"/>
      <c r="Q205" s="28"/>
      <c r="R205" s="28"/>
      <c r="S205" s="28"/>
      <c r="T205" s="28"/>
      <c r="U205" s="28"/>
      <c r="V205" s="28"/>
      <c r="W205" s="28"/>
      <c r="X205" s="28"/>
      <c r="Y205" s="28"/>
      <c r="Z205" s="28"/>
    </row>
    <row r="206" spans="1:26" ht="15.75" customHeight="1" x14ac:dyDescent="0.25">
      <c r="A206" s="28"/>
      <c r="B206" s="9" t="s">
        <v>21</v>
      </c>
      <c r="C206" s="12" t="s">
        <v>59</v>
      </c>
      <c r="D206" s="17">
        <v>440</v>
      </c>
      <c r="E206" s="22">
        <v>447</v>
      </c>
      <c r="F206" s="11"/>
      <c r="G206" s="110"/>
      <c r="H206" s="28"/>
      <c r="I206" s="12" t="s">
        <v>18</v>
      </c>
      <c r="J206" s="24">
        <v>0</v>
      </c>
      <c r="K206" s="25">
        <v>0</v>
      </c>
      <c r="L206" s="24" t="s">
        <v>1090</v>
      </c>
      <c r="M206" s="28"/>
      <c r="N206" s="28"/>
      <c r="O206" s="28"/>
      <c r="P206" s="28"/>
      <c r="Q206" s="28"/>
      <c r="R206" s="28"/>
      <c r="S206" s="28"/>
      <c r="T206" s="28"/>
      <c r="U206" s="28"/>
      <c r="V206" s="28"/>
      <c r="W206" s="28"/>
      <c r="X206" s="28"/>
      <c r="Y206" s="28"/>
      <c r="Z206" s="28"/>
    </row>
    <row r="207" spans="1:26" ht="15.75" customHeight="1" x14ac:dyDescent="0.25">
      <c r="A207" s="28"/>
      <c r="B207" s="12" t="s">
        <v>21</v>
      </c>
      <c r="C207" s="12" t="s">
        <v>63</v>
      </c>
      <c r="D207" s="24">
        <v>160</v>
      </c>
      <c r="E207" s="26">
        <v>16</v>
      </c>
      <c r="F207" s="25"/>
      <c r="G207" s="148"/>
      <c r="H207" s="28"/>
      <c r="I207" s="355">
        <v>43611</v>
      </c>
      <c r="J207" s="315"/>
      <c r="K207" s="315"/>
      <c r="L207" s="315"/>
      <c r="M207" s="28"/>
      <c r="N207" s="28"/>
      <c r="O207" s="28"/>
      <c r="P207" s="28"/>
      <c r="Q207" s="28"/>
      <c r="R207" s="28"/>
      <c r="S207" s="28"/>
      <c r="T207" s="28"/>
      <c r="U207" s="28"/>
      <c r="V207" s="28"/>
      <c r="W207" s="28"/>
      <c r="X207" s="28"/>
      <c r="Y207" s="28"/>
      <c r="Z207" s="28"/>
    </row>
    <row r="208" spans="1:26" ht="15.75" customHeight="1" x14ac:dyDescent="0.2">
      <c r="B208" s="12" t="s">
        <v>21</v>
      </c>
      <c r="C208" s="12" t="s">
        <v>343</v>
      </c>
      <c r="D208" s="24">
        <v>0</v>
      </c>
      <c r="E208" s="26">
        <v>0</v>
      </c>
      <c r="F208" s="25"/>
      <c r="G208" s="148"/>
    </row>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1">
    <mergeCell ref="C70:C71"/>
    <mergeCell ref="C73:C74"/>
    <mergeCell ref="C76:C80"/>
    <mergeCell ref="C54:C55"/>
    <mergeCell ref="B56:F56"/>
    <mergeCell ref="C57:C59"/>
    <mergeCell ref="B60:E60"/>
    <mergeCell ref="C61:C64"/>
    <mergeCell ref="B65:F65"/>
    <mergeCell ref="B69:E69"/>
    <mergeCell ref="B72:F72"/>
    <mergeCell ref="B75:F75"/>
    <mergeCell ref="C44:C48"/>
    <mergeCell ref="B49:F49"/>
    <mergeCell ref="C50:C52"/>
    <mergeCell ref="B53:E53"/>
    <mergeCell ref="C66:C68"/>
    <mergeCell ref="B34:E34"/>
    <mergeCell ref="B40:F40"/>
    <mergeCell ref="C35:C39"/>
    <mergeCell ref="C41:C42"/>
    <mergeCell ref="B43:E43"/>
    <mergeCell ref="B27:E27"/>
    <mergeCell ref="H28:M28"/>
    <mergeCell ref="C29:C33"/>
    <mergeCell ref="H29:J29"/>
    <mergeCell ref="K29:M29"/>
    <mergeCell ref="I14:K14"/>
    <mergeCell ref="I15:K15"/>
    <mergeCell ref="B4:G4"/>
    <mergeCell ref="I5:L5"/>
    <mergeCell ref="B6:G6"/>
    <mergeCell ref="I6:L6"/>
    <mergeCell ref="I10:L10"/>
    <mergeCell ref="B11:G11"/>
    <mergeCell ref="C15:G15"/>
    <mergeCell ref="C166:C167"/>
    <mergeCell ref="C169:C171"/>
    <mergeCell ref="C173:C176"/>
    <mergeCell ref="I203:L203"/>
    <mergeCell ref="I207:L207"/>
    <mergeCell ref="C178:C180"/>
    <mergeCell ref="C182:C183"/>
    <mergeCell ref="C185:C186"/>
    <mergeCell ref="C188:C192"/>
    <mergeCell ref="B201:G201"/>
    <mergeCell ref="I202:L202"/>
    <mergeCell ref="B203:G203"/>
    <mergeCell ref="C141:C145"/>
    <mergeCell ref="C147:C151"/>
    <mergeCell ref="C153:C154"/>
    <mergeCell ref="C156:C160"/>
    <mergeCell ref="C162:C164"/>
    <mergeCell ref="A132:Y132"/>
    <mergeCell ref="B139:E139"/>
    <mergeCell ref="H139:M139"/>
    <mergeCell ref="H140:J140"/>
    <mergeCell ref="K140:M140"/>
    <mergeCell ref="A82:Y82"/>
    <mergeCell ref="Y83:Y105"/>
    <mergeCell ref="L86:Q86"/>
    <mergeCell ref="L87:Q88"/>
    <mergeCell ref="A88:E88"/>
    <mergeCell ref="G87:J87"/>
    <mergeCell ref="G88:J88"/>
    <mergeCell ref="S86:W86"/>
    <mergeCell ref="S87:W87"/>
    <mergeCell ref="Y109:Y131"/>
    <mergeCell ref="S112:W112"/>
    <mergeCell ref="S113:W113"/>
    <mergeCell ref="S120:W122"/>
    <mergeCell ref="S94:W96"/>
    <mergeCell ref="A106:Y106"/>
    <mergeCell ref="A108:Y108"/>
    <mergeCell ref="L112:Q112"/>
    <mergeCell ref="G113:J113"/>
    <mergeCell ref="L113:Q114"/>
    <mergeCell ref="A114:E114"/>
    <mergeCell ref="G114:J114"/>
    <mergeCell ref="L122:Q123"/>
    <mergeCell ref="L96:Q97"/>
  </mergeCells>
  <pageMargins left="0.7" right="0.7" top="0.75" bottom="0.75" header="0" footer="0"/>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Z1000"/>
  <sheetViews>
    <sheetView workbookViewId="0">
      <selection activeCell="C24" sqref="C24"/>
    </sheetView>
  </sheetViews>
  <sheetFormatPr baseColWidth="10" defaultColWidth="12.625" defaultRowHeight="15" customHeight="1" x14ac:dyDescent="0.2"/>
  <cols>
    <col min="1" max="26" width="10" customWidth="1"/>
  </cols>
  <sheetData>
    <row r="1" spans="1:12" x14ac:dyDescent="0.25">
      <c r="A1" s="21" t="s">
        <v>1027</v>
      </c>
      <c r="C1" s="184"/>
    </row>
    <row r="2" spans="1:12" x14ac:dyDescent="0.25">
      <c r="C2" s="184"/>
    </row>
    <row r="3" spans="1:12" x14ac:dyDescent="0.25">
      <c r="A3" s="304" t="s">
        <v>662</v>
      </c>
      <c r="B3" s="297"/>
      <c r="C3" s="297"/>
      <c r="D3" s="297"/>
      <c r="E3" s="154"/>
      <c r="H3" s="3"/>
    </row>
    <row r="4" spans="1:12" ht="24" x14ac:dyDescent="0.2">
      <c r="A4" s="4" t="s">
        <v>0</v>
      </c>
      <c r="B4" s="5" t="s">
        <v>1</v>
      </c>
      <c r="C4" s="186" t="s">
        <v>2</v>
      </c>
      <c r="D4" s="5" t="s">
        <v>43</v>
      </c>
      <c r="E4" s="45" t="s">
        <v>125</v>
      </c>
      <c r="G4" s="296" t="s">
        <v>6</v>
      </c>
      <c r="H4" s="297"/>
      <c r="I4" s="297"/>
      <c r="J4" s="297"/>
      <c r="K4" s="297"/>
      <c r="L4" s="298"/>
    </row>
    <row r="5" spans="1:12" ht="14.25" x14ac:dyDescent="0.2">
      <c r="A5" s="9" t="s">
        <v>7</v>
      </c>
      <c r="B5" s="302" t="s">
        <v>9</v>
      </c>
      <c r="C5" s="47">
        <v>28.1</v>
      </c>
      <c r="D5" s="11"/>
      <c r="E5" s="11">
        <v>26</v>
      </c>
      <c r="G5" s="296" t="s">
        <v>106</v>
      </c>
      <c r="H5" s="297"/>
      <c r="I5" s="298"/>
      <c r="J5" s="296" t="s">
        <v>107</v>
      </c>
      <c r="K5" s="297"/>
      <c r="L5" s="298"/>
    </row>
    <row r="6" spans="1:12" ht="14.25" x14ac:dyDescent="0.2">
      <c r="A6" s="9" t="s">
        <v>17</v>
      </c>
      <c r="B6" s="300"/>
      <c r="C6" s="47">
        <v>63.911000000000001</v>
      </c>
      <c r="D6" s="11"/>
      <c r="E6" s="11">
        <v>72</v>
      </c>
      <c r="G6" s="13" t="s">
        <v>13</v>
      </c>
      <c r="H6" s="39"/>
      <c r="I6" s="17" t="s">
        <v>1029</v>
      </c>
      <c r="J6" s="13" t="s">
        <v>13</v>
      </c>
      <c r="K6" s="39">
        <f>K8+K8*0.05</f>
        <v>861</v>
      </c>
      <c r="L6" s="17" t="s">
        <v>1030</v>
      </c>
    </row>
    <row r="7" spans="1:12" ht="14.25" x14ac:dyDescent="0.2">
      <c r="A7" s="9" t="s">
        <v>26</v>
      </c>
      <c r="B7" s="300"/>
      <c r="C7" s="47">
        <v>69.921999999999997</v>
      </c>
      <c r="D7" s="11"/>
      <c r="E7" s="11">
        <v>75</v>
      </c>
      <c r="G7" s="13" t="s">
        <v>19</v>
      </c>
      <c r="H7" s="40"/>
      <c r="I7" s="17" t="s">
        <v>1032</v>
      </c>
      <c r="J7" s="13" t="s">
        <v>19</v>
      </c>
      <c r="K7" s="40">
        <f>K8-K8*0.05</f>
        <v>779</v>
      </c>
      <c r="L7" s="17" t="s">
        <v>1034</v>
      </c>
    </row>
    <row r="8" spans="1:12" ht="14.25" x14ac:dyDescent="0.2">
      <c r="A8" s="9" t="s">
        <v>32</v>
      </c>
      <c r="B8" s="300"/>
      <c r="C8" s="47">
        <v>96.744</v>
      </c>
      <c r="D8" s="11"/>
      <c r="E8" s="11">
        <v>91</v>
      </c>
      <c r="G8" s="13" t="s">
        <v>27</v>
      </c>
      <c r="H8" s="20"/>
      <c r="I8" s="17" t="s">
        <v>1035</v>
      </c>
      <c r="J8" s="13" t="s">
        <v>27</v>
      </c>
      <c r="K8" s="20">
        <v>820</v>
      </c>
      <c r="L8" s="17" t="s">
        <v>1037</v>
      </c>
    </row>
    <row r="9" spans="1:12" ht="14.25" x14ac:dyDescent="0.2">
      <c r="A9" s="9" t="s">
        <v>33</v>
      </c>
      <c r="B9" s="301"/>
      <c r="C9" s="47">
        <v>128.11000000000001</v>
      </c>
      <c r="D9" s="11"/>
      <c r="E9" s="11">
        <v>131</v>
      </c>
      <c r="G9" s="13" t="s">
        <v>121</v>
      </c>
      <c r="H9" s="20"/>
      <c r="I9" s="17" t="s">
        <v>1038</v>
      </c>
      <c r="J9" s="13" t="s">
        <v>121</v>
      </c>
      <c r="K9" s="20">
        <v>817</v>
      </c>
      <c r="L9" s="17" t="s">
        <v>1039</v>
      </c>
    </row>
    <row r="10" spans="1:12" x14ac:dyDescent="0.25">
      <c r="A10" s="296"/>
      <c r="B10" s="297"/>
      <c r="C10" s="297"/>
      <c r="D10" s="297"/>
      <c r="E10" s="11"/>
      <c r="H10" s="3"/>
    </row>
    <row r="11" spans="1:12" x14ac:dyDescent="0.25">
      <c r="A11" s="9" t="s">
        <v>35</v>
      </c>
      <c r="B11" s="302" t="s">
        <v>36</v>
      </c>
      <c r="C11" s="47">
        <v>207.78</v>
      </c>
      <c r="D11" s="11"/>
      <c r="E11" s="11">
        <v>231</v>
      </c>
      <c r="G11" s="31"/>
      <c r="H11" s="3"/>
    </row>
    <row r="12" spans="1:12" x14ac:dyDescent="0.25">
      <c r="A12" s="9" t="s">
        <v>37</v>
      </c>
      <c r="B12" s="300"/>
      <c r="C12" s="47">
        <v>444.11</v>
      </c>
      <c r="D12" s="11"/>
      <c r="E12" s="11">
        <v>489</v>
      </c>
      <c r="G12" s="31"/>
      <c r="H12" s="3"/>
    </row>
    <row r="13" spans="1:12" x14ac:dyDescent="0.25">
      <c r="A13" s="9" t="s">
        <v>38</v>
      </c>
      <c r="B13" s="300"/>
      <c r="C13" s="47">
        <v>579.55999999999995</v>
      </c>
      <c r="D13" s="11"/>
      <c r="E13" s="11">
        <v>556</v>
      </c>
      <c r="G13" s="31"/>
      <c r="H13" s="3"/>
    </row>
    <row r="14" spans="1:12" x14ac:dyDescent="0.25">
      <c r="A14" s="9" t="s">
        <v>39</v>
      </c>
      <c r="B14" s="300"/>
      <c r="C14" s="47">
        <v>746.22</v>
      </c>
      <c r="D14" s="11"/>
      <c r="E14" s="11">
        <v>768</v>
      </c>
      <c r="G14" s="31"/>
      <c r="H14" s="3"/>
    </row>
    <row r="15" spans="1:12" x14ac:dyDescent="0.25">
      <c r="A15" s="49" t="s">
        <v>41</v>
      </c>
      <c r="B15" s="300"/>
      <c r="C15" s="50">
        <v>869.5</v>
      </c>
      <c r="D15" s="51"/>
      <c r="E15" s="51">
        <v>781</v>
      </c>
      <c r="G15" s="31"/>
      <c r="H15" s="3"/>
    </row>
    <row r="16" spans="1:12" x14ac:dyDescent="0.25">
      <c r="A16" s="308"/>
      <c r="B16" s="297"/>
      <c r="C16" s="297"/>
      <c r="D16" s="297"/>
      <c r="E16" s="306"/>
      <c r="H16" s="3"/>
    </row>
    <row r="17" spans="1:8" x14ac:dyDescent="0.25">
      <c r="A17" s="9" t="s">
        <v>46</v>
      </c>
      <c r="B17" s="299" t="s">
        <v>47</v>
      </c>
      <c r="C17" s="47">
        <v>88.4</v>
      </c>
      <c r="D17" s="11"/>
      <c r="E17" s="11">
        <v>93</v>
      </c>
      <c r="H17" s="3"/>
    </row>
    <row r="18" spans="1:8" x14ac:dyDescent="0.25">
      <c r="A18" s="9" t="s">
        <v>48</v>
      </c>
      <c r="B18" s="300"/>
      <c r="C18" s="47">
        <v>94.6</v>
      </c>
      <c r="D18" s="11"/>
      <c r="E18" s="11">
        <v>94</v>
      </c>
      <c r="H18" s="3"/>
    </row>
    <row r="19" spans="1:8" x14ac:dyDescent="0.25">
      <c r="A19" s="296"/>
      <c r="B19" s="297"/>
      <c r="C19" s="297"/>
      <c r="D19" s="297"/>
      <c r="E19" s="11"/>
      <c r="H19" s="3"/>
    </row>
    <row r="20" spans="1:8" x14ac:dyDescent="0.25">
      <c r="A20" s="9" t="s">
        <v>50</v>
      </c>
      <c r="B20" s="302" t="s">
        <v>51</v>
      </c>
      <c r="C20" s="47">
        <v>271.44400000000002</v>
      </c>
      <c r="D20" s="11"/>
      <c r="E20" s="11">
        <v>281</v>
      </c>
      <c r="H20" s="3"/>
    </row>
    <row r="21" spans="1:8" ht="15.75" customHeight="1" x14ac:dyDescent="0.25">
      <c r="A21" s="9" t="s">
        <v>54</v>
      </c>
      <c r="B21" s="300"/>
      <c r="C21" s="47">
        <v>550.22199999999998</v>
      </c>
      <c r="D21" s="11"/>
      <c r="E21" s="11">
        <v>536</v>
      </c>
      <c r="H21" s="3"/>
    </row>
    <row r="22" spans="1:8" ht="15.75" customHeight="1" x14ac:dyDescent="0.25">
      <c r="A22" s="9" t="s">
        <v>55</v>
      </c>
      <c r="B22" s="300"/>
      <c r="C22" s="47">
        <v>609</v>
      </c>
      <c r="D22" s="11"/>
      <c r="E22" s="11">
        <v>671</v>
      </c>
      <c r="H22" s="3"/>
    </row>
    <row r="23" spans="1:8" ht="15.75" customHeight="1" x14ac:dyDescent="0.25">
      <c r="A23" s="9" t="s">
        <v>56</v>
      </c>
      <c r="B23" s="300"/>
      <c r="C23" s="47">
        <v>739.11099999999999</v>
      </c>
      <c r="D23" s="11"/>
      <c r="E23" s="11">
        <v>618</v>
      </c>
      <c r="H23" s="3"/>
    </row>
    <row r="24" spans="1:8" ht="15.75" customHeight="1" x14ac:dyDescent="0.25">
      <c r="A24" s="49" t="s">
        <v>57</v>
      </c>
      <c r="B24" s="300"/>
      <c r="C24" s="50">
        <v>746.88900000000001</v>
      </c>
      <c r="D24" s="51"/>
      <c r="E24" s="51">
        <v>781</v>
      </c>
      <c r="H24" s="3"/>
    </row>
    <row r="25" spans="1:8" ht="15.75" customHeight="1" x14ac:dyDescent="0.25">
      <c r="A25" s="308"/>
      <c r="B25" s="297"/>
      <c r="C25" s="297"/>
      <c r="D25" s="297"/>
      <c r="E25" s="306"/>
      <c r="H25" s="3"/>
    </row>
    <row r="26" spans="1:8" ht="15.75" customHeight="1" x14ac:dyDescent="0.25">
      <c r="A26" s="9" t="s">
        <v>60</v>
      </c>
      <c r="B26" s="299" t="s">
        <v>62</v>
      </c>
      <c r="C26" s="47">
        <v>19.3555555555556</v>
      </c>
      <c r="D26" s="11"/>
      <c r="E26" s="11">
        <v>21</v>
      </c>
      <c r="H26" s="3"/>
    </row>
    <row r="27" spans="1:8" ht="15.75" customHeight="1" x14ac:dyDescent="0.25">
      <c r="A27" s="9" t="s">
        <v>64</v>
      </c>
      <c r="B27" s="300"/>
      <c r="C27" s="47">
        <v>38</v>
      </c>
      <c r="D27" s="11"/>
      <c r="E27" s="11">
        <v>40</v>
      </c>
      <c r="H27" s="3"/>
    </row>
    <row r="28" spans="1:8" ht="15.75" customHeight="1" x14ac:dyDescent="0.25">
      <c r="A28" s="9" t="s">
        <v>65</v>
      </c>
      <c r="B28" s="301"/>
      <c r="C28" s="47">
        <v>33</v>
      </c>
      <c r="D28" s="11"/>
      <c r="E28" s="11">
        <v>27</v>
      </c>
      <c r="H28" s="3"/>
    </row>
    <row r="29" spans="1:8" ht="15.75" customHeight="1" x14ac:dyDescent="0.25">
      <c r="A29" s="296"/>
      <c r="B29" s="297"/>
      <c r="C29" s="297"/>
      <c r="D29" s="297"/>
      <c r="E29" s="11"/>
      <c r="H29" s="3"/>
    </row>
    <row r="30" spans="1:8" ht="15.75" customHeight="1" x14ac:dyDescent="0.25">
      <c r="A30" s="9" t="s">
        <v>66</v>
      </c>
      <c r="B30" s="302" t="s">
        <v>68</v>
      </c>
      <c r="C30" s="47">
        <v>204.5</v>
      </c>
      <c r="D30" s="11"/>
      <c r="E30" s="11">
        <v>201</v>
      </c>
      <c r="H30" s="3"/>
    </row>
    <row r="31" spans="1:8" ht="15.75" customHeight="1" x14ac:dyDescent="0.25">
      <c r="A31" s="49" t="s">
        <v>69</v>
      </c>
      <c r="B31" s="300"/>
      <c r="C31" s="50">
        <v>277.7</v>
      </c>
      <c r="D31" s="51"/>
      <c r="E31" s="51">
        <v>278</v>
      </c>
      <c r="H31" s="3"/>
    </row>
    <row r="32" spans="1:8" ht="15.75" customHeight="1" x14ac:dyDescent="0.25">
      <c r="A32" s="305"/>
      <c r="B32" s="297"/>
      <c r="C32" s="297"/>
      <c r="D32" s="297"/>
      <c r="E32" s="306"/>
      <c r="H32" s="3"/>
    </row>
    <row r="33" spans="1:8" ht="15.75" customHeight="1" x14ac:dyDescent="0.25">
      <c r="A33" s="9" t="s">
        <v>69</v>
      </c>
      <c r="B33" s="299" t="s">
        <v>71</v>
      </c>
      <c r="C33" s="47">
        <v>10.283300000000001</v>
      </c>
      <c r="D33" s="11"/>
      <c r="E33" s="11">
        <v>12</v>
      </c>
      <c r="H33" s="3"/>
    </row>
    <row r="34" spans="1:8" ht="15.75" customHeight="1" x14ac:dyDescent="0.25">
      <c r="A34" s="9" t="s">
        <v>72</v>
      </c>
      <c r="B34" s="300"/>
      <c r="C34" s="47">
        <v>11.8833</v>
      </c>
      <c r="D34" s="11"/>
      <c r="E34" s="11">
        <v>12</v>
      </c>
      <c r="H34" s="3"/>
    </row>
    <row r="35" spans="1:8" ht="15.75" customHeight="1" x14ac:dyDescent="0.25">
      <c r="A35" s="9" t="s">
        <v>73</v>
      </c>
      <c r="B35" s="301"/>
      <c r="C35" s="47">
        <v>17.433299999999999</v>
      </c>
      <c r="D35" s="11"/>
      <c r="E35" s="11">
        <v>17</v>
      </c>
      <c r="H35" s="3"/>
    </row>
    <row r="36" spans="1:8" ht="15.75" customHeight="1" x14ac:dyDescent="0.25">
      <c r="A36" s="296"/>
      <c r="B36" s="297"/>
      <c r="C36" s="297"/>
      <c r="D36" s="297"/>
      <c r="E36" s="11"/>
      <c r="H36" s="3"/>
    </row>
    <row r="37" spans="1:8" ht="15.75" customHeight="1" x14ac:dyDescent="0.25">
      <c r="A37" s="9" t="s">
        <v>76</v>
      </c>
      <c r="B37" s="302" t="s">
        <v>77</v>
      </c>
      <c r="C37" s="47">
        <v>117.467</v>
      </c>
      <c r="D37" s="11"/>
      <c r="E37" s="11">
        <v>144</v>
      </c>
      <c r="H37" s="3"/>
    </row>
    <row r="38" spans="1:8" ht="15.75" customHeight="1" x14ac:dyDescent="0.25">
      <c r="A38" s="9" t="s">
        <v>78</v>
      </c>
      <c r="B38" s="300"/>
      <c r="C38" s="47">
        <v>187.833</v>
      </c>
      <c r="D38" s="11"/>
      <c r="E38" s="11">
        <v>163</v>
      </c>
      <c r="H38" s="3"/>
    </row>
    <row r="39" spans="1:8" ht="15.75" customHeight="1" x14ac:dyDescent="0.25">
      <c r="A39" s="9" t="s">
        <v>79</v>
      </c>
      <c r="B39" s="300"/>
      <c r="C39" s="47">
        <v>218.333</v>
      </c>
      <c r="D39" s="11"/>
      <c r="E39" s="11">
        <v>206</v>
      </c>
      <c r="H39" s="3"/>
    </row>
    <row r="40" spans="1:8" ht="15.75" customHeight="1" x14ac:dyDescent="0.25">
      <c r="A40" s="49" t="s">
        <v>80</v>
      </c>
      <c r="B40" s="300"/>
      <c r="C40" s="50">
        <v>238.5</v>
      </c>
      <c r="D40" s="51"/>
      <c r="E40" s="51">
        <v>253</v>
      </c>
      <c r="H40" s="3"/>
    </row>
    <row r="41" spans="1:8" ht="15.75" customHeight="1" x14ac:dyDescent="0.25">
      <c r="A41" s="305"/>
      <c r="B41" s="297"/>
      <c r="C41" s="297"/>
      <c r="D41" s="297"/>
      <c r="E41" s="306"/>
      <c r="H41" s="3"/>
    </row>
    <row r="42" spans="1:8" ht="15.75" customHeight="1" x14ac:dyDescent="0.25">
      <c r="A42" s="9" t="s">
        <v>81</v>
      </c>
      <c r="B42" s="299" t="s">
        <v>82</v>
      </c>
      <c r="C42" s="47">
        <v>1.8</v>
      </c>
      <c r="D42" s="11"/>
      <c r="E42" s="11">
        <v>1</v>
      </c>
      <c r="H42" s="3"/>
    </row>
    <row r="43" spans="1:8" ht="15.75" customHeight="1" x14ac:dyDescent="0.25">
      <c r="A43" s="9" t="s">
        <v>83</v>
      </c>
      <c r="B43" s="300"/>
      <c r="C43" s="47">
        <v>7.6444444444444448</v>
      </c>
      <c r="D43" s="11"/>
      <c r="E43" s="11">
        <v>8</v>
      </c>
      <c r="H43" s="3"/>
    </row>
    <row r="44" spans="1:8" ht="15.75" customHeight="1" x14ac:dyDescent="0.25">
      <c r="A44" s="9" t="s">
        <v>84</v>
      </c>
      <c r="B44" s="301"/>
      <c r="C44" s="47">
        <v>11.155555555555557</v>
      </c>
      <c r="D44" s="11"/>
      <c r="E44" s="11">
        <v>7</v>
      </c>
      <c r="H44" s="3"/>
    </row>
    <row r="45" spans="1:8" ht="15.75" customHeight="1" x14ac:dyDescent="0.25">
      <c r="A45" s="296"/>
      <c r="B45" s="297"/>
      <c r="C45" s="297"/>
      <c r="D45" s="297"/>
      <c r="E45" s="11"/>
      <c r="H45" s="3"/>
    </row>
    <row r="46" spans="1:8" ht="15.75" customHeight="1" x14ac:dyDescent="0.25">
      <c r="A46" s="9" t="s">
        <v>86</v>
      </c>
      <c r="B46" s="302" t="s">
        <v>87</v>
      </c>
      <c r="C46" s="47">
        <v>20.466999999999999</v>
      </c>
      <c r="D46" s="11"/>
      <c r="E46" s="11">
        <v>14</v>
      </c>
      <c r="H46" s="3"/>
    </row>
    <row r="47" spans="1:8" ht="15.75" customHeight="1" x14ac:dyDescent="0.25">
      <c r="A47" s="49" t="s">
        <v>88</v>
      </c>
      <c r="B47" s="300"/>
      <c r="C47" s="50">
        <v>20.367000000000001</v>
      </c>
      <c r="D47" s="51"/>
      <c r="E47" s="51">
        <v>23</v>
      </c>
      <c r="H47" s="3"/>
    </row>
    <row r="48" spans="1:8" ht="15.75" customHeight="1" x14ac:dyDescent="0.25">
      <c r="A48" s="305"/>
      <c r="B48" s="297"/>
      <c r="C48" s="297"/>
      <c r="D48" s="297"/>
      <c r="E48" s="306"/>
      <c r="H48" s="3"/>
    </row>
    <row r="49" spans="1:26" ht="15.75" customHeight="1" x14ac:dyDescent="0.25">
      <c r="A49" s="9" t="s">
        <v>89</v>
      </c>
      <c r="B49" s="299" t="s">
        <v>90</v>
      </c>
      <c r="C49" s="47">
        <v>16</v>
      </c>
      <c r="D49" s="11"/>
      <c r="E49" s="11">
        <v>15</v>
      </c>
      <c r="H49" s="3"/>
    </row>
    <row r="50" spans="1:26" ht="15.75" customHeight="1" x14ac:dyDescent="0.25">
      <c r="A50" s="49" t="s">
        <v>91</v>
      </c>
      <c r="B50" s="300"/>
      <c r="C50" s="50">
        <v>6</v>
      </c>
      <c r="D50" s="51"/>
      <c r="E50" s="51">
        <v>14</v>
      </c>
      <c r="H50" s="3"/>
    </row>
    <row r="51" spans="1:26" ht="15.75" customHeight="1" x14ac:dyDescent="0.25">
      <c r="A51" s="296"/>
      <c r="B51" s="297"/>
      <c r="C51" s="297"/>
      <c r="D51" s="297"/>
      <c r="E51" s="298"/>
      <c r="H51" s="3"/>
    </row>
    <row r="52" spans="1:26" ht="15.75" customHeight="1" x14ac:dyDescent="0.25">
      <c r="A52" s="9" t="s">
        <v>94</v>
      </c>
      <c r="B52" s="299" t="s">
        <v>95</v>
      </c>
      <c r="C52" s="47">
        <v>50.082999999999998</v>
      </c>
      <c r="D52" s="11"/>
      <c r="E52" s="11">
        <v>64</v>
      </c>
      <c r="H52" s="3"/>
    </row>
    <row r="53" spans="1:26" ht="15.75" customHeight="1" x14ac:dyDescent="0.25">
      <c r="A53" s="9" t="s">
        <v>96</v>
      </c>
      <c r="B53" s="300"/>
      <c r="C53" s="47">
        <v>96</v>
      </c>
      <c r="D53" s="11"/>
      <c r="E53" s="11">
        <v>111</v>
      </c>
      <c r="H53" s="3"/>
    </row>
    <row r="54" spans="1:26" ht="15.75" customHeight="1" x14ac:dyDescent="0.25">
      <c r="A54" s="9" t="s">
        <v>97</v>
      </c>
      <c r="B54" s="300"/>
      <c r="C54" s="47">
        <v>94</v>
      </c>
      <c r="D54" s="11"/>
      <c r="E54" s="11">
        <v>85</v>
      </c>
      <c r="H54" s="3"/>
    </row>
    <row r="55" spans="1:26" ht="15.75" customHeight="1" x14ac:dyDescent="0.25">
      <c r="A55" s="9" t="s">
        <v>98</v>
      </c>
      <c r="B55" s="300"/>
      <c r="C55" s="47">
        <v>100.92</v>
      </c>
      <c r="D55" s="11"/>
      <c r="E55" s="11">
        <v>109</v>
      </c>
      <c r="H55" s="3"/>
    </row>
    <row r="56" spans="1:26" ht="15.75" customHeight="1" x14ac:dyDescent="0.25">
      <c r="A56" s="9" t="s">
        <v>99</v>
      </c>
      <c r="B56" s="301"/>
      <c r="C56" s="47">
        <v>115.37</v>
      </c>
      <c r="D56" s="11"/>
      <c r="E56" s="11">
        <v>122</v>
      </c>
      <c r="H56" s="3"/>
    </row>
    <row r="57" spans="1:26" ht="15.75" customHeight="1" x14ac:dyDescent="0.25">
      <c r="C57" s="184"/>
    </row>
    <row r="58" spans="1:26" ht="15.75" customHeight="1" x14ac:dyDescent="0.25">
      <c r="C58" s="184"/>
    </row>
    <row r="59" spans="1:26" ht="15.75" customHeight="1" x14ac:dyDescent="0.25">
      <c r="A59" s="29"/>
      <c r="B59" s="29"/>
      <c r="C59" s="196"/>
      <c r="D59" s="29"/>
      <c r="E59" s="29"/>
      <c r="F59" s="29"/>
      <c r="G59" s="29"/>
      <c r="H59" s="29"/>
      <c r="I59" s="29"/>
      <c r="J59" s="29"/>
      <c r="K59" s="29"/>
      <c r="L59" s="29"/>
      <c r="M59" s="29"/>
      <c r="N59" s="29"/>
      <c r="O59" s="29"/>
      <c r="P59" s="29"/>
      <c r="Q59" s="29"/>
      <c r="R59" s="29"/>
      <c r="S59" s="29"/>
      <c r="T59" s="29"/>
      <c r="U59" s="29"/>
      <c r="V59" s="29"/>
      <c r="W59" s="29"/>
      <c r="X59" s="29"/>
      <c r="Y59" s="29"/>
      <c r="Z59" s="29"/>
    </row>
    <row r="60" spans="1:26" ht="15.75" customHeight="1" x14ac:dyDescent="0.25">
      <c r="C60" s="184"/>
    </row>
    <row r="61" spans="1:26" ht="15.75" customHeight="1" x14ac:dyDescent="0.25">
      <c r="A61" s="23" t="s">
        <v>115</v>
      </c>
      <c r="B61" s="43" t="s">
        <v>1027</v>
      </c>
    </row>
    <row r="62" spans="1:26" ht="15.75" customHeight="1" x14ac:dyDescent="0.25">
      <c r="A62" s="304" t="s">
        <v>1048</v>
      </c>
      <c r="B62" s="297"/>
      <c r="C62" s="297"/>
      <c r="D62" s="297"/>
      <c r="E62" s="298"/>
      <c r="H62" s="3"/>
    </row>
    <row r="63" spans="1:26" ht="15.75" customHeight="1" x14ac:dyDescent="0.2">
      <c r="A63" s="4" t="s">
        <v>0</v>
      </c>
      <c r="B63" s="5" t="s">
        <v>1</v>
      </c>
      <c r="C63" s="5" t="s">
        <v>2</v>
      </c>
      <c r="D63" s="5" t="s">
        <v>43</v>
      </c>
      <c r="E63" s="45" t="s">
        <v>125</v>
      </c>
      <c r="G63" s="296" t="s">
        <v>6</v>
      </c>
      <c r="H63" s="297"/>
      <c r="I63" s="297"/>
      <c r="J63" s="297"/>
      <c r="K63" s="297"/>
      <c r="L63" s="298"/>
    </row>
    <row r="64" spans="1:26" ht="15.75" customHeight="1" x14ac:dyDescent="0.2">
      <c r="A64" s="9" t="s">
        <v>7</v>
      </c>
      <c r="B64" s="302" t="s">
        <v>9</v>
      </c>
      <c r="C64" s="47">
        <v>28.1</v>
      </c>
      <c r="D64" s="47">
        <f t="shared" ref="D64:D68" ca="1" si="0">RANDBETWEEN((C64-C64*0.25),C64+(C64*0.25))</f>
        <v>26</v>
      </c>
      <c r="E64" s="47">
        <v>80</v>
      </c>
      <c r="G64" s="296" t="s">
        <v>106</v>
      </c>
      <c r="H64" s="297"/>
      <c r="I64" s="298"/>
      <c r="J64" s="296" t="s">
        <v>107</v>
      </c>
      <c r="K64" s="297"/>
      <c r="L64" s="298"/>
    </row>
    <row r="65" spans="1:12" ht="15.75" customHeight="1" x14ac:dyDescent="0.2">
      <c r="A65" s="9" t="s">
        <v>17</v>
      </c>
      <c r="B65" s="300"/>
      <c r="C65" s="47">
        <v>63.911000000000001</v>
      </c>
      <c r="D65" s="47">
        <f t="shared" ca="1" si="0"/>
        <v>65</v>
      </c>
      <c r="E65" s="47">
        <v>97</v>
      </c>
      <c r="G65" s="13" t="s">
        <v>13</v>
      </c>
      <c r="H65" s="39">
        <f>H67+(H67*0.05)</f>
        <v>877.8</v>
      </c>
      <c r="I65" s="17" t="s">
        <v>1050</v>
      </c>
      <c r="J65" s="13" t="s">
        <v>13</v>
      </c>
      <c r="K65" s="39">
        <f>K67+(K67*0.05)</f>
        <v>882</v>
      </c>
      <c r="L65" s="17" t="s">
        <v>1052</v>
      </c>
    </row>
    <row r="66" spans="1:12" ht="15.75" customHeight="1" x14ac:dyDescent="0.2">
      <c r="A66" s="9" t="s">
        <v>26</v>
      </c>
      <c r="B66" s="300"/>
      <c r="C66" s="47">
        <v>69.921999999999997</v>
      </c>
      <c r="D66" s="47">
        <f t="shared" ca="1" si="0"/>
        <v>80</v>
      </c>
      <c r="E66" s="47">
        <v>107</v>
      </c>
      <c r="G66" s="13" t="s">
        <v>19</v>
      </c>
      <c r="H66" s="40">
        <f>H67-(H67*0.05)</f>
        <v>794.2</v>
      </c>
      <c r="I66" s="17" t="s">
        <v>1053</v>
      </c>
      <c r="J66" s="13" t="s">
        <v>19</v>
      </c>
      <c r="K66" s="40">
        <f>K67-(K67*0.05)</f>
        <v>798</v>
      </c>
      <c r="L66" s="17" t="s">
        <v>1054</v>
      </c>
    </row>
    <row r="67" spans="1:12" ht="15.75" customHeight="1" x14ac:dyDescent="0.2">
      <c r="A67" s="9" t="s">
        <v>32</v>
      </c>
      <c r="B67" s="300"/>
      <c r="C67" s="47">
        <v>96.744</v>
      </c>
      <c r="D67" s="47">
        <f t="shared" ca="1" si="0"/>
        <v>100</v>
      </c>
      <c r="E67" s="47">
        <v>132</v>
      </c>
      <c r="G67" s="13" t="s">
        <v>27</v>
      </c>
      <c r="H67" s="20">
        <v>836</v>
      </c>
      <c r="I67" s="17" t="s">
        <v>1055</v>
      </c>
      <c r="J67" s="13" t="s">
        <v>27</v>
      </c>
      <c r="K67" s="20">
        <v>840</v>
      </c>
      <c r="L67" s="17" t="s">
        <v>1056</v>
      </c>
    </row>
    <row r="68" spans="1:12" ht="15.75" customHeight="1" x14ac:dyDescent="0.2">
      <c r="A68" s="9" t="s">
        <v>33</v>
      </c>
      <c r="B68" s="301"/>
      <c r="C68" s="47">
        <v>128.11000000000001</v>
      </c>
      <c r="D68" s="47">
        <f t="shared" ca="1" si="0"/>
        <v>135</v>
      </c>
      <c r="E68" s="47">
        <v>173</v>
      </c>
      <c r="G68" s="13" t="s">
        <v>121</v>
      </c>
      <c r="H68" s="20">
        <v>810</v>
      </c>
      <c r="I68" s="17" t="s">
        <v>1057</v>
      </c>
      <c r="J68" s="13" t="s">
        <v>121</v>
      </c>
      <c r="K68" s="20">
        <v>843</v>
      </c>
      <c r="L68" s="17" t="s">
        <v>1058</v>
      </c>
    </row>
    <row r="69" spans="1:12" ht="15.75" customHeight="1" x14ac:dyDescent="0.25">
      <c r="A69" s="41"/>
      <c r="B69" s="125"/>
      <c r="C69" s="42"/>
      <c r="D69" s="47"/>
      <c r="E69" s="180"/>
      <c r="H69" s="3"/>
    </row>
    <row r="70" spans="1:12" ht="15.75" customHeight="1" x14ac:dyDescent="0.25">
      <c r="A70" s="126" t="s">
        <v>35</v>
      </c>
      <c r="B70" s="302" t="s">
        <v>36</v>
      </c>
      <c r="C70" s="47">
        <v>207.78</v>
      </c>
      <c r="D70" s="47">
        <f t="shared" ref="D70:D74" ca="1" si="1">RANDBETWEEN((C70-C70*0.25),C70+(C70*0.25))</f>
        <v>184</v>
      </c>
      <c r="E70" s="47">
        <v>210</v>
      </c>
      <c r="H70" s="3"/>
      <c r="I70" s="27" t="s">
        <v>241</v>
      </c>
      <c r="J70" s="128">
        <v>43304</v>
      </c>
    </row>
    <row r="71" spans="1:12" ht="15.75" customHeight="1" x14ac:dyDescent="0.25">
      <c r="A71" s="126" t="s">
        <v>37</v>
      </c>
      <c r="B71" s="300"/>
      <c r="C71" s="47">
        <v>444.11</v>
      </c>
      <c r="D71" s="47">
        <f t="shared" ca="1" si="1"/>
        <v>496</v>
      </c>
      <c r="E71" s="47">
        <v>492</v>
      </c>
      <c r="H71" s="3"/>
    </row>
    <row r="72" spans="1:12" ht="15.75" customHeight="1" x14ac:dyDescent="0.25">
      <c r="A72" s="126" t="s">
        <v>38</v>
      </c>
      <c r="B72" s="300"/>
      <c r="C72" s="47">
        <v>579.55999999999995</v>
      </c>
      <c r="D72" s="47">
        <f t="shared" ca="1" si="1"/>
        <v>454</v>
      </c>
      <c r="E72" s="47">
        <v>572</v>
      </c>
      <c r="H72" s="3"/>
    </row>
    <row r="73" spans="1:12" ht="15.75" customHeight="1" x14ac:dyDescent="0.25">
      <c r="A73" s="129" t="s">
        <v>39</v>
      </c>
      <c r="B73" s="300"/>
      <c r="C73" s="50">
        <v>746.22</v>
      </c>
      <c r="D73" s="47">
        <f t="shared" ca="1" si="1"/>
        <v>866</v>
      </c>
      <c r="E73" s="47">
        <v>795</v>
      </c>
      <c r="H73" s="3"/>
    </row>
    <row r="74" spans="1:12" ht="15.75" customHeight="1" x14ac:dyDescent="0.25">
      <c r="A74" s="12" t="s">
        <v>41</v>
      </c>
      <c r="B74" s="301"/>
      <c r="C74" s="71">
        <v>869.5</v>
      </c>
      <c r="D74" s="47">
        <f t="shared" ca="1" si="1"/>
        <v>904</v>
      </c>
      <c r="E74" s="47">
        <v>838</v>
      </c>
      <c r="H74" s="3"/>
    </row>
    <row r="75" spans="1:12" ht="15.75" customHeight="1" x14ac:dyDescent="0.25">
      <c r="A75" s="130"/>
      <c r="B75" s="131"/>
      <c r="C75" s="131"/>
      <c r="D75" s="131"/>
      <c r="E75" s="131"/>
      <c r="H75" s="3"/>
    </row>
    <row r="76" spans="1:12" ht="15.75" customHeight="1" x14ac:dyDescent="0.25">
      <c r="A76" s="9" t="s">
        <v>46</v>
      </c>
      <c r="B76" s="299" t="s">
        <v>47</v>
      </c>
      <c r="C76" s="11">
        <v>88.4</v>
      </c>
      <c r="D76" s="47">
        <f t="shared" ref="D76:D77" ca="1" si="2">RANDBETWEEN((C76-C76*0.25),C76+(C76*0.25))</f>
        <v>97</v>
      </c>
      <c r="E76" s="47">
        <v>178</v>
      </c>
      <c r="H76" s="3"/>
    </row>
    <row r="77" spans="1:12" ht="15.75" customHeight="1" x14ac:dyDescent="0.25">
      <c r="A77" s="9" t="s">
        <v>48</v>
      </c>
      <c r="B77" s="300"/>
      <c r="C77" s="11">
        <v>94.6</v>
      </c>
      <c r="D77" s="47">
        <f t="shared" ca="1" si="2"/>
        <v>115</v>
      </c>
      <c r="E77" s="47">
        <v>182</v>
      </c>
      <c r="H77" s="3"/>
    </row>
    <row r="78" spans="1:12" ht="15.75" customHeight="1" x14ac:dyDescent="0.25">
      <c r="A78" s="41"/>
      <c r="B78" s="125"/>
      <c r="C78" s="42"/>
      <c r="D78" s="47"/>
      <c r="E78" s="180"/>
      <c r="H78" s="3"/>
    </row>
    <row r="79" spans="1:12" ht="15.75" customHeight="1" x14ac:dyDescent="0.25">
      <c r="A79" s="126" t="s">
        <v>50</v>
      </c>
      <c r="B79" s="302" t="s">
        <v>51</v>
      </c>
      <c r="C79" s="47">
        <v>271.44</v>
      </c>
      <c r="D79" s="47">
        <f t="shared" ref="D79:D83" ca="1" si="3">RANDBETWEEN((C79-C79*0.25),C79+(C79*0.25))</f>
        <v>277</v>
      </c>
      <c r="E79" s="11">
        <v>252</v>
      </c>
      <c r="H79" s="3"/>
    </row>
    <row r="80" spans="1:12" ht="15.75" customHeight="1" x14ac:dyDescent="0.25">
      <c r="A80" s="126" t="s">
        <v>54</v>
      </c>
      <c r="B80" s="300"/>
      <c r="C80" s="47">
        <v>550.22199999999998</v>
      </c>
      <c r="D80" s="47">
        <f t="shared" ca="1" si="3"/>
        <v>624</v>
      </c>
      <c r="E80" s="11">
        <v>595</v>
      </c>
      <c r="H80" s="3"/>
    </row>
    <row r="81" spans="1:8" ht="15.75" customHeight="1" x14ac:dyDescent="0.25">
      <c r="A81" s="126" t="s">
        <v>55</v>
      </c>
      <c r="B81" s="300"/>
      <c r="C81" s="47">
        <v>746.8</v>
      </c>
      <c r="D81" s="47">
        <f t="shared" ca="1" si="3"/>
        <v>885</v>
      </c>
      <c r="E81" s="11">
        <v>653</v>
      </c>
      <c r="H81" s="3"/>
    </row>
    <row r="82" spans="1:8" ht="15.75" customHeight="1" x14ac:dyDescent="0.25">
      <c r="A82" s="129" t="s">
        <v>56</v>
      </c>
      <c r="B82" s="300"/>
      <c r="C82" s="50">
        <v>768.33333333333337</v>
      </c>
      <c r="D82" s="47">
        <f t="shared" ca="1" si="3"/>
        <v>787</v>
      </c>
      <c r="E82" s="11">
        <v>782</v>
      </c>
      <c r="H82" s="3"/>
    </row>
    <row r="83" spans="1:8" ht="15.75" customHeight="1" x14ac:dyDescent="0.25">
      <c r="A83" s="8" t="s">
        <v>57</v>
      </c>
      <c r="B83" s="301"/>
      <c r="C83" s="71">
        <v>609</v>
      </c>
      <c r="D83" s="47">
        <f t="shared" ca="1" si="3"/>
        <v>680</v>
      </c>
      <c r="E83" s="11">
        <v>642</v>
      </c>
      <c r="H83" s="3"/>
    </row>
    <row r="84" spans="1:8" ht="15.75" customHeight="1" x14ac:dyDescent="0.25">
      <c r="A84" s="130"/>
      <c r="B84" s="131"/>
      <c r="C84" s="131"/>
      <c r="D84" s="131"/>
      <c r="E84" s="131"/>
      <c r="H84" s="3"/>
    </row>
    <row r="85" spans="1:8" ht="15.75" customHeight="1" x14ac:dyDescent="0.25">
      <c r="A85" s="9" t="s">
        <v>60</v>
      </c>
      <c r="B85" s="299" t="s">
        <v>62</v>
      </c>
      <c r="C85" s="47">
        <v>19.741666666666667</v>
      </c>
      <c r="D85" s="47">
        <f t="shared" ref="D85:D87" ca="1" si="4">RANDBETWEEN((C85-C85*0.25),C85+(C85*0.25))</f>
        <v>15</v>
      </c>
      <c r="E85" s="47">
        <v>35</v>
      </c>
      <c r="H85" s="3"/>
    </row>
    <row r="86" spans="1:8" ht="15.75" customHeight="1" x14ac:dyDescent="0.25">
      <c r="A86" s="9" t="s">
        <v>65</v>
      </c>
      <c r="B86" s="300"/>
      <c r="C86" s="11">
        <v>42</v>
      </c>
      <c r="D86" s="47">
        <f t="shared" ca="1" si="4"/>
        <v>39</v>
      </c>
      <c r="E86" s="47">
        <v>52</v>
      </c>
      <c r="H86" s="3"/>
    </row>
    <row r="87" spans="1:8" ht="15.75" customHeight="1" x14ac:dyDescent="0.25">
      <c r="A87" s="9" t="s">
        <v>64</v>
      </c>
      <c r="B87" s="301"/>
      <c r="C87" s="11">
        <v>42</v>
      </c>
      <c r="D87" s="47">
        <f t="shared" ca="1" si="4"/>
        <v>39</v>
      </c>
      <c r="E87" s="47">
        <v>54</v>
      </c>
      <c r="H87" s="3"/>
    </row>
    <row r="88" spans="1:8" ht="15.75" customHeight="1" x14ac:dyDescent="0.25">
      <c r="A88" s="41"/>
      <c r="B88" s="125"/>
      <c r="C88" s="42"/>
      <c r="D88" s="47"/>
      <c r="E88" s="47"/>
      <c r="H88" s="3"/>
    </row>
    <row r="89" spans="1:8" ht="15.75" customHeight="1" x14ac:dyDescent="0.25">
      <c r="A89" s="129" t="s">
        <v>66</v>
      </c>
      <c r="B89" s="302" t="s">
        <v>68</v>
      </c>
      <c r="C89" s="50">
        <v>204.5</v>
      </c>
      <c r="D89" s="47">
        <f t="shared" ref="D89:D90" ca="1" si="5">RANDBETWEEN((C89-C89*0.25),C89+(C89*0.25))</f>
        <v>245</v>
      </c>
      <c r="E89" s="47">
        <v>222</v>
      </c>
      <c r="H89" s="3"/>
    </row>
    <row r="90" spans="1:8" ht="15.75" customHeight="1" x14ac:dyDescent="0.25">
      <c r="A90" s="12" t="s">
        <v>69</v>
      </c>
      <c r="B90" s="301"/>
      <c r="C90" s="71">
        <v>277.7</v>
      </c>
      <c r="D90" s="47">
        <f t="shared" ca="1" si="5"/>
        <v>298</v>
      </c>
      <c r="E90" s="47">
        <v>303</v>
      </c>
      <c r="H90" s="3"/>
    </row>
    <row r="91" spans="1:8" ht="15.75" customHeight="1" x14ac:dyDescent="0.25">
      <c r="A91" s="132"/>
      <c r="B91" s="133"/>
      <c r="C91" s="133"/>
      <c r="D91" s="133"/>
      <c r="E91" s="133"/>
      <c r="H91" s="3"/>
    </row>
    <row r="92" spans="1:8" ht="15.75" customHeight="1" x14ac:dyDescent="0.25">
      <c r="A92" s="56" t="s">
        <v>69</v>
      </c>
      <c r="B92" s="303" t="s">
        <v>71</v>
      </c>
      <c r="C92" s="47">
        <v>12</v>
      </c>
      <c r="D92" s="47">
        <f t="shared" ref="D92:D94" ca="1" si="6">RANDBETWEEN((C92-C92*0.25),C92+(C92*0.25))</f>
        <v>11</v>
      </c>
      <c r="E92" s="47">
        <v>19</v>
      </c>
      <c r="H92" s="3"/>
    </row>
    <row r="93" spans="1:8" ht="15.75" customHeight="1" x14ac:dyDescent="0.25">
      <c r="A93" s="56" t="s">
        <v>72</v>
      </c>
      <c r="B93" s="300"/>
      <c r="C93" s="47">
        <v>14</v>
      </c>
      <c r="D93" s="47">
        <f t="shared" ca="1" si="6"/>
        <v>15</v>
      </c>
      <c r="E93" s="47">
        <v>23</v>
      </c>
      <c r="H93" s="3"/>
    </row>
    <row r="94" spans="1:8" ht="15.75" customHeight="1" x14ac:dyDescent="0.25">
      <c r="A94" s="56" t="s">
        <v>73</v>
      </c>
      <c r="B94" s="301"/>
      <c r="C94" s="47">
        <v>17.43333333333333</v>
      </c>
      <c r="D94" s="47">
        <f t="shared" ca="1" si="6"/>
        <v>16</v>
      </c>
      <c r="E94" s="47">
        <v>28</v>
      </c>
      <c r="H94" s="3"/>
    </row>
    <row r="95" spans="1:8" ht="15.75" customHeight="1" x14ac:dyDescent="0.25">
      <c r="A95" s="92"/>
      <c r="B95" s="69"/>
      <c r="C95" s="69"/>
      <c r="D95" s="47"/>
      <c r="E95" s="47"/>
      <c r="H95" s="3"/>
    </row>
    <row r="96" spans="1:8" ht="15.75" customHeight="1" x14ac:dyDescent="0.25">
      <c r="A96" s="56" t="s">
        <v>80</v>
      </c>
      <c r="B96" s="309" t="s">
        <v>77</v>
      </c>
      <c r="C96" s="47">
        <v>117</v>
      </c>
      <c r="D96" s="47">
        <f t="shared" ref="D96:D99" ca="1" si="7">RANDBETWEEN((C96-C96*0.25),C96+(C96*0.25))</f>
        <v>96</v>
      </c>
      <c r="E96" s="47">
        <v>158</v>
      </c>
      <c r="H96" s="3"/>
    </row>
    <row r="97" spans="1:8" ht="15.75" customHeight="1" x14ac:dyDescent="0.25">
      <c r="A97" s="56" t="s">
        <v>78</v>
      </c>
      <c r="B97" s="300"/>
      <c r="C97" s="47">
        <v>188</v>
      </c>
      <c r="D97" s="47">
        <f t="shared" ca="1" si="7"/>
        <v>179</v>
      </c>
      <c r="E97" s="47">
        <v>174</v>
      </c>
      <c r="H97" s="3"/>
    </row>
    <row r="98" spans="1:8" ht="15.75" customHeight="1" x14ac:dyDescent="0.25">
      <c r="A98" s="56" t="s">
        <v>76</v>
      </c>
      <c r="B98" s="300"/>
      <c r="C98" s="50">
        <v>218</v>
      </c>
      <c r="D98" s="47">
        <f t="shared" ca="1" si="7"/>
        <v>177</v>
      </c>
      <c r="E98" s="47">
        <v>211</v>
      </c>
      <c r="H98" s="3"/>
    </row>
    <row r="99" spans="1:8" ht="15.75" customHeight="1" x14ac:dyDescent="0.25">
      <c r="A99" s="57" t="s">
        <v>79</v>
      </c>
      <c r="B99" s="300"/>
      <c r="C99" s="134">
        <v>239</v>
      </c>
      <c r="D99" s="47">
        <f t="shared" ca="1" si="7"/>
        <v>206</v>
      </c>
      <c r="E99" s="47">
        <v>263</v>
      </c>
      <c r="H99" s="3"/>
    </row>
    <row r="100" spans="1:8" ht="15.75" customHeight="1" x14ac:dyDescent="0.25">
      <c r="A100" s="132"/>
      <c r="B100" s="133"/>
      <c r="C100" s="133"/>
      <c r="D100" s="133"/>
      <c r="E100" s="133"/>
      <c r="H100" s="3"/>
    </row>
    <row r="101" spans="1:8" ht="15.75" customHeight="1" x14ac:dyDescent="0.25">
      <c r="A101" s="9" t="s">
        <v>81</v>
      </c>
      <c r="B101" s="299" t="s">
        <v>82</v>
      </c>
      <c r="C101" s="11">
        <v>2</v>
      </c>
      <c r="D101" s="47">
        <f t="shared" ref="D101:D106" ca="1" si="8">RANDBETWEEN((C101-C101*0.25),C101+(C101*0.25))</f>
        <v>2</v>
      </c>
      <c r="E101" s="47">
        <v>20</v>
      </c>
      <c r="H101" s="3"/>
    </row>
    <row r="102" spans="1:8" ht="15.75" customHeight="1" x14ac:dyDescent="0.25">
      <c r="A102" s="9" t="s">
        <v>83</v>
      </c>
      <c r="B102" s="300"/>
      <c r="C102" s="11">
        <v>7.133</v>
      </c>
      <c r="D102" s="47">
        <f t="shared" ca="1" si="8"/>
        <v>7</v>
      </c>
      <c r="E102" s="47">
        <v>28</v>
      </c>
      <c r="H102" s="3"/>
    </row>
    <row r="103" spans="1:8" ht="15.75" customHeight="1" x14ac:dyDescent="0.25">
      <c r="A103" s="9" t="s">
        <v>155</v>
      </c>
      <c r="B103" s="301"/>
      <c r="C103" s="11">
        <v>10.72</v>
      </c>
      <c r="D103" s="47">
        <f t="shared" ca="1" si="8"/>
        <v>12</v>
      </c>
      <c r="E103" s="47">
        <v>30</v>
      </c>
      <c r="H103" s="3"/>
    </row>
    <row r="104" spans="1:8" ht="15.75" customHeight="1" x14ac:dyDescent="0.25">
      <c r="A104" s="41"/>
      <c r="B104" s="125"/>
      <c r="C104" s="42"/>
      <c r="D104" s="47">
        <f t="shared" ca="1" si="8"/>
        <v>0</v>
      </c>
      <c r="E104" s="47"/>
      <c r="H104" s="3"/>
    </row>
    <row r="105" spans="1:8" ht="15.75" customHeight="1" x14ac:dyDescent="0.25">
      <c r="A105" s="129" t="s">
        <v>86</v>
      </c>
      <c r="B105" s="302" t="s">
        <v>87</v>
      </c>
      <c r="C105" s="51">
        <v>19</v>
      </c>
      <c r="D105" s="47">
        <f t="shared" ca="1" si="8"/>
        <v>20</v>
      </c>
      <c r="E105" s="47">
        <v>30</v>
      </c>
      <c r="H105" s="3"/>
    </row>
    <row r="106" spans="1:8" ht="15.75" customHeight="1" x14ac:dyDescent="0.25">
      <c r="A106" s="12" t="s">
        <v>88</v>
      </c>
      <c r="B106" s="301"/>
      <c r="C106" s="25">
        <v>20</v>
      </c>
      <c r="D106" s="47">
        <f t="shared" ca="1" si="8"/>
        <v>19</v>
      </c>
      <c r="E106" s="47">
        <v>31</v>
      </c>
      <c r="H106" s="3"/>
    </row>
    <row r="107" spans="1:8" ht="15.75" customHeight="1" x14ac:dyDescent="0.25">
      <c r="A107" s="132"/>
      <c r="B107" s="133"/>
      <c r="C107" s="133"/>
      <c r="D107" s="133"/>
      <c r="E107" s="133"/>
      <c r="H107" s="3"/>
    </row>
    <row r="108" spans="1:8" ht="15.75" customHeight="1" x14ac:dyDescent="0.25">
      <c r="A108" s="8" t="s">
        <v>89</v>
      </c>
      <c r="B108" s="302" t="s">
        <v>90</v>
      </c>
      <c r="C108" s="25">
        <v>6</v>
      </c>
      <c r="D108" s="47">
        <f t="shared" ref="D108:D109" ca="1" si="9">RANDBETWEEN((C108-C108*0.25),C108+(C108*0.25))</f>
        <v>7</v>
      </c>
      <c r="E108" s="47">
        <v>50</v>
      </c>
      <c r="H108" s="3"/>
    </row>
    <row r="109" spans="1:8" ht="15.75" customHeight="1" x14ac:dyDescent="0.25">
      <c r="A109" s="126" t="s">
        <v>91</v>
      </c>
      <c r="B109" s="301"/>
      <c r="C109" s="11">
        <v>16</v>
      </c>
      <c r="D109" s="47">
        <f t="shared" ca="1" si="9"/>
        <v>18</v>
      </c>
      <c r="E109" s="47">
        <v>67</v>
      </c>
      <c r="H109" s="3"/>
    </row>
    <row r="110" spans="1:8" ht="15.75" customHeight="1" x14ac:dyDescent="0.25">
      <c r="A110" s="135"/>
      <c r="B110" s="136"/>
      <c r="C110" s="136"/>
      <c r="D110" s="47"/>
      <c r="E110" s="47"/>
      <c r="H110" s="3"/>
    </row>
    <row r="111" spans="1:8" ht="15.75" customHeight="1" x14ac:dyDescent="0.25">
      <c r="A111" s="9" t="s">
        <v>94</v>
      </c>
      <c r="B111" s="299" t="s">
        <v>95</v>
      </c>
      <c r="C111" s="47">
        <v>49.666666666666664</v>
      </c>
      <c r="D111" s="47">
        <f t="shared" ref="D111:D115" ca="1" si="10">RANDBETWEEN((C111-C111*0.25),C111+(C111*0.25))</f>
        <v>45</v>
      </c>
      <c r="E111" s="47">
        <v>118</v>
      </c>
      <c r="H111" s="3"/>
    </row>
    <row r="112" spans="1:8" ht="15.75" customHeight="1" x14ac:dyDescent="0.25">
      <c r="A112" s="9" t="s">
        <v>96</v>
      </c>
      <c r="B112" s="300"/>
      <c r="C112" s="47">
        <v>122</v>
      </c>
      <c r="D112" s="47">
        <f t="shared" ca="1" si="10"/>
        <v>131</v>
      </c>
      <c r="E112" s="47">
        <v>131</v>
      </c>
      <c r="H112" s="3"/>
    </row>
    <row r="113" spans="1:26" ht="15.75" customHeight="1" x14ac:dyDescent="0.25">
      <c r="A113" s="9" t="s">
        <v>97</v>
      </c>
      <c r="B113" s="300"/>
      <c r="C113" s="47">
        <v>130</v>
      </c>
      <c r="D113" s="47">
        <f t="shared" ca="1" si="10"/>
        <v>119</v>
      </c>
      <c r="E113" s="47">
        <v>139</v>
      </c>
      <c r="H113" s="3"/>
    </row>
    <row r="114" spans="1:26" ht="15.75" customHeight="1" x14ac:dyDescent="0.25">
      <c r="A114" s="9" t="s">
        <v>98</v>
      </c>
      <c r="B114" s="300"/>
      <c r="C114" s="47">
        <v>142</v>
      </c>
      <c r="D114" s="47">
        <f t="shared" ca="1" si="10"/>
        <v>132</v>
      </c>
      <c r="E114" s="47">
        <v>141</v>
      </c>
      <c r="H114" s="3"/>
    </row>
    <row r="115" spans="1:26" ht="15.75" customHeight="1" x14ac:dyDescent="0.25">
      <c r="A115" s="9" t="s">
        <v>99</v>
      </c>
      <c r="B115" s="301"/>
      <c r="C115" s="47">
        <v>146</v>
      </c>
      <c r="D115" s="47">
        <f t="shared" ca="1" si="10"/>
        <v>163</v>
      </c>
      <c r="E115" s="47">
        <v>163</v>
      </c>
      <c r="H115" s="3"/>
    </row>
    <row r="116" spans="1:26" ht="15.75" customHeight="1" x14ac:dyDescent="0.25">
      <c r="C116" s="184"/>
    </row>
    <row r="117" spans="1:26" ht="15.75" customHeight="1" x14ac:dyDescent="0.25">
      <c r="C117" s="184"/>
    </row>
    <row r="118" spans="1:26" ht="15.75" customHeight="1" x14ac:dyDescent="0.25">
      <c r="C118" s="184"/>
    </row>
    <row r="119" spans="1:26" ht="15.75" customHeight="1" x14ac:dyDescent="0.25">
      <c r="C119" s="184"/>
    </row>
    <row r="120" spans="1:26" ht="15.75" customHeight="1" x14ac:dyDescent="0.25">
      <c r="A120" s="29"/>
      <c r="B120" s="29"/>
      <c r="C120" s="196"/>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5.75" customHeight="1" x14ac:dyDescent="0.25">
      <c r="A121" s="28"/>
      <c r="B121" s="28"/>
      <c r="C121" s="184"/>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5.75" customHeight="1" x14ac:dyDescent="0.25">
      <c r="A122" s="23" t="s">
        <v>115</v>
      </c>
      <c r="B122" s="43" t="s">
        <v>1027</v>
      </c>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5.75" customHeight="1" x14ac:dyDescent="0.25">
      <c r="A123" s="304" t="s">
        <v>1048</v>
      </c>
      <c r="B123" s="297"/>
      <c r="C123" s="297"/>
      <c r="D123" s="297"/>
      <c r="E123" s="298"/>
      <c r="F123" s="28"/>
      <c r="G123" s="28"/>
      <c r="H123" s="3"/>
      <c r="I123" s="28"/>
      <c r="J123" s="28"/>
      <c r="K123" s="28"/>
      <c r="L123" s="28"/>
      <c r="M123" s="28"/>
      <c r="N123" s="28"/>
      <c r="O123" s="28"/>
      <c r="P123" s="28"/>
      <c r="Q123" s="28"/>
      <c r="R123" s="28"/>
      <c r="S123" s="28"/>
      <c r="T123" s="28"/>
      <c r="U123" s="28"/>
      <c r="V123" s="28"/>
      <c r="W123" s="28"/>
      <c r="X123" s="28"/>
      <c r="Y123" s="28"/>
      <c r="Z123" s="28"/>
    </row>
    <row r="124" spans="1:26" ht="15.75" customHeight="1" x14ac:dyDescent="0.25">
      <c r="A124" s="4" t="s">
        <v>0</v>
      </c>
      <c r="B124" s="5" t="s">
        <v>1</v>
      </c>
      <c r="C124" s="5" t="s">
        <v>2</v>
      </c>
      <c r="D124" s="5" t="s">
        <v>43</v>
      </c>
      <c r="E124" s="45" t="s">
        <v>125</v>
      </c>
      <c r="F124" s="28"/>
      <c r="G124" s="296" t="s">
        <v>6</v>
      </c>
      <c r="H124" s="297"/>
      <c r="I124" s="297"/>
      <c r="J124" s="297"/>
      <c r="K124" s="297"/>
      <c r="L124" s="298"/>
      <c r="M124" s="28"/>
      <c r="N124" s="28"/>
      <c r="O124" s="28"/>
      <c r="P124" s="28"/>
      <c r="Q124" s="28"/>
      <c r="R124" s="28"/>
      <c r="S124" s="28"/>
      <c r="T124" s="28"/>
      <c r="U124" s="28"/>
      <c r="V124" s="28"/>
      <c r="W124" s="28"/>
      <c r="X124" s="28"/>
      <c r="Y124" s="28"/>
      <c r="Z124" s="28"/>
    </row>
    <row r="125" spans="1:26" ht="15.75" customHeight="1" x14ac:dyDescent="0.25">
      <c r="A125" s="9" t="s">
        <v>7</v>
      </c>
      <c r="B125" s="302" t="s">
        <v>9</v>
      </c>
      <c r="C125" s="47">
        <v>28.1</v>
      </c>
      <c r="D125" s="47">
        <v>80</v>
      </c>
      <c r="E125" s="47">
        <v>96</v>
      </c>
      <c r="F125" s="28"/>
      <c r="G125" s="296" t="s">
        <v>106</v>
      </c>
      <c r="H125" s="297"/>
      <c r="I125" s="298"/>
      <c r="J125" s="296" t="s">
        <v>107</v>
      </c>
      <c r="K125" s="297"/>
      <c r="L125" s="298"/>
      <c r="M125" s="28"/>
      <c r="N125" s="28"/>
      <c r="O125" s="28"/>
      <c r="P125" s="28"/>
      <c r="Q125" s="28"/>
      <c r="R125" s="28"/>
      <c r="S125" s="28"/>
      <c r="T125" s="28"/>
      <c r="U125" s="28"/>
      <c r="V125" s="28"/>
      <c r="W125" s="28"/>
      <c r="X125" s="28"/>
      <c r="Y125" s="28"/>
      <c r="Z125" s="28"/>
    </row>
    <row r="126" spans="1:26" ht="15.75" customHeight="1" x14ac:dyDescent="0.25">
      <c r="A126" s="9" t="s">
        <v>17</v>
      </c>
      <c r="B126" s="300"/>
      <c r="C126" s="47">
        <v>63.911000000000001</v>
      </c>
      <c r="D126" s="47">
        <v>97</v>
      </c>
      <c r="E126" s="47">
        <v>100</v>
      </c>
      <c r="F126" s="28"/>
      <c r="G126" s="13" t="s">
        <v>13</v>
      </c>
      <c r="H126" s="39">
        <f>H128+(H128*0.05)</f>
        <v>864.15</v>
      </c>
      <c r="I126" s="17" t="s">
        <v>1061</v>
      </c>
      <c r="J126" s="13" t="s">
        <v>13</v>
      </c>
      <c r="K126" s="39">
        <f>K128+(K128*0.1)</f>
        <v>918.5</v>
      </c>
      <c r="L126" s="17" t="s">
        <v>1062</v>
      </c>
      <c r="M126" s="28"/>
      <c r="N126" s="28"/>
      <c r="O126" s="28"/>
      <c r="P126" s="28"/>
      <c r="Q126" s="28"/>
      <c r="R126" s="28"/>
      <c r="S126" s="28"/>
      <c r="T126" s="28"/>
      <c r="U126" s="28"/>
      <c r="V126" s="28"/>
      <c r="W126" s="28"/>
      <c r="X126" s="28"/>
      <c r="Y126" s="28"/>
      <c r="Z126" s="28"/>
    </row>
    <row r="127" spans="1:26" ht="15.75" customHeight="1" x14ac:dyDescent="0.25">
      <c r="A127" s="9" t="s">
        <v>26</v>
      </c>
      <c r="B127" s="300"/>
      <c r="C127" s="47">
        <v>69.921999999999997</v>
      </c>
      <c r="D127" s="47">
        <v>107</v>
      </c>
      <c r="E127" s="47">
        <v>102</v>
      </c>
      <c r="F127" s="28"/>
      <c r="G127" s="13" t="s">
        <v>19</v>
      </c>
      <c r="H127" s="40">
        <f>H128-(H128*0.05)</f>
        <v>781.85</v>
      </c>
      <c r="I127" s="17" t="s">
        <v>1063</v>
      </c>
      <c r="J127" s="13" t="s">
        <v>19</v>
      </c>
      <c r="K127" s="40">
        <f>K128-(K128*0.1)</f>
        <v>751.5</v>
      </c>
      <c r="L127" s="17" t="s">
        <v>1064</v>
      </c>
      <c r="M127" s="28"/>
      <c r="N127" s="28"/>
      <c r="O127" s="28"/>
      <c r="P127" s="28"/>
      <c r="Q127" s="28"/>
      <c r="R127" s="28"/>
      <c r="S127" s="28"/>
      <c r="T127" s="28"/>
      <c r="U127" s="28"/>
      <c r="V127" s="28"/>
      <c r="W127" s="28"/>
      <c r="X127" s="28"/>
      <c r="Y127" s="28"/>
      <c r="Z127" s="28"/>
    </row>
    <row r="128" spans="1:26" ht="15.75" customHeight="1" x14ac:dyDescent="0.25">
      <c r="A128" s="9" t="s">
        <v>32</v>
      </c>
      <c r="B128" s="300"/>
      <c r="C128" s="47">
        <v>96.744</v>
      </c>
      <c r="D128" s="47">
        <v>132</v>
      </c>
      <c r="E128" s="47">
        <v>122</v>
      </c>
      <c r="F128" s="28"/>
      <c r="G128" s="13" t="s">
        <v>27</v>
      </c>
      <c r="H128" s="20">
        <v>823</v>
      </c>
      <c r="I128" s="17" t="s">
        <v>1065</v>
      </c>
      <c r="J128" s="13" t="s">
        <v>27</v>
      </c>
      <c r="K128" s="20">
        <v>835</v>
      </c>
      <c r="L128" s="17" t="s">
        <v>1066</v>
      </c>
      <c r="M128" s="28"/>
      <c r="N128" s="28"/>
      <c r="O128" s="28"/>
      <c r="P128" s="28"/>
      <c r="Q128" s="28"/>
      <c r="R128" s="28"/>
      <c r="S128" s="28"/>
      <c r="T128" s="28"/>
      <c r="U128" s="28"/>
      <c r="V128" s="28"/>
      <c r="W128" s="28"/>
      <c r="X128" s="28"/>
      <c r="Y128" s="28"/>
      <c r="Z128" s="28"/>
    </row>
    <row r="129" spans="1:26" ht="15.75" customHeight="1" x14ac:dyDescent="0.25">
      <c r="A129" s="9" t="s">
        <v>33</v>
      </c>
      <c r="B129" s="301"/>
      <c r="C129" s="47">
        <v>128.11000000000001</v>
      </c>
      <c r="D129" s="47">
        <v>173</v>
      </c>
      <c r="E129" s="47">
        <v>161</v>
      </c>
      <c r="F129" s="28"/>
      <c r="G129" s="13" t="s">
        <v>121</v>
      </c>
      <c r="H129" s="20">
        <v>922</v>
      </c>
      <c r="I129" s="17" t="s">
        <v>1067</v>
      </c>
      <c r="J129" s="13" t="s">
        <v>121</v>
      </c>
      <c r="K129" s="20">
        <v>832</v>
      </c>
      <c r="L129" s="17" t="s">
        <v>1068</v>
      </c>
      <c r="M129" s="28"/>
      <c r="N129" s="28"/>
      <c r="O129" s="28"/>
      <c r="P129" s="28"/>
      <c r="Q129" s="28"/>
      <c r="R129" s="28"/>
      <c r="S129" s="28"/>
      <c r="T129" s="28"/>
      <c r="U129" s="28"/>
      <c r="V129" s="28"/>
      <c r="W129" s="28"/>
      <c r="X129" s="28"/>
      <c r="Y129" s="28"/>
      <c r="Z129" s="28"/>
    </row>
    <row r="130" spans="1:26" ht="15.75" customHeight="1" x14ac:dyDescent="0.25">
      <c r="A130" s="41"/>
      <c r="B130" s="125"/>
      <c r="C130" s="42"/>
      <c r="D130" s="180"/>
      <c r="E130" s="180"/>
      <c r="F130" s="28"/>
      <c r="G130" s="28"/>
      <c r="H130" s="3"/>
      <c r="I130" s="28"/>
      <c r="J130" s="28"/>
      <c r="K130" s="28"/>
      <c r="L130" s="28"/>
      <c r="M130" s="28"/>
      <c r="N130" s="28"/>
      <c r="O130" s="28"/>
      <c r="P130" s="28"/>
      <c r="Q130" s="28"/>
      <c r="R130" s="28"/>
      <c r="S130" s="28"/>
      <c r="T130" s="28"/>
      <c r="U130" s="28"/>
      <c r="V130" s="28"/>
      <c r="W130" s="28"/>
      <c r="X130" s="28"/>
      <c r="Y130" s="28"/>
      <c r="Z130" s="28"/>
    </row>
    <row r="131" spans="1:26" ht="15.75" customHeight="1" x14ac:dyDescent="0.25">
      <c r="A131" s="126" t="s">
        <v>35</v>
      </c>
      <c r="B131" s="302" t="s">
        <v>36</v>
      </c>
      <c r="C131" s="47">
        <v>207.78</v>
      </c>
      <c r="D131" s="47">
        <v>210</v>
      </c>
      <c r="E131" s="47">
        <v>234</v>
      </c>
      <c r="F131" s="28"/>
      <c r="G131" s="28"/>
      <c r="H131" s="3"/>
      <c r="I131" s="27" t="s">
        <v>241</v>
      </c>
      <c r="J131" s="128">
        <v>43657</v>
      </c>
      <c r="K131" s="28"/>
      <c r="L131" s="28"/>
      <c r="M131" s="28"/>
      <c r="N131" s="28"/>
      <c r="O131" s="28"/>
      <c r="P131" s="28"/>
      <c r="Q131" s="28"/>
      <c r="R131" s="28"/>
      <c r="S131" s="28"/>
      <c r="T131" s="28"/>
      <c r="U131" s="28"/>
      <c r="V131" s="28"/>
      <c r="W131" s="28"/>
      <c r="X131" s="28"/>
      <c r="Y131" s="28"/>
      <c r="Z131" s="28"/>
    </row>
    <row r="132" spans="1:26" ht="15.75" customHeight="1" x14ac:dyDescent="0.25">
      <c r="A132" s="126" t="s">
        <v>37</v>
      </c>
      <c r="B132" s="300"/>
      <c r="C132" s="47">
        <v>444.11</v>
      </c>
      <c r="D132" s="47">
        <v>492</v>
      </c>
      <c r="E132" s="47">
        <v>466</v>
      </c>
      <c r="F132" s="28"/>
      <c r="G132" s="28"/>
      <c r="H132" s="3"/>
      <c r="I132" s="28"/>
      <c r="J132" s="28"/>
      <c r="K132" s="28"/>
      <c r="L132" s="28"/>
      <c r="M132" s="28"/>
      <c r="N132" s="28"/>
      <c r="O132" s="28"/>
      <c r="P132" s="28"/>
      <c r="Q132" s="28"/>
      <c r="R132" s="28"/>
      <c r="S132" s="28"/>
      <c r="T132" s="28"/>
      <c r="U132" s="28"/>
      <c r="V132" s="28"/>
      <c r="W132" s="28"/>
      <c r="X132" s="28"/>
      <c r="Y132" s="28"/>
      <c r="Z132" s="28"/>
    </row>
    <row r="133" spans="1:26" ht="15.75" customHeight="1" x14ac:dyDescent="0.25">
      <c r="A133" s="126" t="s">
        <v>38</v>
      </c>
      <c r="B133" s="300"/>
      <c r="C133" s="47">
        <v>579.55999999999995</v>
      </c>
      <c r="D133" s="47">
        <v>572</v>
      </c>
      <c r="E133" s="47">
        <v>546</v>
      </c>
      <c r="F133" s="28"/>
      <c r="G133" s="28"/>
      <c r="H133" s="3"/>
      <c r="I133" s="28"/>
      <c r="J133" s="28"/>
      <c r="K133" s="28"/>
      <c r="L133" s="28"/>
      <c r="M133" s="28"/>
      <c r="N133" s="28"/>
      <c r="O133" s="28"/>
      <c r="P133" s="28"/>
      <c r="Q133" s="28"/>
      <c r="R133" s="28"/>
      <c r="S133" s="28"/>
      <c r="T133" s="28"/>
      <c r="U133" s="28"/>
      <c r="V133" s="28"/>
      <c r="W133" s="28"/>
      <c r="X133" s="28"/>
      <c r="Y133" s="28"/>
      <c r="Z133" s="28"/>
    </row>
    <row r="134" spans="1:26" ht="15.75" customHeight="1" x14ac:dyDescent="0.25">
      <c r="A134" s="129" t="s">
        <v>39</v>
      </c>
      <c r="B134" s="300"/>
      <c r="C134" s="50">
        <v>746.22</v>
      </c>
      <c r="D134" s="47">
        <v>795</v>
      </c>
      <c r="E134" s="47">
        <v>779</v>
      </c>
      <c r="F134" s="28"/>
      <c r="G134" s="28"/>
      <c r="H134" s="3"/>
      <c r="I134" s="28"/>
      <c r="J134" s="28"/>
      <c r="K134" s="28"/>
      <c r="L134" s="28"/>
      <c r="M134" s="28"/>
      <c r="N134" s="28"/>
      <c r="O134" s="28"/>
      <c r="P134" s="28"/>
      <c r="Q134" s="28"/>
      <c r="R134" s="28"/>
      <c r="S134" s="28"/>
      <c r="T134" s="28"/>
      <c r="U134" s="28"/>
      <c r="V134" s="28"/>
      <c r="W134" s="28"/>
      <c r="X134" s="28"/>
      <c r="Y134" s="28"/>
      <c r="Z134" s="28"/>
    </row>
    <row r="135" spans="1:26" ht="15.75" customHeight="1" x14ac:dyDescent="0.25">
      <c r="A135" s="12" t="s">
        <v>41</v>
      </c>
      <c r="B135" s="301"/>
      <c r="C135" s="71">
        <v>869.5</v>
      </c>
      <c r="D135" s="47">
        <v>838</v>
      </c>
      <c r="E135" s="47">
        <v>814</v>
      </c>
      <c r="F135" s="28"/>
      <c r="G135" s="28"/>
      <c r="H135" s="3"/>
      <c r="I135" s="28"/>
      <c r="J135" s="28"/>
      <c r="K135" s="28"/>
      <c r="L135" s="28"/>
      <c r="M135" s="28"/>
      <c r="N135" s="28"/>
      <c r="O135" s="28"/>
      <c r="P135" s="28"/>
      <c r="Q135" s="28"/>
      <c r="R135" s="28"/>
      <c r="S135" s="28"/>
      <c r="T135" s="28"/>
      <c r="U135" s="28"/>
      <c r="V135" s="28"/>
      <c r="W135" s="28"/>
      <c r="X135" s="28"/>
      <c r="Y135" s="28"/>
      <c r="Z135" s="28"/>
    </row>
    <row r="136" spans="1:26" ht="15.75" customHeight="1" x14ac:dyDescent="0.25">
      <c r="A136" s="130"/>
      <c r="B136" s="131"/>
      <c r="C136" s="131"/>
      <c r="D136" s="131"/>
      <c r="E136" s="131"/>
      <c r="F136" s="28"/>
      <c r="G136" s="28"/>
      <c r="H136" s="3"/>
      <c r="I136" s="28"/>
      <c r="J136" s="28"/>
      <c r="K136" s="28"/>
      <c r="L136" s="28"/>
      <c r="M136" s="28"/>
      <c r="N136" s="28"/>
      <c r="O136" s="28"/>
      <c r="P136" s="28"/>
      <c r="Q136" s="28"/>
      <c r="R136" s="28"/>
      <c r="S136" s="28"/>
      <c r="T136" s="28"/>
      <c r="U136" s="28"/>
      <c r="V136" s="28"/>
      <c r="W136" s="28"/>
      <c r="X136" s="28"/>
      <c r="Y136" s="28"/>
      <c r="Z136" s="28"/>
    </row>
    <row r="137" spans="1:26" ht="15.75" customHeight="1" x14ac:dyDescent="0.25">
      <c r="A137" s="9" t="s">
        <v>46</v>
      </c>
      <c r="B137" s="299" t="s">
        <v>47</v>
      </c>
      <c r="C137" s="11">
        <v>88.4</v>
      </c>
      <c r="D137" s="47">
        <v>178</v>
      </c>
      <c r="E137" s="47">
        <v>117</v>
      </c>
      <c r="F137" s="28"/>
      <c r="G137" s="28"/>
      <c r="H137" s="3"/>
      <c r="I137" s="28"/>
      <c r="J137" s="28"/>
      <c r="K137" s="28"/>
      <c r="L137" s="28"/>
      <c r="M137" s="28"/>
      <c r="N137" s="28"/>
      <c r="O137" s="28"/>
      <c r="P137" s="28"/>
      <c r="Q137" s="28"/>
      <c r="R137" s="28"/>
      <c r="S137" s="28"/>
      <c r="T137" s="28"/>
      <c r="U137" s="28"/>
      <c r="V137" s="28"/>
      <c r="W137" s="28"/>
      <c r="X137" s="28"/>
      <c r="Y137" s="28"/>
      <c r="Z137" s="28"/>
    </row>
    <row r="138" spans="1:26" ht="15.75" customHeight="1" x14ac:dyDescent="0.25">
      <c r="A138" s="9" t="s">
        <v>48</v>
      </c>
      <c r="B138" s="300"/>
      <c r="C138" s="11">
        <v>94.6</v>
      </c>
      <c r="D138" s="47">
        <v>182</v>
      </c>
      <c r="E138" s="47">
        <v>137</v>
      </c>
      <c r="F138" s="28"/>
      <c r="G138" s="28"/>
      <c r="H138" s="3"/>
      <c r="I138" s="28"/>
      <c r="J138" s="28"/>
      <c r="K138" s="28"/>
      <c r="L138" s="28"/>
      <c r="M138" s="28"/>
      <c r="N138" s="28"/>
      <c r="O138" s="28"/>
      <c r="P138" s="28"/>
      <c r="Q138" s="28"/>
      <c r="R138" s="28"/>
      <c r="S138" s="28"/>
      <c r="T138" s="28"/>
      <c r="U138" s="28"/>
      <c r="V138" s="28"/>
      <c r="W138" s="28"/>
      <c r="X138" s="28"/>
      <c r="Y138" s="28"/>
      <c r="Z138" s="28"/>
    </row>
    <row r="139" spans="1:26" ht="15.75" customHeight="1" x14ac:dyDescent="0.25">
      <c r="A139" s="41"/>
      <c r="B139" s="125"/>
      <c r="C139" s="42"/>
      <c r="D139" s="180"/>
      <c r="E139" s="180"/>
      <c r="F139" s="28"/>
      <c r="G139" s="28"/>
      <c r="H139" s="3"/>
      <c r="I139" s="28"/>
      <c r="J139" s="28"/>
      <c r="K139" s="28"/>
      <c r="L139" s="28"/>
      <c r="M139" s="28"/>
      <c r="N139" s="28"/>
      <c r="O139" s="28"/>
      <c r="P139" s="28"/>
      <c r="Q139" s="28"/>
      <c r="R139" s="28"/>
      <c r="S139" s="28"/>
      <c r="T139" s="28"/>
      <c r="U139" s="28"/>
      <c r="V139" s="28"/>
      <c r="W139" s="28"/>
      <c r="X139" s="28"/>
      <c r="Y139" s="28"/>
      <c r="Z139" s="28"/>
    </row>
    <row r="140" spans="1:26" ht="15.75" customHeight="1" x14ac:dyDescent="0.25">
      <c r="A140" s="126" t="s">
        <v>50</v>
      </c>
      <c r="B140" s="302" t="s">
        <v>51</v>
      </c>
      <c r="C140" s="47">
        <v>271.44</v>
      </c>
      <c r="D140" s="11">
        <v>250</v>
      </c>
      <c r="E140" s="11">
        <v>251</v>
      </c>
      <c r="F140" s="28"/>
      <c r="G140" s="28"/>
      <c r="H140" s="3"/>
      <c r="I140" s="28"/>
      <c r="J140" s="28"/>
      <c r="K140" s="28"/>
      <c r="L140" s="28"/>
      <c r="M140" s="28"/>
      <c r="N140" s="28"/>
      <c r="O140" s="28"/>
      <c r="P140" s="28"/>
      <c r="Q140" s="28"/>
      <c r="R140" s="28"/>
      <c r="S140" s="28"/>
      <c r="T140" s="28"/>
      <c r="U140" s="28"/>
      <c r="V140" s="28"/>
      <c r="W140" s="28"/>
      <c r="X140" s="28"/>
      <c r="Y140" s="28"/>
      <c r="Z140" s="28"/>
    </row>
    <row r="141" spans="1:26" ht="15.75" customHeight="1" x14ac:dyDescent="0.25">
      <c r="A141" s="126" t="s">
        <v>54</v>
      </c>
      <c r="B141" s="300"/>
      <c r="C141" s="47">
        <v>550.22199999999998</v>
      </c>
      <c r="D141" s="11">
        <v>595</v>
      </c>
      <c r="E141" s="11">
        <v>575</v>
      </c>
      <c r="F141" s="28"/>
      <c r="G141" s="28"/>
      <c r="H141" s="3"/>
      <c r="I141" s="28"/>
      <c r="J141" s="28"/>
      <c r="K141" s="28"/>
      <c r="L141" s="28"/>
      <c r="M141" s="28"/>
      <c r="N141" s="28"/>
      <c r="O141" s="28"/>
      <c r="P141" s="28"/>
      <c r="Q141" s="28"/>
      <c r="R141" s="28"/>
      <c r="S141" s="28"/>
      <c r="T141" s="28"/>
      <c r="U141" s="28"/>
      <c r="V141" s="28"/>
      <c r="W141" s="28"/>
      <c r="X141" s="28"/>
      <c r="Y141" s="28"/>
      <c r="Z141" s="28"/>
    </row>
    <row r="142" spans="1:26" ht="15.75" customHeight="1" x14ac:dyDescent="0.25">
      <c r="A142" s="126" t="s">
        <v>55</v>
      </c>
      <c r="B142" s="300"/>
      <c r="C142" s="47">
        <v>746.8</v>
      </c>
      <c r="D142" s="11">
        <v>653</v>
      </c>
      <c r="E142" s="11">
        <v>639</v>
      </c>
      <c r="F142" s="28"/>
      <c r="G142" s="28"/>
      <c r="H142" s="3"/>
      <c r="I142" s="28"/>
      <c r="J142" s="28"/>
      <c r="K142" s="28"/>
      <c r="L142" s="28"/>
      <c r="M142" s="28"/>
      <c r="N142" s="28"/>
      <c r="O142" s="28"/>
      <c r="P142" s="28"/>
      <c r="Q142" s="28"/>
      <c r="R142" s="28"/>
      <c r="S142" s="28"/>
      <c r="T142" s="28"/>
      <c r="U142" s="28"/>
      <c r="V142" s="28"/>
      <c r="W142" s="28"/>
      <c r="X142" s="28"/>
      <c r="Y142" s="28"/>
      <c r="Z142" s="28"/>
    </row>
    <row r="143" spans="1:26" ht="15.75" customHeight="1" x14ac:dyDescent="0.25">
      <c r="A143" s="129" t="s">
        <v>56</v>
      </c>
      <c r="B143" s="300"/>
      <c r="C143" s="50">
        <v>768.33333333333337</v>
      </c>
      <c r="D143" s="11">
        <v>782</v>
      </c>
      <c r="E143" s="11">
        <v>760</v>
      </c>
      <c r="F143" s="28"/>
      <c r="G143" s="28"/>
      <c r="H143" s="3"/>
      <c r="I143" s="28"/>
      <c r="J143" s="28"/>
      <c r="K143" s="28"/>
      <c r="L143" s="28"/>
      <c r="M143" s="28"/>
      <c r="N143" s="28"/>
      <c r="O143" s="28"/>
      <c r="P143" s="28"/>
      <c r="Q143" s="28"/>
      <c r="R143" s="28"/>
      <c r="S143" s="28"/>
      <c r="T143" s="28"/>
      <c r="U143" s="28"/>
      <c r="V143" s="28"/>
      <c r="W143" s="28"/>
      <c r="X143" s="28"/>
      <c r="Y143" s="28"/>
      <c r="Z143" s="28"/>
    </row>
    <row r="144" spans="1:26" ht="15.75" customHeight="1" x14ac:dyDescent="0.25">
      <c r="A144" s="8" t="s">
        <v>57</v>
      </c>
      <c r="B144" s="301"/>
      <c r="C144" s="71">
        <v>609</v>
      </c>
      <c r="D144" s="11">
        <v>642</v>
      </c>
      <c r="E144" s="11">
        <v>627</v>
      </c>
      <c r="F144" s="28"/>
      <c r="G144" s="28"/>
      <c r="H144" s="3"/>
      <c r="I144" s="28"/>
      <c r="J144" s="28"/>
      <c r="K144" s="28"/>
      <c r="L144" s="28"/>
      <c r="M144" s="28"/>
      <c r="N144" s="28"/>
      <c r="O144" s="28"/>
      <c r="P144" s="28"/>
      <c r="Q144" s="28"/>
      <c r="R144" s="28"/>
      <c r="S144" s="28"/>
      <c r="T144" s="28"/>
      <c r="U144" s="28"/>
      <c r="V144" s="28"/>
      <c r="W144" s="28"/>
      <c r="X144" s="28"/>
      <c r="Y144" s="28"/>
      <c r="Z144" s="28"/>
    </row>
    <row r="145" spans="1:26" ht="15.75" customHeight="1" x14ac:dyDescent="0.25">
      <c r="A145" s="130"/>
      <c r="B145" s="131"/>
      <c r="C145" s="131"/>
      <c r="D145" s="131"/>
      <c r="E145" s="131"/>
      <c r="F145" s="28"/>
      <c r="G145" s="28"/>
      <c r="H145" s="3"/>
      <c r="I145" s="28"/>
      <c r="J145" s="28"/>
      <c r="K145" s="28"/>
      <c r="L145" s="28"/>
      <c r="M145" s="28"/>
      <c r="N145" s="28"/>
      <c r="O145" s="28"/>
      <c r="P145" s="28"/>
      <c r="Q145" s="28"/>
      <c r="R145" s="28"/>
      <c r="S145" s="28"/>
      <c r="T145" s="28"/>
      <c r="U145" s="28"/>
      <c r="V145" s="28"/>
      <c r="W145" s="28"/>
      <c r="X145" s="28"/>
      <c r="Y145" s="28"/>
      <c r="Z145" s="28"/>
    </row>
    <row r="146" spans="1:26" ht="15.75" customHeight="1" x14ac:dyDescent="0.25">
      <c r="A146" s="9" t="s">
        <v>60</v>
      </c>
      <c r="B146" s="299" t="s">
        <v>62</v>
      </c>
      <c r="C146" s="47">
        <v>19.741666666666667</v>
      </c>
      <c r="D146" s="47">
        <v>35</v>
      </c>
      <c r="E146" s="47">
        <v>32</v>
      </c>
      <c r="F146" s="28"/>
      <c r="G146" s="28"/>
      <c r="H146" s="3"/>
      <c r="I146" s="28"/>
      <c r="J146" s="28"/>
      <c r="K146" s="28"/>
      <c r="L146" s="28"/>
      <c r="M146" s="28"/>
      <c r="N146" s="28"/>
      <c r="O146" s="28"/>
      <c r="P146" s="28"/>
      <c r="Q146" s="28"/>
      <c r="R146" s="28"/>
      <c r="S146" s="28"/>
      <c r="T146" s="28"/>
      <c r="U146" s="28"/>
      <c r="V146" s="28"/>
      <c r="W146" s="28"/>
      <c r="X146" s="28"/>
      <c r="Y146" s="28"/>
      <c r="Z146" s="28"/>
    </row>
    <row r="147" spans="1:26" ht="15.75" customHeight="1" x14ac:dyDescent="0.25">
      <c r="A147" s="9" t="s">
        <v>65</v>
      </c>
      <c r="B147" s="300"/>
      <c r="C147" s="11">
        <v>42</v>
      </c>
      <c r="D147" s="47">
        <v>52</v>
      </c>
      <c r="E147" s="47">
        <v>47</v>
      </c>
      <c r="F147" s="28"/>
      <c r="G147" s="28"/>
      <c r="H147" s="3"/>
      <c r="I147" s="28"/>
      <c r="J147" s="28"/>
      <c r="K147" s="28"/>
      <c r="L147" s="28"/>
      <c r="M147" s="28"/>
      <c r="N147" s="28"/>
      <c r="O147" s="28"/>
      <c r="P147" s="28"/>
      <c r="Q147" s="28"/>
      <c r="R147" s="28"/>
      <c r="S147" s="28"/>
      <c r="T147" s="28"/>
      <c r="U147" s="28"/>
      <c r="V147" s="28"/>
      <c r="W147" s="28"/>
      <c r="X147" s="28"/>
      <c r="Y147" s="28"/>
      <c r="Z147" s="28"/>
    </row>
    <row r="148" spans="1:26" ht="15.75" customHeight="1" x14ac:dyDescent="0.25">
      <c r="A148" s="9" t="s">
        <v>64</v>
      </c>
      <c r="B148" s="301"/>
      <c r="C148" s="11">
        <v>42</v>
      </c>
      <c r="D148" s="47">
        <v>54</v>
      </c>
      <c r="E148" s="47">
        <v>50</v>
      </c>
      <c r="F148" s="28"/>
      <c r="G148" s="28"/>
      <c r="H148" s="3"/>
      <c r="I148" s="28"/>
      <c r="J148" s="28"/>
      <c r="K148" s="28"/>
      <c r="L148" s="28"/>
      <c r="M148" s="28"/>
      <c r="N148" s="28"/>
      <c r="O148" s="28"/>
      <c r="P148" s="28"/>
      <c r="Q148" s="28"/>
      <c r="R148" s="28"/>
      <c r="S148" s="28"/>
      <c r="T148" s="28"/>
      <c r="U148" s="28"/>
      <c r="V148" s="28"/>
      <c r="W148" s="28"/>
      <c r="X148" s="28"/>
      <c r="Y148" s="28"/>
      <c r="Z148" s="28"/>
    </row>
    <row r="149" spans="1:26" ht="15.75" customHeight="1" x14ac:dyDescent="0.25">
      <c r="A149" s="41"/>
      <c r="B149" s="125"/>
      <c r="C149" s="42"/>
      <c r="D149" s="47"/>
      <c r="E149" s="47"/>
      <c r="F149" s="28"/>
      <c r="G149" s="28"/>
      <c r="H149" s="3"/>
      <c r="I149" s="28"/>
      <c r="J149" s="28"/>
      <c r="K149" s="28"/>
      <c r="L149" s="28"/>
      <c r="M149" s="28"/>
      <c r="N149" s="28"/>
      <c r="O149" s="28"/>
      <c r="P149" s="28"/>
      <c r="Q149" s="28"/>
      <c r="R149" s="28"/>
      <c r="S149" s="28"/>
      <c r="T149" s="28"/>
      <c r="U149" s="28"/>
      <c r="V149" s="28"/>
      <c r="W149" s="28"/>
      <c r="X149" s="28"/>
      <c r="Y149" s="28"/>
      <c r="Z149" s="28"/>
    </row>
    <row r="150" spans="1:26" ht="15.75" customHeight="1" x14ac:dyDescent="0.25">
      <c r="A150" s="129" t="s">
        <v>66</v>
      </c>
      <c r="B150" s="302" t="s">
        <v>68</v>
      </c>
      <c r="C150" s="50">
        <v>204.5</v>
      </c>
      <c r="D150" s="47">
        <v>222</v>
      </c>
      <c r="E150" s="47">
        <v>207</v>
      </c>
      <c r="F150" s="28"/>
      <c r="G150" s="28"/>
      <c r="H150" s="3"/>
      <c r="I150" s="28"/>
      <c r="J150" s="28"/>
      <c r="K150" s="28"/>
      <c r="L150" s="28"/>
      <c r="M150" s="28"/>
      <c r="N150" s="28"/>
      <c r="O150" s="28"/>
      <c r="P150" s="28"/>
      <c r="Q150" s="28"/>
      <c r="R150" s="28"/>
      <c r="S150" s="28"/>
      <c r="T150" s="28"/>
      <c r="U150" s="28"/>
      <c r="V150" s="28"/>
      <c r="W150" s="28"/>
      <c r="X150" s="28"/>
      <c r="Y150" s="28"/>
      <c r="Z150" s="28"/>
    </row>
    <row r="151" spans="1:26" ht="15.75" customHeight="1" x14ac:dyDescent="0.25">
      <c r="A151" s="12" t="s">
        <v>69</v>
      </c>
      <c r="B151" s="301"/>
      <c r="C151" s="71">
        <v>277.7</v>
      </c>
      <c r="D151" s="47">
        <v>303</v>
      </c>
      <c r="E151" s="47">
        <v>288</v>
      </c>
      <c r="F151" s="28"/>
      <c r="G151" s="28"/>
      <c r="H151" s="3"/>
      <c r="I151" s="28"/>
      <c r="J151" s="28"/>
      <c r="K151" s="28"/>
      <c r="L151" s="28"/>
      <c r="M151" s="28"/>
      <c r="N151" s="28"/>
      <c r="O151" s="28"/>
      <c r="P151" s="28"/>
      <c r="Q151" s="28"/>
      <c r="R151" s="28"/>
      <c r="S151" s="28"/>
      <c r="T151" s="28"/>
      <c r="U151" s="28"/>
      <c r="V151" s="28"/>
      <c r="W151" s="28"/>
      <c r="X151" s="28"/>
      <c r="Y151" s="28"/>
      <c r="Z151" s="28"/>
    </row>
    <row r="152" spans="1:26" ht="15.75" customHeight="1" x14ac:dyDescent="0.25">
      <c r="A152" s="132"/>
      <c r="B152" s="133"/>
      <c r="C152" s="133"/>
      <c r="D152" s="133"/>
      <c r="E152" s="133"/>
      <c r="F152" s="28"/>
      <c r="G152" s="28"/>
      <c r="H152" s="3"/>
      <c r="I152" s="28"/>
      <c r="J152" s="28"/>
      <c r="K152" s="28"/>
      <c r="L152" s="28"/>
      <c r="M152" s="28"/>
      <c r="N152" s="28"/>
      <c r="O152" s="28"/>
      <c r="P152" s="28"/>
      <c r="Q152" s="28"/>
      <c r="R152" s="28"/>
      <c r="S152" s="28"/>
      <c r="T152" s="28"/>
      <c r="U152" s="28"/>
      <c r="V152" s="28"/>
      <c r="W152" s="28"/>
      <c r="X152" s="28"/>
      <c r="Y152" s="28"/>
      <c r="Z152" s="28"/>
    </row>
    <row r="153" spans="1:26" ht="15.75" customHeight="1" x14ac:dyDescent="0.25">
      <c r="A153" s="56" t="s">
        <v>69</v>
      </c>
      <c r="B153" s="303" t="s">
        <v>71</v>
      </c>
      <c r="C153" s="47">
        <v>12</v>
      </c>
      <c r="D153" s="47">
        <v>19</v>
      </c>
      <c r="E153" s="47">
        <v>14</v>
      </c>
      <c r="F153" s="28"/>
      <c r="G153" s="28"/>
      <c r="H153" s="3"/>
      <c r="I153" s="28"/>
      <c r="J153" s="28"/>
      <c r="K153" s="28"/>
      <c r="L153" s="28"/>
      <c r="M153" s="28"/>
      <c r="N153" s="28"/>
      <c r="O153" s="28"/>
      <c r="P153" s="28"/>
      <c r="Q153" s="28"/>
      <c r="R153" s="28"/>
      <c r="S153" s="28"/>
      <c r="T153" s="28"/>
      <c r="U153" s="28"/>
      <c r="V153" s="28"/>
      <c r="W153" s="28"/>
      <c r="X153" s="28"/>
      <c r="Y153" s="28"/>
      <c r="Z153" s="28"/>
    </row>
    <row r="154" spans="1:26" ht="15.75" customHeight="1" x14ac:dyDescent="0.25">
      <c r="A154" s="56" t="s">
        <v>72</v>
      </c>
      <c r="B154" s="300"/>
      <c r="C154" s="47">
        <v>14</v>
      </c>
      <c r="D154" s="47">
        <v>23</v>
      </c>
      <c r="E154" s="47">
        <v>14</v>
      </c>
      <c r="F154" s="28"/>
      <c r="G154" s="28"/>
      <c r="H154" s="3"/>
      <c r="I154" s="28"/>
      <c r="J154" s="28"/>
      <c r="K154" s="28"/>
      <c r="L154" s="28"/>
      <c r="M154" s="28"/>
      <c r="N154" s="28"/>
      <c r="O154" s="28"/>
      <c r="P154" s="28"/>
      <c r="Q154" s="28"/>
      <c r="R154" s="28"/>
      <c r="S154" s="28"/>
      <c r="T154" s="28"/>
      <c r="U154" s="28"/>
      <c r="V154" s="28"/>
      <c r="W154" s="28"/>
      <c r="X154" s="28"/>
      <c r="Y154" s="28"/>
      <c r="Z154" s="28"/>
    </row>
    <row r="155" spans="1:26" ht="15.75" customHeight="1" x14ac:dyDescent="0.25">
      <c r="A155" s="56" t="s">
        <v>73</v>
      </c>
      <c r="B155" s="301"/>
      <c r="C155" s="47">
        <v>17.43333333333333</v>
      </c>
      <c r="D155" s="47">
        <v>28</v>
      </c>
      <c r="E155" s="47">
        <v>21</v>
      </c>
      <c r="F155" s="28"/>
      <c r="G155" s="28"/>
      <c r="H155" s="3"/>
      <c r="I155" s="28"/>
      <c r="J155" s="28"/>
      <c r="K155" s="28"/>
      <c r="L155" s="28"/>
      <c r="M155" s="28"/>
      <c r="N155" s="28"/>
      <c r="O155" s="28"/>
      <c r="P155" s="28"/>
      <c r="Q155" s="28"/>
      <c r="R155" s="28"/>
      <c r="S155" s="28"/>
      <c r="T155" s="28"/>
      <c r="U155" s="28"/>
      <c r="V155" s="28"/>
      <c r="W155" s="28"/>
      <c r="X155" s="28"/>
      <c r="Y155" s="28"/>
      <c r="Z155" s="28"/>
    </row>
    <row r="156" spans="1:26" ht="15.75" customHeight="1" x14ac:dyDescent="0.25">
      <c r="A156" s="92"/>
      <c r="B156" s="69"/>
      <c r="C156" s="69"/>
      <c r="D156" s="47"/>
      <c r="E156" s="47"/>
      <c r="F156" s="28"/>
      <c r="G156" s="28"/>
      <c r="H156" s="3"/>
      <c r="I156" s="28"/>
      <c r="J156" s="28"/>
      <c r="K156" s="28"/>
      <c r="L156" s="28"/>
      <c r="M156" s="28"/>
      <c r="N156" s="28"/>
      <c r="O156" s="28"/>
      <c r="P156" s="28"/>
      <c r="Q156" s="28"/>
      <c r="R156" s="28"/>
      <c r="S156" s="28"/>
      <c r="T156" s="28"/>
      <c r="U156" s="28"/>
      <c r="V156" s="28"/>
      <c r="W156" s="28"/>
      <c r="X156" s="28"/>
      <c r="Y156" s="28"/>
      <c r="Z156" s="28"/>
    </row>
    <row r="157" spans="1:26" ht="15.75" customHeight="1" x14ac:dyDescent="0.25">
      <c r="A157" s="56" t="s">
        <v>80</v>
      </c>
      <c r="B157" s="309" t="s">
        <v>77</v>
      </c>
      <c r="C157" s="47">
        <v>117</v>
      </c>
      <c r="D157" s="47">
        <v>158</v>
      </c>
      <c r="E157" s="47">
        <v>148</v>
      </c>
      <c r="F157" s="28"/>
      <c r="G157" s="28"/>
      <c r="H157" s="3"/>
      <c r="I157" s="28"/>
      <c r="J157" s="28"/>
      <c r="K157" s="28"/>
      <c r="L157" s="28"/>
      <c r="M157" s="28"/>
      <c r="N157" s="28"/>
      <c r="O157" s="28"/>
      <c r="P157" s="28"/>
      <c r="Q157" s="28"/>
      <c r="R157" s="28"/>
      <c r="S157" s="28"/>
      <c r="T157" s="28"/>
      <c r="U157" s="28"/>
      <c r="V157" s="28"/>
      <c r="W157" s="28"/>
      <c r="X157" s="28"/>
      <c r="Y157" s="28"/>
      <c r="Z157" s="28"/>
    </row>
    <row r="158" spans="1:26" ht="15.75" customHeight="1" x14ac:dyDescent="0.25">
      <c r="A158" s="56" t="s">
        <v>78</v>
      </c>
      <c r="B158" s="300"/>
      <c r="C158" s="47">
        <v>188</v>
      </c>
      <c r="D158" s="47">
        <v>174</v>
      </c>
      <c r="E158" s="47">
        <v>166</v>
      </c>
      <c r="F158" s="28"/>
      <c r="G158" s="28"/>
      <c r="H158" s="3"/>
      <c r="I158" s="28"/>
      <c r="J158" s="28"/>
      <c r="K158" s="28"/>
      <c r="L158" s="28"/>
      <c r="M158" s="28"/>
      <c r="N158" s="28"/>
      <c r="O158" s="28"/>
      <c r="P158" s="28"/>
      <c r="Q158" s="28"/>
      <c r="R158" s="28"/>
      <c r="S158" s="28"/>
      <c r="T158" s="28"/>
      <c r="U158" s="28"/>
      <c r="V158" s="28"/>
      <c r="W158" s="28"/>
      <c r="X158" s="28"/>
      <c r="Y158" s="28"/>
      <c r="Z158" s="28"/>
    </row>
    <row r="159" spans="1:26" ht="15.75" customHeight="1" x14ac:dyDescent="0.25">
      <c r="A159" s="56" t="s">
        <v>76</v>
      </c>
      <c r="B159" s="300"/>
      <c r="C159" s="50">
        <v>218</v>
      </c>
      <c r="D159" s="47">
        <v>211</v>
      </c>
      <c r="E159" s="47">
        <v>201</v>
      </c>
      <c r="F159" s="28"/>
      <c r="G159" s="28"/>
      <c r="H159" s="3"/>
      <c r="I159" s="28"/>
      <c r="J159" s="28"/>
      <c r="K159" s="28"/>
      <c r="L159" s="28"/>
      <c r="M159" s="28"/>
      <c r="N159" s="28"/>
      <c r="O159" s="28"/>
      <c r="P159" s="28"/>
      <c r="Q159" s="28"/>
      <c r="R159" s="28"/>
      <c r="S159" s="28"/>
      <c r="T159" s="28"/>
      <c r="U159" s="28"/>
      <c r="V159" s="28"/>
      <c r="W159" s="28"/>
      <c r="X159" s="28"/>
      <c r="Y159" s="28"/>
      <c r="Z159" s="28"/>
    </row>
    <row r="160" spans="1:26" ht="15.75" customHeight="1" x14ac:dyDescent="0.25">
      <c r="A160" s="57" t="s">
        <v>79</v>
      </c>
      <c r="B160" s="300"/>
      <c r="C160" s="134">
        <v>239</v>
      </c>
      <c r="D160" s="47">
        <v>263</v>
      </c>
      <c r="E160" s="47">
        <v>254</v>
      </c>
      <c r="F160" s="28"/>
      <c r="G160" s="28"/>
      <c r="H160" s="3"/>
      <c r="I160" s="28"/>
      <c r="J160" s="28"/>
      <c r="K160" s="28"/>
      <c r="L160" s="28"/>
      <c r="M160" s="28"/>
      <c r="N160" s="28"/>
      <c r="O160" s="28"/>
      <c r="P160" s="28"/>
      <c r="Q160" s="28"/>
      <c r="R160" s="28"/>
      <c r="S160" s="28"/>
      <c r="T160" s="28"/>
      <c r="U160" s="28"/>
      <c r="V160" s="28"/>
      <c r="W160" s="28"/>
      <c r="X160" s="28"/>
      <c r="Y160" s="28"/>
      <c r="Z160" s="28"/>
    </row>
    <row r="161" spans="1:26" ht="15.75" customHeight="1" x14ac:dyDescent="0.25">
      <c r="A161" s="132"/>
      <c r="B161" s="133"/>
      <c r="C161" s="133"/>
      <c r="D161" s="133"/>
      <c r="E161" s="133"/>
      <c r="F161" s="28"/>
      <c r="G161" s="28"/>
      <c r="H161" s="3"/>
      <c r="I161" s="28"/>
      <c r="J161" s="28"/>
      <c r="K161" s="28"/>
      <c r="L161" s="28"/>
      <c r="M161" s="28"/>
      <c r="N161" s="28"/>
      <c r="O161" s="28"/>
      <c r="P161" s="28"/>
      <c r="Q161" s="28"/>
      <c r="R161" s="28"/>
      <c r="S161" s="28"/>
      <c r="T161" s="28"/>
      <c r="U161" s="28"/>
      <c r="V161" s="28"/>
      <c r="W161" s="28"/>
      <c r="X161" s="28"/>
      <c r="Y161" s="28"/>
      <c r="Z161" s="28"/>
    </row>
    <row r="162" spans="1:26" ht="15.75" customHeight="1" x14ac:dyDescent="0.25">
      <c r="A162" s="9" t="s">
        <v>81</v>
      </c>
      <c r="B162" s="299" t="s">
        <v>82</v>
      </c>
      <c r="C162" s="11">
        <v>2</v>
      </c>
      <c r="D162" s="47">
        <v>20</v>
      </c>
      <c r="E162" s="47">
        <v>4</v>
      </c>
      <c r="F162" s="28"/>
      <c r="G162" s="28"/>
      <c r="H162" s="3"/>
      <c r="I162" s="28"/>
      <c r="J162" s="28"/>
      <c r="K162" s="28"/>
      <c r="L162" s="28"/>
      <c r="M162" s="28"/>
      <c r="N162" s="28"/>
      <c r="O162" s="28"/>
      <c r="P162" s="28"/>
      <c r="Q162" s="28"/>
      <c r="R162" s="28"/>
      <c r="S162" s="28"/>
      <c r="T162" s="28"/>
      <c r="U162" s="28"/>
      <c r="V162" s="28"/>
      <c r="W162" s="28"/>
      <c r="X162" s="28"/>
      <c r="Y162" s="28"/>
      <c r="Z162" s="28"/>
    </row>
    <row r="163" spans="1:26" ht="15.75" customHeight="1" x14ac:dyDescent="0.25">
      <c r="A163" s="9" t="s">
        <v>83</v>
      </c>
      <c r="B163" s="300"/>
      <c r="C163" s="11">
        <v>7.133</v>
      </c>
      <c r="D163" s="47">
        <v>28</v>
      </c>
      <c r="E163" s="47">
        <v>9</v>
      </c>
      <c r="F163" s="28"/>
      <c r="G163" s="28"/>
      <c r="H163" s="3"/>
      <c r="I163" s="28"/>
      <c r="J163" s="28"/>
      <c r="K163" s="28"/>
      <c r="L163" s="28"/>
      <c r="M163" s="28"/>
      <c r="N163" s="28"/>
      <c r="O163" s="28"/>
      <c r="P163" s="28"/>
      <c r="Q163" s="28"/>
      <c r="R163" s="28"/>
      <c r="S163" s="28"/>
      <c r="T163" s="28"/>
      <c r="U163" s="28"/>
      <c r="V163" s="28"/>
      <c r="W163" s="28"/>
      <c r="X163" s="28"/>
      <c r="Y163" s="28"/>
      <c r="Z163" s="28"/>
    </row>
    <row r="164" spans="1:26" ht="15.75" customHeight="1" x14ac:dyDescent="0.25">
      <c r="A164" s="9" t="s">
        <v>155</v>
      </c>
      <c r="B164" s="301"/>
      <c r="C164" s="11">
        <v>10.72</v>
      </c>
      <c r="D164" s="47">
        <v>30</v>
      </c>
      <c r="E164" s="47">
        <v>14</v>
      </c>
      <c r="F164" s="28"/>
      <c r="G164" s="28"/>
      <c r="H164" s="3"/>
      <c r="I164" s="28"/>
      <c r="J164" s="28"/>
      <c r="K164" s="28"/>
      <c r="L164" s="28"/>
      <c r="M164" s="28"/>
      <c r="N164" s="28"/>
      <c r="O164" s="28"/>
      <c r="P164" s="28"/>
      <c r="Q164" s="28"/>
      <c r="R164" s="28"/>
      <c r="S164" s="28"/>
      <c r="T164" s="28"/>
      <c r="U164" s="28"/>
      <c r="V164" s="28"/>
      <c r="W164" s="28"/>
      <c r="X164" s="28"/>
      <c r="Y164" s="28"/>
      <c r="Z164" s="28"/>
    </row>
    <row r="165" spans="1:26" ht="15.75" customHeight="1" x14ac:dyDescent="0.25">
      <c r="A165" s="41"/>
      <c r="B165" s="125"/>
      <c r="C165" s="42"/>
      <c r="D165" s="47"/>
      <c r="E165" s="47"/>
      <c r="F165" s="28"/>
      <c r="G165" s="28"/>
      <c r="H165" s="3"/>
      <c r="I165" s="28"/>
      <c r="J165" s="28"/>
      <c r="K165" s="28"/>
      <c r="L165" s="28"/>
      <c r="M165" s="28"/>
      <c r="N165" s="28"/>
      <c r="O165" s="28"/>
      <c r="P165" s="28"/>
      <c r="Q165" s="28"/>
      <c r="R165" s="28"/>
      <c r="S165" s="28"/>
      <c r="T165" s="28"/>
      <c r="U165" s="28"/>
      <c r="V165" s="28"/>
      <c r="W165" s="28"/>
      <c r="X165" s="28"/>
      <c r="Y165" s="28"/>
      <c r="Z165" s="28"/>
    </row>
    <row r="166" spans="1:26" ht="15.75" customHeight="1" x14ac:dyDescent="0.25">
      <c r="A166" s="129" t="s">
        <v>86</v>
      </c>
      <c r="B166" s="302" t="s">
        <v>87</v>
      </c>
      <c r="C166" s="51">
        <v>19</v>
      </c>
      <c r="D166" s="47">
        <v>30</v>
      </c>
      <c r="E166" s="47">
        <v>21</v>
      </c>
      <c r="F166" s="28"/>
      <c r="G166" s="28"/>
      <c r="H166" s="3"/>
      <c r="I166" s="28"/>
      <c r="J166" s="28"/>
      <c r="K166" s="28"/>
      <c r="L166" s="28"/>
      <c r="M166" s="28"/>
      <c r="N166" s="28"/>
      <c r="O166" s="28"/>
      <c r="P166" s="28"/>
      <c r="Q166" s="28"/>
      <c r="R166" s="28"/>
      <c r="S166" s="28"/>
      <c r="T166" s="28"/>
      <c r="U166" s="28"/>
      <c r="V166" s="28"/>
      <c r="W166" s="28"/>
      <c r="X166" s="28"/>
      <c r="Y166" s="28"/>
      <c r="Z166" s="28"/>
    </row>
    <row r="167" spans="1:26" ht="15.75" customHeight="1" x14ac:dyDescent="0.25">
      <c r="A167" s="12" t="s">
        <v>88</v>
      </c>
      <c r="B167" s="301"/>
      <c r="C167" s="25">
        <v>20</v>
      </c>
      <c r="D167" s="47">
        <v>31</v>
      </c>
      <c r="E167" s="47">
        <v>21</v>
      </c>
      <c r="F167" s="28"/>
      <c r="G167" s="28"/>
      <c r="H167" s="3"/>
      <c r="I167" s="28"/>
      <c r="J167" s="28"/>
      <c r="K167" s="28"/>
      <c r="L167" s="28"/>
      <c r="M167" s="28"/>
      <c r="N167" s="28"/>
      <c r="O167" s="28"/>
      <c r="P167" s="28"/>
      <c r="Q167" s="28"/>
      <c r="R167" s="28"/>
      <c r="S167" s="28"/>
      <c r="T167" s="28"/>
      <c r="U167" s="28"/>
      <c r="V167" s="28"/>
      <c r="W167" s="28"/>
      <c r="X167" s="28"/>
      <c r="Y167" s="28"/>
      <c r="Z167" s="28"/>
    </row>
    <row r="168" spans="1:26" ht="15.75" customHeight="1" x14ac:dyDescent="0.25">
      <c r="A168" s="132"/>
      <c r="B168" s="133"/>
      <c r="C168" s="133"/>
      <c r="D168" s="133"/>
      <c r="E168" s="133"/>
      <c r="F168" s="28"/>
      <c r="G168" s="28"/>
      <c r="H168" s="3"/>
      <c r="I168" s="28"/>
      <c r="J168" s="28"/>
      <c r="K168" s="28"/>
      <c r="L168" s="28"/>
      <c r="M168" s="28"/>
      <c r="N168" s="28"/>
      <c r="O168" s="28"/>
      <c r="P168" s="28"/>
      <c r="Q168" s="28"/>
      <c r="R168" s="28"/>
      <c r="S168" s="28"/>
      <c r="T168" s="28"/>
      <c r="U168" s="28"/>
      <c r="V168" s="28"/>
      <c r="W168" s="28"/>
      <c r="X168" s="28"/>
      <c r="Y168" s="28"/>
      <c r="Z168" s="28"/>
    </row>
    <row r="169" spans="1:26" ht="15.75" customHeight="1" x14ac:dyDescent="0.25">
      <c r="A169" s="8" t="s">
        <v>89</v>
      </c>
      <c r="B169" s="302" t="s">
        <v>90</v>
      </c>
      <c r="C169" s="25">
        <v>6</v>
      </c>
      <c r="D169" s="47">
        <v>50</v>
      </c>
      <c r="E169" s="47">
        <v>16</v>
      </c>
      <c r="F169" s="28"/>
      <c r="G169" s="28"/>
      <c r="H169" s="3"/>
      <c r="I169" s="28"/>
      <c r="J169" s="28"/>
      <c r="K169" s="28"/>
      <c r="L169" s="28"/>
      <c r="M169" s="28"/>
      <c r="N169" s="28"/>
      <c r="O169" s="28"/>
      <c r="P169" s="28"/>
      <c r="Q169" s="28"/>
      <c r="R169" s="28"/>
      <c r="S169" s="28"/>
      <c r="T169" s="28"/>
      <c r="U169" s="28"/>
      <c r="V169" s="28"/>
      <c r="W169" s="28"/>
      <c r="X169" s="28"/>
      <c r="Y169" s="28"/>
      <c r="Z169" s="28"/>
    </row>
    <row r="170" spans="1:26" ht="15.75" customHeight="1" x14ac:dyDescent="0.25">
      <c r="A170" s="126" t="s">
        <v>91</v>
      </c>
      <c r="B170" s="301"/>
      <c r="C170" s="11">
        <v>16</v>
      </c>
      <c r="D170" s="47">
        <v>67</v>
      </c>
      <c r="E170" s="47">
        <v>18</v>
      </c>
      <c r="F170" s="28"/>
      <c r="G170" s="28"/>
      <c r="H170" s="3"/>
      <c r="I170" s="28"/>
      <c r="J170" s="28"/>
      <c r="K170" s="28"/>
      <c r="L170" s="28"/>
      <c r="M170" s="28"/>
      <c r="N170" s="28"/>
      <c r="O170" s="28"/>
      <c r="P170" s="28"/>
      <c r="Q170" s="28"/>
      <c r="R170" s="28"/>
      <c r="S170" s="28"/>
      <c r="T170" s="28"/>
      <c r="U170" s="28"/>
      <c r="V170" s="28"/>
      <c r="W170" s="28"/>
      <c r="X170" s="28"/>
      <c r="Y170" s="28"/>
      <c r="Z170" s="28"/>
    </row>
    <row r="171" spans="1:26" ht="15.75" customHeight="1" x14ac:dyDescent="0.25">
      <c r="A171" s="135"/>
      <c r="B171" s="136"/>
      <c r="C171" s="136"/>
      <c r="D171" s="47"/>
      <c r="E171" s="47"/>
      <c r="F171" s="28"/>
      <c r="G171" s="28"/>
      <c r="H171" s="3"/>
      <c r="I171" s="28"/>
      <c r="J171" s="28"/>
      <c r="K171" s="28"/>
      <c r="L171" s="28"/>
      <c r="M171" s="28"/>
      <c r="N171" s="28"/>
      <c r="O171" s="28"/>
      <c r="P171" s="28"/>
      <c r="Q171" s="28"/>
      <c r="R171" s="28"/>
      <c r="S171" s="28"/>
      <c r="T171" s="28"/>
      <c r="U171" s="28"/>
      <c r="V171" s="28"/>
      <c r="W171" s="28"/>
      <c r="X171" s="28"/>
      <c r="Y171" s="28"/>
      <c r="Z171" s="28"/>
    </row>
    <row r="172" spans="1:26" ht="15.75" customHeight="1" x14ac:dyDescent="0.25">
      <c r="A172" s="9" t="s">
        <v>94</v>
      </c>
      <c r="B172" s="299" t="s">
        <v>95</v>
      </c>
      <c r="C172" s="47">
        <v>49.666666666666664</v>
      </c>
      <c r="D172" s="47">
        <v>118</v>
      </c>
      <c r="E172" s="47">
        <v>72</v>
      </c>
      <c r="F172" s="28"/>
      <c r="G172" s="28"/>
      <c r="H172" s="3"/>
      <c r="I172" s="28"/>
      <c r="J172" s="28"/>
      <c r="K172" s="28"/>
      <c r="L172" s="28"/>
      <c r="M172" s="28"/>
      <c r="N172" s="28"/>
      <c r="O172" s="28"/>
      <c r="P172" s="28"/>
      <c r="Q172" s="28"/>
      <c r="R172" s="28"/>
      <c r="S172" s="28"/>
      <c r="T172" s="28"/>
      <c r="U172" s="28"/>
      <c r="V172" s="28"/>
      <c r="W172" s="28"/>
      <c r="X172" s="28"/>
      <c r="Y172" s="28"/>
      <c r="Z172" s="28"/>
    </row>
    <row r="173" spans="1:26" ht="15.75" customHeight="1" x14ac:dyDescent="0.25">
      <c r="A173" s="9" t="s">
        <v>96</v>
      </c>
      <c r="B173" s="300"/>
      <c r="C173" s="47">
        <v>122</v>
      </c>
      <c r="D173" s="47">
        <v>131</v>
      </c>
      <c r="E173" s="47">
        <v>95</v>
      </c>
      <c r="F173" s="28"/>
      <c r="G173" s="28"/>
      <c r="H173" s="3"/>
      <c r="I173" s="28"/>
      <c r="J173" s="28"/>
      <c r="K173" s="28"/>
      <c r="L173" s="28"/>
      <c r="M173" s="28"/>
      <c r="N173" s="28"/>
      <c r="O173" s="28"/>
      <c r="P173" s="28"/>
      <c r="Q173" s="28"/>
      <c r="R173" s="28"/>
      <c r="S173" s="28"/>
      <c r="T173" s="28"/>
      <c r="U173" s="28"/>
      <c r="V173" s="28"/>
      <c r="W173" s="28"/>
      <c r="X173" s="28"/>
      <c r="Y173" s="28"/>
      <c r="Z173" s="28"/>
    </row>
    <row r="174" spans="1:26" ht="15.75" customHeight="1" x14ac:dyDescent="0.25">
      <c r="A174" s="9" t="s">
        <v>97</v>
      </c>
      <c r="B174" s="300"/>
      <c r="C174" s="47">
        <v>130</v>
      </c>
      <c r="D174" s="47">
        <v>139</v>
      </c>
      <c r="E174" s="47">
        <v>80</v>
      </c>
      <c r="F174" s="28"/>
      <c r="G174" s="28"/>
      <c r="H174" s="3"/>
      <c r="I174" s="28"/>
      <c r="J174" s="28"/>
      <c r="K174" s="28"/>
      <c r="L174" s="28"/>
      <c r="M174" s="28"/>
      <c r="N174" s="28"/>
      <c r="O174" s="28"/>
      <c r="P174" s="28"/>
      <c r="Q174" s="28"/>
      <c r="R174" s="28"/>
      <c r="S174" s="28"/>
      <c r="T174" s="28"/>
      <c r="U174" s="28"/>
      <c r="V174" s="28"/>
      <c r="W174" s="28"/>
      <c r="X174" s="28"/>
      <c r="Y174" s="28"/>
      <c r="Z174" s="28"/>
    </row>
    <row r="175" spans="1:26" ht="15.75" customHeight="1" x14ac:dyDescent="0.25">
      <c r="A175" s="9" t="s">
        <v>98</v>
      </c>
      <c r="B175" s="300"/>
      <c r="C175" s="47">
        <v>142</v>
      </c>
      <c r="D175" s="47">
        <v>141</v>
      </c>
      <c r="E175" s="47">
        <v>96</v>
      </c>
      <c r="F175" s="28"/>
      <c r="G175" s="28"/>
      <c r="H175" s="3"/>
      <c r="I175" s="28"/>
      <c r="J175" s="28"/>
      <c r="K175" s="28"/>
      <c r="L175" s="28"/>
      <c r="M175" s="28"/>
      <c r="N175" s="28"/>
      <c r="O175" s="28"/>
      <c r="P175" s="28"/>
      <c r="Q175" s="28"/>
      <c r="R175" s="28"/>
      <c r="S175" s="28"/>
      <c r="T175" s="28"/>
      <c r="U175" s="28"/>
      <c r="V175" s="28"/>
      <c r="W175" s="28"/>
      <c r="X175" s="28"/>
      <c r="Y175" s="28"/>
      <c r="Z175" s="28"/>
    </row>
    <row r="176" spans="1:26" ht="15.75" customHeight="1" x14ac:dyDescent="0.25">
      <c r="A176" s="9" t="s">
        <v>99</v>
      </c>
      <c r="B176" s="301"/>
      <c r="C176" s="47">
        <v>146</v>
      </c>
      <c r="D176" s="47">
        <v>163</v>
      </c>
      <c r="E176" s="47">
        <v>119</v>
      </c>
      <c r="F176" s="28"/>
      <c r="G176" s="28"/>
      <c r="H176" s="3"/>
      <c r="I176" s="28"/>
      <c r="J176" s="28"/>
      <c r="K176" s="28"/>
      <c r="L176" s="28"/>
      <c r="M176" s="28"/>
      <c r="N176" s="28"/>
      <c r="O176" s="28"/>
      <c r="P176" s="28"/>
      <c r="Q176" s="28"/>
      <c r="R176" s="28"/>
      <c r="S176" s="28"/>
      <c r="T176" s="28"/>
      <c r="U176" s="28"/>
      <c r="V176" s="28"/>
      <c r="W176" s="28"/>
      <c r="X176" s="28"/>
      <c r="Y176" s="28"/>
      <c r="Z176" s="28"/>
    </row>
    <row r="177" spans="1:26" ht="15.75" customHeight="1" x14ac:dyDescent="0.25">
      <c r="A177" s="28"/>
      <c r="B177" s="28"/>
      <c r="C177" s="184"/>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5.75" customHeight="1" x14ac:dyDescent="0.2"/>
    <row r="179" spans="1:26" ht="15.75" customHeight="1" x14ac:dyDescent="0.2"/>
    <row r="180" spans="1:26" ht="15.75" customHeight="1" x14ac:dyDescent="0.2"/>
    <row r="181" spans="1:26" ht="15.75" customHeight="1" x14ac:dyDescent="0.2"/>
    <row r="182" spans="1:26" ht="15.75" customHeight="1" x14ac:dyDescent="0.2"/>
    <row r="183" spans="1:26" ht="15.75" customHeight="1" x14ac:dyDescent="0.2"/>
    <row r="184" spans="1:26" ht="15.75" customHeight="1" x14ac:dyDescent="0.2"/>
    <row r="185" spans="1:26" ht="15.75" customHeight="1" x14ac:dyDescent="0.2"/>
    <row r="186" spans="1:26" ht="15.75" customHeight="1" x14ac:dyDescent="0.2"/>
    <row r="187" spans="1:26" ht="15.75" customHeight="1" x14ac:dyDescent="0.2"/>
    <row r="188" spans="1:26" ht="15.75" customHeight="1" x14ac:dyDescent="0.2"/>
    <row r="189" spans="1:26" ht="15.75" customHeight="1" x14ac:dyDescent="0.2"/>
    <row r="190" spans="1:26" ht="15.75" customHeight="1" x14ac:dyDescent="0.2"/>
    <row r="191" spans="1:26" ht="15.75" customHeight="1" x14ac:dyDescent="0.2"/>
    <row r="192" spans="1:26"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9">
    <mergeCell ref="G124:L124"/>
    <mergeCell ref="G125:I125"/>
    <mergeCell ref="J125:L125"/>
    <mergeCell ref="B79:B83"/>
    <mergeCell ref="B85:B87"/>
    <mergeCell ref="B89:B90"/>
    <mergeCell ref="B92:B94"/>
    <mergeCell ref="B96:B99"/>
    <mergeCell ref="B101:B103"/>
    <mergeCell ref="B105:B106"/>
    <mergeCell ref="B125:B129"/>
    <mergeCell ref="B70:B74"/>
    <mergeCell ref="B76:B77"/>
    <mergeCell ref="B108:B109"/>
    <mergeCell ref="B111:B115"/>
    <mergeCell ref="A123:E123"/>
    <mergeCell ref="A62:E62"/>
    <mergeCell ref="G63:L63"/>
    <mergeCell ref="G64:I64"/>
    <mergeCell ref="J64:L64"/>
    <mergeCell ref="B52:B56"/>
    <mergeCell ref="B64:B68"/>
    <mergeCell ref="B20:B24"/>
    <mergeCell ref="A25:E25"/>
    <mergeCell ref="B26:B28"/>
    <mergeCell ref="A29:D29"/>
    <mergeCell ref="A51:E51"/>
    <mergeCell ref="B30:B31"/>
    <mergeCell ref="A32:E32"/>
    <mergeCell ref="B33:B35"/>
    <mergeCell ref="A36:D36"/>
    <mergeCell ref="B37:B40"/>
    <mergeCell ref="A41:E41"/>
    <mergeCell ref="A45:D45"/>
    <mergeCell ref="B42:B44"/>
    <mergeCell ref="B46:B47"/>
    <mergeCell ref="B49:B50"/>
    <mergeCell ref="A48:E48"/>
    <mergeCell ref="A10:D10"/>
    <mergeCell ref="A16:E16"/>
    <mergeCell ref="B11:B15"/>
    <mergeCell ref="B17:B18"/>
    <mergeCell ref="A19:D19"/>
    <mergeCell ref="A3:D3"/>
    <mergeCell ref="G4:L4"/>
    <mergeCell ref="B5:B9"/>
    <mergeCell ref="G5:I5"/>
    <mergeCell ref="J5:L5"/>
    <mergeCell ref="B162:B164"/>
    <mergeCell ref="B166:B167"/>
    <mergeCell ref="B169:B170"/>
    <mergeCell ref="B172:B176"/>
    <mergeCell ref="B131:B135"/>
    <mergeCell ref="B137:B138"/>
    <mergeCell ref="B140:B144"/>
    <mergeCell ref="B146:B148"/>
    <mergeCell ref="B157:B160"/>
    <mergeCell ref="B150:B151"/>
    <mergeCell ref="B153:B155"/>
  </mergeCells>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1001"/>
  <sheetViews>
    <sheetView topLeftCell="A264" workbookViewId="0">
      <selection activeCell="A296" sqref="A296:E296"/>
    </sheetView>
  </sheetViews>
  <sheetFormatPr baseColWidth="10" defaultColWidth="12.625" defaultRowHeight="15" customHeight="1" x14ac:dyDescent="0.2"/>
  <cols>
    <col min="1" max="26" width="10" customWidth="1"/>
  </cols>
  <sheetData>
    <row r="1" spans="1:13" x14ac:dyDescent="0.25">
      <c r="A1" s="21" t="s">
        <v>1070</v>
      </c>
    </row>
    <row r="5" spans="1:13" x14ac:dyDescent="0.25">
      <c r="B5" s="304" t="s">
        <v>662</v>
      </c>
      <c r="C5" s="297"/>
      <c r="D5" s="297"/>
      <c r="E5" s="297"/>
      <c r="F5" s="154"/>
      <c r="I5" s="3"/>
    </row>
    <row r="6" spans="1:13" ht="24" x14ac:dyDescent="0.2">
      <c r="B6" s="4" t="s">
        <v>0</v>
      </c>
      <c r="C6" s="5" t="s">
        <v>1</v>
      </c>
      <c r="D6" s="5" t="s">
        <v>2</v>
      </c>
      <c r="E6" s="5" t="s">
        <v>43</v>
      </c>
      <c r="F6" s="45" t="s">
        <v>125</v>
      </c>
      <c r="H6" s="296" t="s">
        <v>6</v>
      </c>
      <c r="I6" s="297"/>
      <c r="J6" s="297"/>
      <c r="K6" s="297"/>
      <c r="L6" s="297"/>
      <c r="M6" s="298"/>
    </row>
    <row r="7" spans="1:13" ht="14.25" x14ac:dyDescent="0.2">
      <c r="B7" s="9" t="s">
        <v>7</v>
      </c>
      <c r="C7" s="302" t="s">
        <v>9</v>
      </c>
      <c r="D7" s="11">
        <v>28.1</v>
      </c>
      <c r="E7" s="11">
        <v>31</v>
      </c>
      <c r="F7" s="11"/>
      <c r="H7" s="296" t="s">
        <v>106</v>
      </c>
      <c r="I7" s="297"/>
      <c r="J7" s="298"/>
      <c r="K7" s="296" t="s">
        <v>107</v>
      </c>
      <c r="L7" s="297"/>
      <c r="M7" s="298"/>
    </row>
    <row r="8" spans="1:13" ht="14.25" x14ac:dyDescent="0.2">
      <c r="B8" s="9" t="s">
        <v>17</v>
      </c>
      <c r="C8" s="300"/>
      <c r="D8" s="11">
        <v>63.911000000000001</v>
      </c>
      <c r="E8" s="11">
        <v>81</v>
      </c>
      <c r="F8" s="11"/>
      <c r="H8" s="13" t="s">
        <v>13</v>
      </c>
      <c r="I8" s="39">
        <f>I10+(I10*0.05)</f>
        <v>687.75</v>
      </c>
      <c r="J8" s="17" t="s">
        <v>1075</v>
      </c>
      <c r="K8" s="13" t="s">
        <v>13</v>
      </c>
      <c r="L8" s="39">
        <f>L10+L10*0.05</f>
        <v>682.5</v>
      </c>
      <c r="M8" s="17" t="s">
        <v>1078</v>
      </c>
    </row>
    <row r="9" spans="1:13" ht="14.25" x14ac:dyDescent="0.2">
      <c r="B9" s="9" t="s">
        <v>26</v>
      </c>
      <c r="C9" s="300"/>
      <c r="D9" s="11">
        <v>69.921999999999997</v>
      </c>
      <c r="E9" s="11">
        <v>81</v>
      </c>
      <c r="F9" s="11"/>
      <c r="H9" s="13" t="s">
        <v>19</v>
      </c>
      <c r="I9" s="40">
        <f>I10-(I10*0.05)</f>
        <v>622.25</v>
      </c>
      <c r="J9" s="17" t="s">
        <v>1081</v>
      </c>
      <c r="K9" s="13" t="s">
        <v>19</v>
      </c>
      <c r="L9" s="40">
        <f>L10-L10*0.05</f>
        <v>617.5</v>
      </c>
      <c r="M9" s="17" t="s">
        <v>1082</v>
      </c>
    </row>
    <row r="10" spans="1:13" ht="14.25" x14ac:dyDescent="0.2">
      <c r="B10" s="9" t="s">
        <v>32</v>
      </c>
      <c r="C10" s="300"/>
      <c r="D10" s="11">
        <v>96.744</v>
      </c>
      <c r="E10" s="11">
        <v>97</v>
      </c>
      <c r="F10" s="11"/>
      <c r="H10" s="13" t="s">
        <v>27</v>
      </c>
      <c r="I10" s="20">
        <v>655</v>
      </c>
      <c r="J10" s="17" t="s">
        <v>1083</v>
      </c>
      <c r="K10" s="13" t="s">
        <v>27</v>
      </c>
      <c r="L10" s="20">
        <v>650</v>
      </c>
      <c r="M10" s="17" t="s">
        <v>1084</v>
      </c>
    </row>
    <row r="11" spans="1:13" ht="14.25" x14ac:dyDescent="0.2">
      <c r="B11" s="9" t="s">
        <v>33</v>
      </c>
      <c r="C11" s="301"/>
      <c r="D11" s="11">
        <v>128.11000000000001</v>
      </c>
      <c r="E11" s="11">
        <v>128</v>
      </c>
      <c r="F11" s="11"/>
      <c r="H11" s="13" t="s">
        <v>121</v>
      </c>
      <c r="I11" s="20">
        <v>643</v>
      </c>
      <c r="J11" s="17" t="s">
        <v>1085</v>
      </c>
      <c r="K11" s="13" t="s">
        <v>121</v>
      </c>
      <c r="L11" s="20">
        <v>650</v>
      </c>
      <c r="M11" s="17" t="s">
        <v>1086</v>
      </c>
    </row>
    <row r="12" spans="1:13" x14ac:dyDescent="0.25">
      <c r="B12" s="296"/>
      <c r="C12" s="297"/>
      <c r="D12" s="297"/>
      <c r="E12" s="297"/>
      <c r="F12" s="11"/>
      <c r="I12" s="3"/>
    </row>
    <row r="13" spans="1:13" x14ac:dyDescent="0.25">
      <c r="B13" s="9" t="s">
        <v>35</v>
      </c>
      <c r="C13" s="302" t="s">
        <v>36</v>
      </c>
      <c r="D13" s="11">
        <v>207.78</v>
      </c>
      <c r="E13" s="11">
        <v>200</v>
      </c>
      <c r="F13" s="11"/>
      <c r="I13" s="3"/>
    </row>
    <row r="14" spans="1:13" x14ac:dyDescent="0.25">
      <c r="B14" s="9" t="s">
        <v>37</v>
      </c>
      <c r="C14" s="300"/>
      <c r="D14" s="11">
        <v>444.11</v>
      </c>
      <c r="E14" s="11">
        <v>265</v>
      </c>
      <c r="F14" s="11"/>
      <c r="I14" s="3"/>
    </row>
    <row r="15" spans="1:13" x14ac:dyDescent="0.25">
      <c r="B15" s="9" t="s">
        <v>38</v>
      </c>
      <c r="C15" s="300"/>
      <c r="D15" s="11">
        <v>579.55999999999995</v>
      </c>
      <c r="E15" s="11">
        <v>475</v>
      </c>
      <c r="F15" s="11"/>
      <c r="I15" s="3"/>
    </row>
    <row r="16" spans="1:13" x14ac:dyDescent="0.25">
      <c r="B16" s="9" t="s">
        <v>39</v>
      </c>
      <c r="C16" s="300"/>
      <c r="D16" s="11">
        <v>746.22</v>
      </c>
      <c r="E16" s="11">
        <v>670</v>
      </c>
      <c r="F16" s="11"/>
      <c r="I16" s="3"/>
    </row>
    <row r="17" spans="2:9" x14ac:dyDescent="0.25">
      <c r="B17" s="49" t="s">
        <v>41</v>
      </c>
      <c r="C17" s="300"/>
      <c r="D17" s="51">
        <v>869.5</v>
      </c>
      <c r="E17" s="51">
        <v>769</v>
      </c>
      <c r="F17" s="51"/>
      <c r="I17" s="3"/>
    </row>
    <row r="18" spans="2:9" x14ac:dyDescent="0.25">
      <c r="B18" s="308"/>
      <c r="C18" s="297"/>
      <c r="D18" s="297"/>
      <c r="E18" s="297"/>
      <c r="F18" s="306"/>
      <c r="I18" s="3"/>
    </row>
    <row r="19" spans="2:9" x14ac:dyDescent="0.25">
      <c r="B19" s="9" t="s">
        <v>46</v>
      </c>
      <c r="C19" s="299" t="s">
        <v>47</v>
      </c>
      <c r="D19" s="11">
        <v>88.4</v>
      </c>
      <c r="E19" s="11">
        <v>94</v>
      </c>
      <c r="F19" s="11"/>
      <c r="I19" s="3"/>
    </row>
    <row r="20" spans="2:9" x14ac:dyDescent="0.25">
      <c r="B20" s="9" t="s">
        <v>48</v>
      </c>
      <c r="C20" s="300"/>
      <c r="D20" s="11">
        <v>94.6</v>
      </c>
      <c r="E20" s="11">
        <v>98</v>
      </c>
      <c r="F20" s="11"/>
      <c r="I20" s="3"/>
    </row>
    <row r="21" spans="2:9" ht="15.75" customHeight="1" x14ac:dyDescent="0.25">
      <c r="B21" s="296"/>
      <c r="C21" s="297"/>
      <c r="D21" s="297"/>
      <c r="E21" s="297"/>
      <c r="F21" s="11"/>
      <c r="I21" s="3"/>
    </row>
    <row r="22" spans="2:9" ht="15.75" customHeight="1" x14ac:dyDescent="0.25">
      <c r="B22" s="9" t="s">
        <v>50</v>
      </c>
      <c r="C22" s="302" t="s">
        <v>51</v>
      </c>
      <c r="D22" s="11">
        <v>271.44400000000002</v>
      </c>
      <c r="E22" s="11">
        <v>190</v>
      </c>
      <c r="F22" s="11"/>
      <c r="I22" s="3"/>
    </row>
    <row r="23" spans="2:9" ht="15.75" customHeight="1" x14ac:dyDescent="0.25">
      <c r="B23" s="9" t="s">
        <v>54</v>
      </c>
      <c r="C23" s="300"/>
      <c r="D23" s="11">
        <v>550.22199999999998</v>
      </c>
      <c r="E23" s="11">
        <v>230</v>
      </c>
      <c r="F23" s="11"/>
      <c r="I23" s="3"/>
    </row>
    <row r="24" spans="2:9" ht="15.75" customHeight="1" x14ac:dyDescent="0.25">
      <c r="B24" s="9" t="s">
        <v>55</v>
      </c>
      <c r="C24" s="300"/>
      <c r="D24" s="11">
        <v>609</v>
      </c>
      <c r="E24" s="11">
        <v>660</v>
      </c>
      <c r="F24" s="11"/>
      <c r="I24" s="3"/>
    </row>
    <row r="25" spans="2:9" ht="15.75" customHeight="1" x14ac:dyDescent="0.25">
      <c r="B25" s="9" t="s">
        <v>56</v>
      </c>
      <c r="C25" s="300"/>
      <c r="D25" s="11">
        <v>739.11099999999999</v>
      </c>
      <c r="E25" s="11">
        <v>730</v>
      </c>
      <c r="F25" s="11"/>
      <c r="I25" s="3"/>
    </row>
    <row r="26" spans="2:9" ht="15.75" customHeight="1" x14ac:dyDescent="0.25">
      <c r="B26" s="49" t="s">
        <v>57</v>
      </c>
      <c r="C26" s="300"/>
      <c r="D26" s="51">
        <v>746.88900000000001</v>
      </c>
      <c r="E26" s="51">
        <v>558</v>
      </c>
      <c r="F26" s="51"/>
      <c r="I26" s="3"/>
    </row>
    <row r="27" spans="2:9" ht="15.75" customHeight="1" x14ac:dyDescent="0.25">
      <c r="B27" s="308"/>
      <c r="C27" s="297"/>
      <c r="D27" s="297"/>
      <c r="E27" s="297"/>
      <c r="F27" s="306"/>
      <c r="I27" s="3"/>
    </row>
    <row r="28" spans="2:9" ht="15.75" customHeight="1" x14ac:dyDescent="0.25">
      <c r="B28" s="9" t="s">
        <v>60</v>
      </c>
      <c r="C28" s="299" t="s">
        <v>62</v>
      </c>
      <c r="D28" s="11">
        <v>19.36</v>
      </c>
      <c r="E28" s="11">
        <v>18</v>
      </c>
      <c r="F28" s="11"/>
      <c r="I28" s="3"/>
    </row>
    <row r="29" spans="2:9" ht="15.75" customHeight="1" x14ac:dyDescent="0.25">
      <c r="B29" s="9" t="s">
        <v>64</v>
      </c>
      <c r="C29" s="300"/>
      <c r="D29" s="11">
        <v>33.31</v>
      </c>
      <c r="E29" s="11">
        <v>36</v>
      </c>
      <c r="F29" s="11"/>
      <c r="I29" s="3"/>
    </row>
    <row r="30" spans="2:9" ht="15.75" customHeight="1" x14ac:dyDescent="0.25">
      <c r="B30" s="9" t="s">
        <v>65</v>
      </c>
      <c r="C30" s="301"/>
      <c r="D30" s="11">
        <v>41.74</v>
      </c>
      <c r="E30" s="11">
        <v>20</v>
      </c>
      <c r="F30" s="11"/>
      <c r="I30" s="3"/>
    </row>
    <row r="31" spans="2:9" ht="15.75" customHeight="1" x14ac:dyDescent="0.25">
      <c r="B31" s="296"/>
      <c r="C31" s="297"/>
      <c r="D31" s="297"/>
      <c r="E31" s="297"/>
      <c r="F31" s="11"/>
      <c r="I31" s="3"/>
    </row>
    <row r="32" spans="2:9" ht="15.75" customHeight="1" x14ac:dyDescent="0.25">
      <c r="B32" s="9" t="s">
        <v>66</v>
      </c>
      <c r="C32" s="302" t="s">
        <v>68</v>
      </c>
      <c r="D32" s="11">
        <v>204.5</v>
      </c>
      <c r="E32" s="11">
        <v>220</v>
      </c>
      <c r="F32" s="11"/>
      <c r="I32" s="3"/>
    </row>
    <row r="33" spans="2:9" ht="15.75" customHeight="1" x14ac:dyDescent="0.25">
      <c r="B33" s="49" t="s">
        <v>69</v>
      </c>
      <c r="C33" s="300"/>
      <c r="D33" s="51">
        <v>277.7</v>
      </c>
      <c r="E33" s="51">
        <v>265</v>
      </c>
      <c r="F33" s="51"/>
      <c r="I33" s="3"/>
    </row>
    <row r="34" spans="2:9" ht="15.75" customHeight="1" x14ac:dyDescent="0.25">
      <c r="B34" s="305"/>
      <c r="C34" s="297"/>
      <c r="D34" s="297"/>
      <c r="E34" s="297"/>
      <c r="F34" s="306"/>
      <c r="I34" s="3"/>
    </row>
    <row r="35" spans="2:9" ht="15.75" customHeight="1" x14ac:dyDescent="0.25">
      <c r="B35" s="9" t="s">
        <v>69</v>
      </c>
      <c r="C35" s="299" t="s">
        <v>71</v>
      </c>
      <c r="D35" s="11">
        <v>10.283300000000001</v>
      </c>
      <c r="E35" s="11">
        <v>8</v>
      </c>
      <c r="F35" s="11"/>
      <c r="I35" s="3"/>
    </row>
    <row r="36" spans="2:9" ht="15.75" customHeight="1" x14ac:dyDescent="0.25">
      <c r="B36" s="9" t="s">
        <v>72</v>
      </c>
      <c r="C36" s="300"/>
      <c r="D36" s="11">
        <v>11.8833</v>
      </c>
      <c r="E36" s="11">
        <v>9</v>
      </c>
      <c r="F36" s="11"/>
      <c r="I36" s="3"/>
    </row>
    <row r="37" spans="2:9" ht="15.75" customHeight="1" x14ac:dyDescent="0.25">
      <c r="B37" s="9" t="s">
        <v>73</v>
      </c>
      <c r="C37" s="301"/>
      <c r="D37" s="11">
        <v>17.433299999999999</v>
      </c>
      <c r="E37" s="11">
        <v>21</v>
      </c>
      <c r="F37" s="11"/>
      <c r="I37" s="3"/>
    </row>
    <row r="38" spans="2:9" ht="15.75" customHeight="1" x14ac:dyDescent="0.25">
      <c r="B38" s="296"/>
      <c r="C38" s="297"/>
      <c r="D38" s="297"/>
      <c r="E38" s="297"/>
      <c r="F38" s="11"/>
      <c r="I38" s="3"/>
    </row>
    <row r="39" spans="2:9" ht="15.75" customHeight="1" x14ac:dyDescent="0.25">
      <c r="B39" s="9" t="s">
        <v>76</v>
      </c>
      <c r="C39" s="302" t="s">
        <v>77</v>
      </c>
      <c r="D39" s="11">
        <v>117.467</v>
      </c>
      <c r="E39" s="11">
        <v>219</v>
      </c>
      <c r="F39" s="11"/>
      <c r="I39" s="3"/>
    </row>
    <row r="40" spans="2:9" ht="15.75" customHeight="1" x14ac:dyDescent="0.25">
      <c r="B40" s="9" t="s">
        <v>78</v>
      </c>
      <c r="C40" s="300"/>
      <c r="D40" s="11">
        <v>187.833</v>
      </c>
      <c r="E40" s="11">
        <v>155</v>
      </c>
      <c r="F40" s="11"/>
      <c r="I40" s="3"/>
    </row>
    <row r="41" spans="2:9" ht="15.75" customHeight="1" x14ac:dyDescent="0.25">
      <c r="B41" s="9" t="s">
        <v>79</v>
      </c>
      <c r="C41" s="300"/>
      <c r="D41" s="11">
        <v>218.333</v>
      </c>
      <c r="E41" s="11">
        <v>233</v>
      </c>
      <c r="F41" s="11"/>
      <c r="I41" s="3"/>
    </row>
    <row r="42" spans="2:9" ht="15.75" customHeight="1" x14ac:dyDescent="0.25">
      <c r="B42" s="49" t="s">
        <v>80</v>
      </c>
      <c r="C42" s="300"/>
      <c r="D42" s="51">
        <v>238.5</v>
      </c>
      <c r="E42" s="51">
        <v>121</v>
      </c>
      <c r="F42" s="51"/>
      <c r="I42" s="3"/>
    </row>
    <row r="43" spans="2:9" ht="15.75" customHeight="1" x14ac:dyDescent="0.25">
      <c r="B43" s="305"/>
      <c r="C43" s="297"/>
      <c r="D43" s="297"/>
      <c r="E43" s="297"/>
      <c r="F43" s="306"/>
      <c r="I43" s="3"/>
    </row>
    <row r="44" spans="2:9" ht="15.75" customHeight="1" x14ac:dyDescent="0.25">
      <c r="B44" s="9" t="s">
        <v>81</v>
      </c>
      <c r="C44" s="299" t="s">
        <v>82</v>
      </c>
      <c r="D44" s="11">
        <v>2</v>
      </c>
      <c r="E44" s="11">
        <v>1</v>
      </c>
      <c r="F44" s="11"/>
      <c r="I44" s="3"/>
    </row>
    <row r="45" spans="2:9" ht="15.75" customHeight="1" x14ac:dyDescent="0.25">
      <c r="B45" s="9" t="s">
        <v>83</v>
      </c>
      <c r="C45" s="300"/>
      <c r="D45" s="11">
        <v>7.133</v>
      </c>
      <c r="E45" s="11">
        <v>5</v>
      </c>
      <c r="F45" s="11"/>
      <c r="I45" s="3"/>
    </row>
    <row r="46" spans="2:9" ht="15.75" customHeight="1" x14ac:dyDescent="0.25">
      <c r="B46" s="9" t="s">
        <v>84</v>
      </c>
      <c r="C46" s="301"/>
      <c r="D46" s="11">
        <v>10.72</v>
      </c>
      <c r="E46" s="11">
        <v>5</v>
      </c>
      <c r="F46" s="11"/>
      <c r="I46" s="3"/>
    </row>
    <row r="47" spans="2:9" ht="15.75" customHeight="1" x14ac:dyDescent="0.25">
      <c r="B47" s="296"/>
      <c r="C47" s="297"/>
      <c r="D47" s="297"/>
      <c r="E47" s="297"/>
      <c r="F47" s="11"/>
      <c r="I47" s="3"/>
    </row>
    <row r="48" spans="2:9" ht="15.75" customHeight="1" x14ac:dyDescent="0.25">
      <c r="B48" s="9" t="s">
        <v>86</v>
      </c>
      <c r="C48" s="302" t="s">
        <v>87</v>
      </c>
      <c r="D48" s="11">
        <v>20.466999999999999</v>
      </c>
      <c r="E48" s="11">
        <v>22</v>
      </c>
      <c r="F48" s="11"/>
      <c r="I48" s="3"/>
    </row>
    <row r="49" spans="1:18" ht="15.75" customHeight="1" x14ac:dyDescent="0.25">
      <c r="B49" s="49" t="s">
        <v>88</v>
      </c>
      <c r="C49" s="300"/>
      <c r="D49" s="51">
        <v>20.367000000000001</v>
      </c>
      <c r="E49" s="51">
        <v>22</v>
      </c>
      <c r="F49" s="51"/>
      <c r="I49" s="3"/>
    </row>
    <row r="50" spans="1:18" ht="15.75" customHeight="1" x14ac:dyDescent="0.25">
      <c r="B50" s="305"/>
      <c r="C50" s="297"/>
      <c r="D50" s="297"/>
      <c r="E50" s="297"/>
      <c r="F50" s="306"/>
      <c r="I50" s="3"/>
    </row>
    <row r="51" spans="1:18" ht="15.75" customHeight="1" x14ac:dyDescent="0.25">
      <c r="B51" s="9" t="s">
        <v>89</v>
      </c>
      <c r="C51" s="299" t="s">
        <v>90</v>
      </c>
      <c r="D51" s="11">
        <v>5.15</v>
      </c>
      <c r="E51" s="11">
        <v>19</v>
      </c>
      <c r="F51" s="11"/>
      <c r="I51" s="3"/>
    </row>
    <row r="52" spans="1:18" ht="15.75" customHeight="1" x14ac:dyDescent="0.25">
      <c r="B52" s="49" t="s">
        <v>91</v>
      </c>
      <c r="C52" s="300"/>
      <c r="D52" s="51">
        <v>16.2</v>
      </c>
      <c r="E52" s="51">
        <v>19</v>
      </c>
      <c r="F52" s="51"/>
      <c r="I52" s="3"/>
    </row>
    <row r="53" spans="1:18" ht="15.75" customHeight="1" x14ac:dyDescent="0.25">
      <c r="B53" s="296"/>
      <c r="C53" s="297"/>
      <c r="D53" s="297"/>
      <c r="E53" s="297"/>
      <c r="F53" s="298"/>
      <c r="I53" s="3"/>
    </row>
    <row r="54" spans="1:18" ht="15.75" customHeight="1" x14ac:dyDescent="0.25">
      <c r="B54" s="9" t="s">
        <v>94</v>
      </c>
      <c r="C54" s="299" t="s">
        <v>95</v>
      </c>
      <c r="D54" s="11">
        <v>50.082999999999998</v>
      </c>
      <c r="E54" s="11">
        <v>54</v>
      </c>
      <c r="F54" s="11"/>
      <c r="I54" s="3"/>
    </row>
    <row r="55" spans="1:18" ht="15.75" customHeight="1" x14ac:dyDescent="0.25">
      <c r="B55" s="9" t="s">
        <v>96</v>
      </c>
      <c r="C55" s="300"/>
      <c r="D55" s="11">
        <v>93.992999999999995</v>
      </c>
      <c r="E55" s="11">
        <v>116</v>
      </c>
      <c r="F55" s="11"/>
      <c r="I55" s="3"/>
    </row>
    <row r="56" spans="1:18" ht="15.75" customHeight="1" x14ac:dyDescent="0.25">
      <c r="B56" s="9" t="s">
        <v>97</v>
      </c>
      <c r="C56" s="300"/>
      <c r="D56" s="11">
        <v>95.516999999999996</v>
      </c>
      <c r="E56" s="11">
        <v>91</v>
      </c>
      <c r="F56" s="11"/>
      <c r="I56" s="3"/>
    </row>
    <row r="57" spans="1:18" ht="15.75" customHeight="1" x14ac:dyDescent="0.25">
      <c r="B57" s="9" t="s">
        <v>98</v>
      </c>
      <c r="C57" s="300"/>
      <c r="D57" s="11">
        <v>100.92</v>
      </c>
      <c r="E57" s="11">
        <v>121</v>
      </c>
      <c r="F57" s="11"/>
      <c r="I57" s="3"/>
    </row>
    <row r="58" spans="1:18" ht="15.75" customHeight="1" x14ac:dyDescent="0.25">
      <c r="B58" s="9" t="s">
        <v>99</v>
      </c>
      <c r="C58" s="301"/>
      <c r="D58" s="11">
        <v>115.37</v>
      </c>
      <c r="E58" s="11">
        <v>118</v>
      </c>
      <c r="F58" s="11"/>
      <c r="I58" s="3"/>
    </row>
    <row r="59" spans="1:18" ht="15.75" customHeight="1" x14ac:dyDescent="0.25">
      <c r="B59" s="1"/>
      <c r="C59" s="1"/>
      <c r="D59" s="2"/>
      <c r="E59" s="2"/>
      <c r="F59" s="146"/>
      <c r="I59" s="3"/>
    </row>
    <row r="60" spans="1:18" ht="15.75" customHeight="1" x14ac:dyDescent="0.25">
      <c r="A60" s="29"/>
      <c r="B60" s="30"/>
      <c r="C60" s="30"/>
      <c r="D60" s="32"/>
      <c r="E60" s="32"/>
      <c r="F60" s="159"/>
      <c r="G60" s="29"/>
      <c r="H60" s="29"/>
      <c r="I60" s="34"/>
      <c r="J60" s="29"/>
      <c r="K60" s="29"/>
      <c r="L60" s="29"/>
      <c r="M60" s="29"/>
      <c r="N60" s="29"/>
      <c r="O60" s="29"/>
      <c r="P60" s="29"/>
      <c r="Q60" s="29"/>
    </row>
    <row r="61" spans="1:18" ht="15.75" customHeight="1" x14ac:dyDescent="0.25">
      <c r="I61" s="150"/>
    </row>
    <row r="62" spans="1:18" ht="15.75" customHeight="1" x14ac:dyDescent="0.25">
      <c r="B62" s="21" t="s">
        <v>1088</v>
      </c>
    </row>
    <row r="63" spans="1:18" ht="15.75" customHeight="1" x14ac:dyDescent="0.25">
      <c r="I63" s="198"/>
    </row>
    <row r="64" spans="1:18" ht="15.75" customHeight="1" x14ac:dyDescent="0.25">
      <c r="B64" s="332" t="s">
        <v>1089</v>
      </c>
      <c r="C64" s="297"/>
      <c r="D64" s="297"/>
      <c r="E64" s="297"/>
      <c r="F64" s="298"/>
      <c r="H64" s="332" t="s">
        <v>1091</v>
      </c>
      <c r="I64" s="297"/>
      <c r="J64" s="297"/>
      <c r="K64" s="298"/>
      <c r="M64" s="324" t="s">
        <v>1092</v>
      </c>
      <c r="N64" s="315"/>
      <c r="O64" s="315"/>
      <c r="P64" s="315"/>
      <c r="Q64" s="315"/>
      <c r="R64" s="315"/>
    </row>
    <row r="65" spans="2:18" ht="15.75" customHeight="1" x14ac:dyDescent="0.2">
      <c r="B65" s="151" t="s">
        <v>0</v>
      </c>
      <c r="C65" s="152" t="s">
        <v>1</v>
      </c>
      <c r="D65" s="152" t="s">
        <v>42</v>
      </c>
      <c r="E65" s="152" t="s">
        <v>43</v>
      </c>
      <c r="F65" s="152" t="s">
        <v>44</v>
      </c>
      <c r="H65" s="348" t="s">
        <v>45</v>
      </c>
      <c r="I65" s="318"/>
      <c r="J65" s="318"/>
      <c r="K65" s="319"/>
      <c r="M65" s="315"/>
      <c r="N65" s="315"/>
      <c r="O65" s="315"/>
      <c r="P65" s="315"/>
      <c r="Q65" s="315"/>
      <c r="R65" s="315"/>
    </row>
    <row r="66" spans="2:18" ht="15.75" customHeight="1" x14ac:dyDescent="0.2">
      <c r="B66" s="310" t="s">
        <v>275</v>
      </c>
      <c r="C66" s="297"/>
      <c r="D66" s="297"/>
      <c r="E66" s="297"/>
      <c r="F66" s="306"/>
      <c r="H66" s="305" t="s">
        <v>275</v>
      </c>
      <c r="I66" s="297"/>
      <c r="J66" s="297"/>
      <c r="K66" s="298"/>
      <c r="M66" s="315"/>
      <c r="N66" s="315"/>
      <c r="O66" s="315"/>
      <c r="P66" s="315"/>
      <c r="Q66" s="315"/>
      <c r="R66" s="315"/>
    </row>
    <row r="67" spans="2:18" ht="15.75" customHeight="1" x14ac:dyDescent="0.2">
      <c r="B67" s="9" t="s">
        <v>11</v>
      </c>
      <c r="C67" s="12" t="s">
        <v>12</v>
      </c>
      <c r="D67" s="17">
        <v>500</v>
      </c>
      <c r="E67" s="22">
        <v>522</v>
      </c>
      <c r="F67" s="11">
        <v>565</v>
      </c>
      <c r="H67" s="12"/>
      <c r="I67" s="12" t="s">
        <v>52</v>
      </c>
      <c r="J67" s="12" t="s">
        <v>53</v>
      </c>
      <c r="K67" s="12"/>
      <c r="M67" s="315"/>
      <c r="N67" s="315"/>
      <c r="O67" s="315"/>
      <c r="P67" s="315"/>
      <c r="Q67" s="315"/>
      <c r="R67" s="315"/>
    </row>
    <row r="68" spans="2:18" ht="15.75" customHeight="1" x14ac:dyDescent="0.2">
      <c r="B68" s="9" t="s">
        <v>11</v>
      </c>
      <c r="C68" s="12" t="s">
        <v>18</v>
      </c>
      <c r="D68" s="17">
        <v>0</v>
      </c>
      <c r="E68" s="22">
        <v>0</v>
      </c>
      <c r="F68" s="11">
        <v>0</v>
      </c>
      <c r="H68" s="12" t="s">
        <v>12</v>
      </c>
      <c r="I68" s="17">
        <v>500</v>
      </c>
      <c r="J68" s="17">
        <v>565</v>
      </c>
      <c r="K68" s="17" t="s">
        <v>1093</v>
      </c>
      <c r="M68" s="315"/>
      <c r="N68" s="315"/>
      <c r="O68" s="315"/>
      <c r="P68" s="315"/>
      <c r="Q68" s="315"/>
      <c r="R68" s="315"/>
    </row>
    <row r="69" spans="2:18" ht="15.75" customHeight="1" x14ac:dyDescent="0.2">
      <c r="B69" s="9" t="s">
        <v>21</v>
      </c>
      <c r="C69" s="12" t="s">
        <v>59</v>
      </c>
      <c r="D69" s="17">
        <v>440</v>
      </c>
      <c r="E69" s="22">
        <v>417</v>
      </c>
      <c r="F69" s="11">
        <v>437</v>
      </c>
      <c r="H69" s="12" t="s">
        <v>18</v>
      </c>
      <c r="I69" s="24">
        <v>0</v>
      </c>
      <c r="J69" s="24">
        <v>0</v>
      </c>
      <c r="K69" s="24" t="s">
        <v>1094</v>
      </c>
      <c r="M69" s="315"/>
      <c r="N69" s="315"/>
      <c r="O69" s="315"/>
      <c r="P69" s="315"/>
      <c r="Q69" s="315"/>
      <c r="R69" s="315"/>
    </row>
    <row r="70" spans="2:18" ht="15.75" customHeight="1" x14ac:dyDescent="0.2">
      <c r="B70" s="12" t="s">
        <v>21</v>
      </c>
      <c r="C70" s="12" t="s">
        <v>63</v>
      </c>
      <c r="D70" s="24">
        <v>160</v>
      </c>
      <c r="E70" s="26">
        <v>151</v>
      </c>
      <c r="F70" s="25">
        <v>163</v>
      </c>
      <c r="H70" s="202"/>
      <c r="I70" s="202"/>
      <c r="J70" s="202"/>
      <c r="K70" s="202"/>
    </row>
    <row r="71" spans="2:18" ht="15.75" customHeight="1" x14ac:dyDescent="0.2"/>
    <row r="72" spans="2:18" ht="15.75" customHeight="1" x14ac:dyDescent="0.2"/>
    <row r="73" spans="2:18" ht="15.75" customHeight="1" x14ac:dyDescent="0.2"/>
    <row r="74" spans="2:18" ht="15.75" customHeight="1" x14ac:dyDescent="0.2"/>
    <row r="75" spans="2:18" ht="15.75" customHeight="1" x14ac:dyDescent="0.2"/>
    <row r="76" spans="2:18" ht="15.75" customHeight="1" x14ac:dyDescent="0.2"/>
    <row r="77" spans="2:18" ht="15.75" customHeight="1" x14ac:dyDescent="0.2"/>
    <row r="78" spans="2:18" ht="15.75" customHeight="1" x14ac:dyDescent="0.25">
      <c r="B78" s="21" t="s">
        <v>1088</v>
      </c>
    </row>
    <row r="79" spans="2:18" ht="15.75" customHeight="1" x14ac:dyDescent="0.25">
      <c r="I79" s="198"/>
    </row>
    <row r="80" spans="2:18" ht="15.75" customHeight="1" x14ac:dyDescent="0.25">
      <c r="B80" s="332" t="s">
        <v>1095</v>
      </c>
      <c r="C80" s="297"/>
      <c r="D80" s="297"/>
      <c r="E80" s="297"/>
      <c r="F80" s="298"/>
      <c r="H80" s="332" t="s">
        <v>1096</v>
      </c>
      <c r="I80" s="297"/>
      <c r="J80" s="297"/>
      <c r="K80" s="298"/>
      <c r="M80" s="324" t="s">
        <v>1097</v>
      </c>
      <c r="N80" s="315"/>
      <c r="O80" s="315"/>
      <c r="P80" s="315"/>
      <c r="Q80" s="315"/>
      <c r="R80" s="315"/>
    </row>
    <row r="81" spans="2:18" ht="15.75" customHeight="1" x14ac:dyDescent="0.2">
      <c r="B81" s="151" t="s">
        <v>0</v>
      </c>
      <c r="C81" s="152" t="s">
        <v>1</v>
      </c>
      <c r="D81" s="152" t="s">
        <v>42</v>
      </c>
      <c r="E81" s="152" t="s">
        <v>43</v>
      </c>
      <c r="F81" s="152" t="s">
        <v>44</v>
      </c>
      <c r="H81" s="348" t="s">
        <v>45</v>
      </c>
      <c r="I81" s="318"/>
      <c r="J81" s="318"/>
      <c r="K81" s="319"/>
      <c r="M81" s="315"/>
      <c r="N81" s="315"/>
      <c r="O81" s="315"/>
      <c r="P81" s="315"/>
      <c r="Q81" s="315"/>
      <c r="R81" s="315"/>
    </row>
    <row r="82" spans="2:18" ht="15.75" customHeight="1" x14ac:dyDescent="0.2">
      <c r="B82" s="310" t="s">
        <v>275</v>
      </c>
      <c r="C82" s="297"/>
      <c r="D82" s="297"/>
      <c r="E82" s="297"/>
      <c r="F82" s="306"/>
      <c r="H82" s="305" t="s">
        <v>275</v>
      </c>
      <c r="I82" s="297"/>
      <c r="J82" s="297"/>
      <c r="K82" s="298"/>
      <c r="M82" s="315"/>
      <c r="N82" s="315"/>
      <c r="O82" s="315"/>
      <c r="P82" s="315"/>
      <c r="Q82" s="315"/>
      <c r="R82" s="315"/>
    </row>
    <row r="83" spans="2:18" ht="15.75" customHeight="1" x14ac:dyDescent="0.2">
      <c r="B83" s="9" t="s">
        <v>11</v>
      </c>
      <c r="C83" s="12" t="s">
        <v>12</v>
      </c>
      <c r="D83" s="17">
        <v>500</v>
      </c>
      <c r="E83" s="11">
        <v>565</v>
      </c>
      <c r="F83" s="11">
        <v>565</v>
      </c>
      <c r="H83" s="12"/>
      <c r="I83" s="12" t="s">
        <v>52</v>
      </c>
      <c r="J83" s="12" t="s">
        <v>53</v>
      </c>
      <c r="K83" s="12"/>
      <c r="M83" s="315"/>
      <c r="N83" s="315"/>
      <c r="O83" s="315"/>
      <c r="P83" s="315"/>
      <c r="Q83" s="315"/>
      <c r="R83" s="315"/>
    </row>
    <row r="84" spans="2:18" ht="15.75" customHeight="1" x14ac:dyDescent="0.2">
      <c r="B84" s="9" t="s">
        <v>11</v>
      </c>
      <c r="C84" s="12" t="s">
        <v>18</v>
      </c>
      <c r="D84" s="17">
        <v>0</v>
      </c>
      <c r="E84" s="11">
        <v>0</v>
      </c>
      <c r="F84" s="11">
        <v>0</v>
      </c>
      <c r="H84" s="12" t="s">
        <v>12</v>
      </c>
      <c r="I84" s="17">
        <v>565</v>
      </c>
      <c r="J84" s="17">
        <v>565</v>
      </c>
      <c r="K84" s="17" t="s">
        <v>1098</v>
      </c>
      <c r="M84" s="315"/>
      <c r="N84" s="315"/>
      <c r="O84" s="315"/>
      <c r="P84" s="315"/>
      <c r="Q84" s="315"/>
      <c r="R84" s="315"/>
    </row>
    <row r="85" spans="2:18" ht="15.75" customHeight="1" x14ac:dyDescent="0.2">
      <c r="B85" s="9" t="s">
        <v>21</v>
      </c>
      <c r="C85" s="12" t="s">
        <v>59</v>
      </c>
      <c r="D85" s="17">
        <v>440</v>
      </c>
      <c r="E85" s="11">
        <v>437</v>
      </c>
      <c r="F85" s="11">
        <v>437</v>
      </c>
      <c r="H85" s="12" t="s">
        <v>18</v>
      </c>
      <c r="I85" s="24">
        <v>0</v>
      </c>
      <c r="J85" s="24">
        <v>0</v>
      </c>
      <c r="K85" s="24" t="s">
        <v>1099</v>
      </c>
      <c r="M85" s="315"/>
      <c r="N85" s="315"/>
      <c r="O85" s="315"/>
      <c r="P85" s="315"/>
      <c r="Q85" s="315"/>
      <c r="R85" s="315"/>
    </row>
    <row r="86" spans="2:18" ht="15.75" customHeight="1" x14ac:dyDescent="0.2">
      <c r="B86" s="12" t="s">
        <v>21</v>
      </c>
      <c r="C86" s="12" t="s">
        <v>63</v>
      </c>
      <c r="D86" s="24">
        <v>160</v>
      </c>
      <c r="E86" s="25">
        <v>163</v>
      </c>
      <c r="F86" s="25">
        <v>163</v>
      </c>
      <c r="H86" s="202"/>
      <c r="I86" s="202"/>
      <c r="J86" s="202"/>
      <c r="K86" s="202"/>
    </row>
    <row r="87" spans="2:18" ht="15.75" customHeight="1" x14ac:dyDescent="0.2"/>
    <row r="88" spans="2:18" ht="15.75" customHeight="1" x14ac:dyDescent="0.2"/>
    <row r="89" spans="2:18" ht="15.75" customHeight="1" x14ac:dyDescent="0.2"/>
    <row r="90" spans="2:18" ht="15.75" customHeight="1" x14ac:dyDescent="0.2"/>
    <row r="91" spans="2:18" ht="15.75" customHeight="1" x14ac:dyDescent="0.25">
      <c r="B91" s="120">
        <v>43237</v>
      </c>
    </row>
    <row r="92" spans="2:18" ht="15.75" customHeight="1" x14ac:dyDescent="0.25">
      <c r="B92" s="21" t="s">
        <v>1088</v>
      </c>
    </row>
    <row r="93" spans="2:18" ht="15.75" customHeight="1" x14ac:dyDescent="0.25">
      <c r="I93" s="198"/>
    </row>
    <row r="94" spans="2:18" ht="15.75" customHeight="1" x14ac:dyDescent="0.25">
      <c r="B94" s="332" t="s">
        <v>1102</v>
      </c>
      <c r="C94" s="297"/>
      <c r="D94" s="297"/>
      <c r="E94" s="297"/>
      <c r="F94" s="298"/>
      <c r="H94" s="332" t="s">
        <v>1103</v>
      </c>
      <c r="I94" s="297"/>
      <c r="J94" s="297"/>
      <c r="K94" s="298"/>
    </row>
    <row r="95" spans="2:18" ht="15.75" customHeight="1" x14ac:dyDescent="0.2">
      <c r="B95" s="151" t="s">
        <v>0</v>
      </c>
      <c r="C95" s="152" t="s">
        <v>1</v>
      </c>
      <c r="D95" s="152" t="s">
        <v>42</v>
      </c>
      <c r="E95" s="152" t="s">
        <v>43</v>
      </c>
      <c r="F95" s="152" t="s">
        <v>44</v>
      </c>
      <c r="H95" s="348" t="s">
        <v>45</v>
      </c>
      <c r="I95" s="318"/>
      <c r="J95" s="318"/>
      <c r="K95" s="319"/>
    </row>
    <row r="96" spans="2:18" ht="15.75" customHeight="1" x14ac:dyDescent="0.2">
      <c r="B96" s="310" t="s">
        <v>275</v>
      </c>
      <c r="C96" s="297"/>
      <c r="D96" s="297"/>
      <c r="E96" s="297"/>
      <c r="F96" s="306"/>
      <c r="H96" s="305" t="s">
        <v>275</v>
      </c>
      <c r="I96" s="297"/>
      <c r="J96" s="297"/>
      <c r="K96" s="298"/>
    </row>
    <row r="97" spans="1:15" ht="15.75" customHeight="1" x14ac:dyDescent="0.2">
      <c r="B97" s="9" t="s">
        <v>11</v>
      </c>
      <c r="C97" s="12" t="s">
        <v>12</v>
      </c>
      <c r="D97" s="17">
        <v>565</v>
      </c>
      <c r="E97" s="11">
        <v>565</v>
      </c>
      <c r="F97" s="11">
        <v>525</v>
      </c>
      <c r="H97" s="12"/>
      <c r="I97" s="12" t="s">
        <v>52</v>
      </c>
      <c r="J97" s="12" t="s">
        <v>53</v>
      </c>
      <c r="K97" s="12"/>
    </row>
    <row r="98" spans="1:15" ht="15.75" customHeight="1" x14ac:dyDescent="0.2">
      <c r="B98" s="9" t="s">
        <v>11</v>
      </c>
      <c r="C98" s="12" t="s">
        <v>18</v>
      </c>
      <c r="D98" s="17">
        <v>0</v>
      </c>
      <c r="E98" s="11">
        <v>0</v>
      </c>
      <c r="F98" s="11">
        <v>0</v>
      </c>
      <c r="H98" s="12" t="s">
        <v>12</v>
      </c>
      <c r="I98" s="17">
        <v>565</v>
      </c>
      <c r="J98" s="17">
        <v>525</v>
      </c>
      <c r="K98" s="17" t="s">
        <v>1106</v>
      </c>
    </row>
    <row r="99" spans="1:15" ht="15.75" customHeight="1" x14ac:dyDescent="0.2">
      <c r="B99" s="9" t="s">
        <v>21</v>
      </c>
      <c r="C99" s="12" t="s">
        <v>59</v>
      </c>
      <c r="D99" s="17">
        <v>440</v>
      </c>
      <c r="E99" s="11">
        <v>452</v>
      </c>
      <c r="F99" s="11">
        <v>439</v>
      </c>
      <c r="H99" s="12" t="s">
        <v>18</v>
      </c>
      <c r="I99" s="24">
        <v>0</v>
      </c>
      <c r="J99" s="24">
        <v>0</v>
      </c>
      <c r="K99" s="24" t="s">
        <v>1108</v>
      </c>
    </row>
    <row r="100" spans="1:15" ht="15.75" customHeight="1" x14ac:dyDescent="0.2">
      <c r="B100" s="12" t="s">
        <v>21</v>
      </c>
      <c r="C100" s="12" t="s">
        <v>63</v>
      </c>
      <c r="D100" s="24">
        <v>160</v>
      </c>
      <c r="E100" s="25">
        <v>174</v>
      </c>
      <c r="F100" s="25">
        <v>160</v>
      </c>
      <c r="H100" s="202"/>
      <c r="I100" s="202"/>
      <c r="J100" s="202"/>
      <c r="K100" s="202"/>
    </row>
    <row r="101" spans="1:15" ht="15.75" customHeight="1" x14ac:dyDescent="0.2"/>
    <row r="102" spans="1:15" ht="15.75" customHeight="1" x14ac:dyDescent="0.2"/>
    <row r="103" spans="1:15" ht="15.75" customHeight="1" x14ac:dyDescent="0.2"/>
    <row r="104" spans="1:15" ht="15.75" customHeight="1" x14ac:dyDescent="0.25">
      <c r="A104" s="377"/>
      <c r="B104" s="315"/>
      <c r="C104" s="315"/>
      <c r="D104" s="315"/>
      <c r="E104" s="315"/>
      <c r="F104" s="315"/>
      <c r="G104" s="315"/>
      <c r="H104" s="315"/>
      <c r="I104" s="315"/>
      <c r="J104" s="315"/>
      <c r="K104" s="315"/>
      <c r="L104" s="315"/>
      <c r="M104" s="315"/>
      <c r="N104" s="315"/>
      <c r="O104" s="315"/>
    </row>
    <row r="105" spans="1:15" ht="15.75" customHeight="1" x14ac:dyDescent="0.25">
      <c r="A105" s="21" t="s">
        <v>1070</v>
      </c>
      <c r="G105" s="123"/>
      <c r="O105" s="377"/>
    </row>
    <row r="106" spans="1:15" ht="15.75" customHeight="1" x14ac:dyDescent="0.25">
      <c r="G106" s="123"/>
      <c r="O106" s="315"/>
    </row>
    <row r="107" spans="1:15" ht="15.75" customHeight="1" x14ac:dyDescent="0.25">
      <c r="G107" s="123"/>
      <c r="O107" s="315"/>
    </row>
    <row r="108" spans="1:15" ht="15.75" customHeight="1" x14ac:dyDescent="0.25">
      <c r="B108" s="304" t="s">
        <v>662</v>
      </c>
      <c r="C108" s="297"/>
      <c r="D108" s="297"/>
      <c r="E108" s="297"/>
      <c r="F108" s="154"/>
      <c r="G108" s="123"/>
      <c r="I108" s="296" t="s">
        <v>6</v>
      </c>
      <c r="J108" s="297"/>
      <c r="K108" s="297"/>
      <c r="L108" s="297"/>
      <c r="M108" s="297"/>
      <c r="N108" s="298"/>
      <c r="O108" s="315"/>
    </row>
    <row r="109" spans="1:15" ht="15.75" customHeight="1" x14ac:dyDescent="0.25">
      <c r="B109" s="4" t="s">
        <v>0</v>
      </c>
      <c r="C109" s="5" t="s">
        <v>1</v>
      </c>
      <c r="D109" s="5" t="s">
        <v>2</v>
      </c>
      <c r="E109" s="5" t="s">
        <v>43</v>
      </c>
      <c r="F109" s="45" t="s">
        <v>125</v>
      </c>
      <c r="G109" s="123"/>
      <c r="I109" s="296" t="s">
        <v>106</v>
      </c>
      <c r="J109" s="297"/>
      <c r="K109" s="298"/>
      <c r="L109" s="296" t="s">
        <v>107</v>
      </c>
      <c r="M109" s="297"/>
      <c r="N109" s="298"/>
      <c r="O109" s="315"/>
    </row>
    <row r="110" spans="1:15" ht="15.75" customHeight="1" x14ac:dyDescent="0.25">
      <c r="B110" s="9" t="s">
        <v>7</v>
      </c>
      <c r="C110" s="302" t="s">
        <v>9</v>
      </c>
      <c r="D110" s="11">
        <v>28.1</v>
      </c>
      <c r="E110" s="11">
        <v>31</v>
      </c>
      <c r="F110" s="11">
        <v>28</v>
      </c>
      <c r="G110" s="123">
        <f t="shared" ref="G110:G114" si="0">+(F110-D110)/D110*100</f>
        <v>-0.35587188612100151</v>
      </c>
      <c r="H110" s="21">
        <f t="shared" ref="H110:H161" si="1">+IF(ABS(G110)&gt;10,1,0)</f>
        <v>0</v>
      </c>
      <c r="I110" s="13" t="s">
        <v>13</v>
      </c>
      <c r="J110" s="39">
        <f>J112+(J112*0.05)</f>
        <v>687.75</v>
      </c>
      <c r="K110" s="17" t="s">
        <v>1115</v>
      </c>
      <c r="L110" s="13" t="s">
        <v>13</v>
      </c>
      <c r="M110" s="39">
        <f>M112+M112*0.05</f>
        <v>888.65000000000009</v>
      </c>
      <c r="N110" s="17" t="s">
        <v>1116</v>
      </c>
      <c r="O110" s="315"/>
    </row>
    <row r="111" spans="1:15" ht="15.75" customHeight="1" x14ac:dyDescent="0.25">
      <c r="B111" s="9" t="s">
        <v>17</v>
      </c>
      <c r="C111" s="300"/>
      <c r="D111" s="11">
        <v>63.911000000000001</v>
      </c>
      <c r="E111" s="11">
        <v>81</v>
      </c>
      <c r="F111" s="11">
        <v>63</v>
      </c>
      <c r="G111" s="123">
        <f t="shared" si="0"/>
        <v>-1.4254197243041125</v>
      </c>
      <c r="H111" s="21">
        <f t="shared" si="1"/>
        <v>0</v>
      </c>
      <c r="I111" s="13" t="s">
        <v>19</v>
      </c>
      <c r="J111" s="40">
        <f>J112-(J112*0.05)</f>
        <v>622.25</v>
      </c>
      <c r="K111" s="17" t="s">
        <v>1119</v>
      </c>
      <c r="L111" s="13" t="s">
        <v>19</v>
      </c>
      <c r="M111" s="40">
        <f>M112-M112*0.05</f>
        <v>804.01666666666665</v>
      </c>
      <c r="N111" s="17" t="s">
        <v>1121</v>
      </c>
      <c r="O111" s="315"/>
    </row>
    <row r="112" spans="1:15" ht="15.75" customHeight="1" x14ac:dyDescent="0.25">
      <c r="B112" s="9" t="s">
        <v>26</v>
      </c>
      <c r="C112" s="300"/>
      <c r="D112" s="11">
        <v>69.921999999999997</v>
      </c>
      <c r="E112" s="11">
        <v>81</v>
      </c>
      <c r="F112" s="11">
        <v>68</v>
      </c>
      <c r="G112" s="123">
        <f t="shared" si="0"/>
        <v>-2.7487772088899018</v>
      </c>
      <c r="H112" s="21">
        <f t="shared" si="1"/>
        <v>0</v>
      </c>
      <c r="I112" s="13" t="s">
        <v>27</v>
      </c>
      <c r="J112" s="20">
        <v>655</v>
      </c>
      <c r="K112" s="17" t="s">
        <v>1123</v>
      </c>
      <c r="L112" s="13" t="s">
        <v>27</v>
      </c>
      <c r="M112" s="20">
        <f>+(M116+M117+M118)/3</f>
        <v>846.33333333333337</v>
      </c>
      <c r="N112" s="17" t="s">
        <v>1126</v>
      </c>
      <c r="O112" s="315"/>
    </row>
    <row r="113" spans="2:15" ht="15.75" customHeight="1" x14ac:dyDescent="0.25">
      <c r="B113" s="9" t="s">
        <v>32</v>
      </c>
      <c r="C113" s="300"/>
      <c r="D113" s="11">
        <v>96.744</v>
      </c>
      <c r="E113" s="11">
        <v>97</v>
      </c>
      <c r="F113" s="11">
        <v>97</v>
      </c>
      <c r="G113" s="123">
        <f t="shared" si="0"/>
        <v>0.26461589349210313</v>
      </c>
      <c r="H113" s="21">
        <f t="shared" si="1"/>
        <v>0</v>
      </c>
      <c r="I113" s="13" t="s">
        <v>121</v>
      </c>
      <c r="J113" s="20">
        <v>643</v>
      </c>
      <c r="K113" s="17" t="s">
        <v>1129</v>
      </c>
      <c r="L113" s="13" t="s">
        <v>121</v>
      </c>
      <c r="M113" s="20">
        <v>826</v>
      </c>
      <c r="N113" s="17" t="s">
        <v>1130</v>
      </c>
      <c r="O113" s="315"/>
    </row>
    <row r="114" spans="2:15" ht="15.75" customHeight="1" x14ac:dyDescent="0.25">
      <c r="B114" s="9" t="s">
        <v>33</v>
      </c>
      <c r="C114" s="301"/>
      <c r="D114" s="11">
        <v>128.11000000000001</v>
      </c>
      <c r="E114" s="11">
        <v>128</v>
      </c>
      <c r="F114" s="11">
        <v>129</v>
      </c>
      <c r="G114" s="123">
        <f t="shared" si="0"/>
        <v>0.69471547888532215</v>
      </c>
      <c r="H114" s="21">
        <f t="shared" si="1"/>
        <v>0</v>
      </c>
      <c r="O114" s="315"/>
    </row>
    <row r="115" spans="2:15" ht="15.75" customHeight="1" x14ac:dyDescent="0.25">
      <c r="B115" s="41"/>
      <c r="C115" s="42"/>
      <c r="D115" s="42"/>
      <c r="E115" s="42"/>
      <c r="F115" s="11"/>
      <c r="G115" s="123"/>
      <c r="H115" s="21">
        <f t="shared" si="1"/>
        <v>0</v>
      </c>
      <c r="I115" s="3"/>
      <c r="M115" s="21" t="s">
        <v>1131</v>
      </c>
      <c r="O115" s="315"/>
    </row>
    <row r="116" spans="2:15" ht="15.75" customHeight="1" x14ac:dyDescent="0.25">
      <c r="B116" s="9" t="s">
        <v>35</v>
      </c>
      <c r="C116" s="302" t="s">
        <v>36</v>
      </c>
      <c r="D116" s="11">
        <v>207.78</v>
      </c>
      <c r="E116" s="11">
        <v>200</v>
      </c>
      <c r="F116" s="11">
        <v>204</v>
      </c>
      <c r="G116" s="123">
        <f t="shared" ref="G116:G120" si="2">+(F116-D116)/D116*100</f>
        <v>-1.8192318798729432</v>
      </c>
      <c r="H116" s="21">
        <f t="shared" si="1"/>
        <v>0</v>
      </c>
      <c r="I116" s="3">
        <v>277</v>
      </c>
      <c r="J116" s="21">
        <f t="shared" ref="J116:J120" si="3">1-I116/D116</f>
        <v>-0.33314082202329387</v>
      </c>
      <c r="K116" s="21">
        <f t="shared" ref="K116:K120" si="4">+J116*100</f>
        <v>-33.314082202329388</v>
      </c>
      <c r="M116" s="21">
        <v>849</v>
      </c>
      <c r="O116" s="315"/>
    </row>
    <row r="117" spans="2:15" ht="15.75" customHeight="1" x14ac:dyDescent="0.25">
      <c r="B117" s="9" t="s">
        <v>37</v>
      </c>
      <c r="C117" s="300"/>
      <c r="D117" s="11">
        <v>444.11</v>
      </c>
      <c r="E117" s="11">
        <v>265</v>
      </c>
      <c r="F117" s="11">
        <v>412</v>
      </c>
      <c r="G117" s="123">
        <f t="shared" si="2"/>
        <v>-7.2301907185156864</v>
      </c>
      <c r="H117" s="21">
        <f t="shared" si="1"/>
        <v>0</v>
      </c>
      <c r="I117" s="3">
        <v>445</v>
      </c>
      <c r="J117" s="21">
        <f t="shared" si="3"/>
        <v>-2.0040080160319551E-3</v>
      </c>
      <c r="K117" s="21">
        <f t="shared" si="4"/>
        <v>-0.20040080160319551</v>
      </c>
      <c r="M117" s="21">
        <v>869</v>
      </c>
      <c r="O117" s="315"/>
    </row>
    <row r="118" spans="2:15" ht="15.75" customHeight="1" x14ac:dyDescent="0.25">
      <c r="B118" s="9" t="s">
        <v>38</v>
      </c>
      <c r="C118" s="300"/>
      <c r="D118" s="11">
        <v>579.55999999999995</v>
      </c>
      <c r="E118" s="11">
        <v>475</v>
      </c>
      <c r="F118" s="11">
        <v>603</v>
      </c>
      <c r="G118" s="123">
        <f t="shared" si="2"/>
        <v>4.0444475119055934</v>
      </c>
      <c r="H118" s="21">
        <f t="shared" si="1"/>
        <v>0</v>
      </c>
      <c r="I118" s="3">
        <v>590</v>
      </c>
      <c r="J118" s="21">
        <f t="shared" si="3"/>
        <v>-1.8013665539374779E-2</v>
      </c>
      <c r="K118" s="21">
        <f t="shared" si="4"/>
        <v>-1.8013665539374779</v>
      </c>
      <c r="M118" s="21">
        <v>821</v>
      </c>
      <c r="O118" s="315"/>
    </row>
    <row r="119" spans="2:15" ht="15.75" customHeight="1" x14ac:dyDescent="0.25">
      <c r="B119" s="9" t="s">
        <v>39</v>
      </c>
      <c r="C119" s="300"/>
      <c r="D119" s="11">
        <v>746.22</v>
      </c>
      <c r="E119" s="11">
        <v>670</v>
      </c>
      <c r="F119" s="11">
        <v>763</v>
      </c>
      <c r="G119" s="123">
        <f t="shared" si="2"/>
        <v>2.2486666130631683</v>
      </c>
      <c r="H119" s="21">
        <f t="shared" si="1"/>
        <v>0</v>
      </c>
      <c r="I119" s="3">
        <v>746</v>
      </c>
      <c r="J119" s="21">
        <f t="shared" si="3"/>
        <v>2.9481922221330503E-4</v>
      </c>
      <c r="K119" s="21">
        <f t="shared" si="4"/>
        <v>2.9481922221330503E-2</v>
      </c>
      <c r="O119" s="315"/>
    </row>
    <row r="120" spans="2:15" ht="15.75" customHeight="1" x14ac:dyDescent="0.25">
      <c r="B120" s="49" t="s">
        <v>41</v>
      </c>
      <c r="C120" s="300"/>
      <c r="D120" s="51">
        <v>869.5</v>
      </c>
      <c r="E120" s="51">
        <v>769</v>
      </c>
      <c r="F120" s="51">
        <v>889</v>
      </c>
      <c r="G120" s="123">
        <f t="shared" si="2"/>
        <v>2.2426682001150087</v>
      </c>
      <c r="H120" s="21">
        <f t="shared" si="1"/>
        <v>0</v>
      </c>
      <c r="I120" s="3">
        <v>860</v>
      </c>
      <c r="J120" s="21">
        <f t="shared" si="3"/>
        <v>1.0925819436457762E-2</v>
      </c>
      <c r="K120" s="21">
        <f t="shared" si="4"/>
        <v>1.0925819436457762</v>
      </c>
      <c r="O120" s="315"/>
    </row>
    <row r="121" spans="2:15" ht="15.75" customHeight="1" x14ac:dyDescent="0.25">
      <c r="B121" s="79"/>
      <c r="C121" s="81"/>
      <c r="D121" s="81"/>
      <c r="E121" s="81"/>
      <c r="F121" s="81"/>
      <c r="G121" s="123"/>
      <c r="H121" s="21">
        <f t="shared" si="1"/>
        <v>0</v>
      </c>
      <c r="I121" s="3"/>
      <c r="O121" s="315"/>
    </row>
    <row r="122" spans="2:15" ht="15.75" customHeight="1" x14ac:dyDescent="0.25">
      <c r="B122" s="9" t="s">
        <v>46</v>
      </c>
      <c r="C122" s="299" t="s">
        <v>47</v>
      </c>
      <c r="D122" s="11">
        <v>88.4</v>
      </c>
      <c r="E122" s="11">
        <v>94</v>
      </c>
      <c r="F122" s="11">
        <v>95</v>
      </c>
      <c r="G122" s="123">
        <f t="shared" ref="G122:G123" si="5">+(F122-D122)/D122*100</f>
        <v>7.4660633484162826</v>
      </c>
      <c r="H122" s="21">
        <f t="shared" si="1"/>
        <v>0</v>
      </c>
      <c r="I122" s="3"/>
      <c r="O122" s="315"/>
    </row>
    <row r="123" spans="2:15" ht="15.75" customHeight="1" x14ac:dyDescent="0.25">
      <c r="B123" s="9" t="s">
        <v>48</v>
      </c>
      <c r="C123" s="300"/>
      <c r="D123" s="11">
        <v>94.6</v>
      </c>
      <c r="E123" s="11">
        <v>98</v>
      </c>
      <c r="F123" s="11">
        <v>105</v>
      </c>
      <c r="G123" s="123">
        <f t="shared" si="5"/>
        <v>10.99365750528542</v>
      </c>
      <c r="H123" s="21">
        <f t="shared" si="1"/>
        <v>1</v>
      </c>
      <c r="I123" s="3"/>
      <c r="O123" s="315"/>
    </row>
    <row r="124" spans="2:15" ht="15.75" customHeight="1" x14ac:dyDescent="0.25">
      <c r="B124" s="41"/>
      <c r="C124" s="42"/>
      <c r="D124" s="42"/>
      <c r="E124" s="42"/>
      <c r="F124" s="11"/>
      <c r="G124" s="123"/>
      <c r="H124" s="21">
        <f t="shared" si="1"/>
        <v>0</v>
      </c>
      <c r="I124" s="3"/>
      <c r="O124" s="315"/>
    </row>
    <row r="125" spans="2:15" ht="15.75" customHeight="1" x14ac:dyDescent="0.25">
      <c r="B125" s="9" t="s">
        <v>50</v>
      </c>
      <c r="C125" s="302" t="s">
        <v>51</v>
      </c>
      <c r="D125" s="11">
        <v>271.44400000000002</v>
      </c>
      <c r="E125" s="11">
        <v>190</v>
      </c>
      <c r="F125" s="11">
        <v>170</v>
      </c>
      <c r="G125" s="123">
        <f t="shared" ref="G125:G129" si="6">+(F125-D125)/D125*100</f>
        <v>-37.371980961082215</v>
      </c>
      <c r="H125" s="21">
        <f t="shared" si="1"/>
        <v>1</v>
      </c>
      <c r="I125" s="3"/>
      <c r="O125" s="315"/>
    </row>
    <row r="126" spans="2:15" ht="15.75" customHeight="1" x14ac:dyDescent="0.25">
      <c r="B126" s="9" t="s">
        <v>54</v>
      </c>
      <c r="C126" s="300"/>
      <c r="D126" s="11">
        <v>550.22199999999998</v>
      </c>
      <c r="E126" s="11">
        <v>230</v>
      </c>
      <c r="F126" s="11">
        <v>532</v>
      </c>
      <c r="G126" s="123">
        <f t="shared" si="6"/>
        <v>-3.3117541646826156</v>
      </c>
      <c r="H126" s="21">
        <f t="shared" si="1"/>
        <v>0</v>
      </c>
      <c r="I126" s="3"/>
      <c r="O126" s="315"/>
    </row>
    <row r="127" spans="2:15" ht="15.75" customHeight="1" x14ac:dyDescent="0.25">
      <c r="B127" s="9" t="s">
        <v>55</v>
      </c>
      <c r="C127" s="300"/>
      <c r="D127" s="11">
        <v>609</v>
      </c>
      <c r="E127" s="11">
        <v>660</v>
      </c>
      <c r="F127" s="11">
        <v>621</v>
      </c>
      <c r="G127" s="123">
        <f t="shared" si="6"/>
        <v>1.9704433497536946</v>
      </c>
      <c r="H127" s="21">
        <f t="shared" si="1"/>
        <v>0</v>
      </c>
      <c r="I127" s="3"/>
      <c r="O127" s="315"/>
    </row>
    <row r="128" spans="2:15" ht="15.75" customHeight="1" x14ac:dyDescent="0.25">
      <c r="B128" s="9" t="s">
        <v>56</v>
      </c>
      <c r="C128" s="300"/>
      <c r="D128" s="11">
        <v>739.11099999999999</v>
      </c>
      <c r="E128" s="11">
        <v>730</v>
      </c>
      <c r="F128" s="11">
        <v>780</v>
      </c>
      <c r="G128" s="123">
        <f t="shared" si="6"/>
        <v>5.5321866404369588</v>
      </c>
      <c r="H128" s="21">
        <f t="shared" si="1"/>
        <v>0</v>
      </c>
      <c r="I128" s="3"/>
      <c r="O128" s="315"/>
    </row>
    <row r="129" spans="2:15" ht="15.75" customHeight="1" x14ac:dyDescent="0.25">
      <c r="B129" s="49" t="s">
        <v>57</v>
      </c>
      <c r="C129" s="300"/>
      <c r="D129" s="51">
        <v>746.88900000000001</v>
      </c>
      <c r="E129" s="51">
        <v>558</v>
      </c>
      <c r="F129" s="51">
        <v>810</v>
      </c>
      <c r="G129" s="123">
        <f t="shared" si="6"/>
        <v>8.4498499777075295</v>
      </c>
      <c r="H129" s="21">
        <f t="shared" si="1"/>
        <v>0</v>
      </c>
      <c r="I129" s="3"/>
      <c r="O129" s="315"/>
    </row>
    <row r="130" spans="2:15" ht="15.75" customHeight="1" x14ac:dyDescent="0.25">
      <c r="B130" s="79"/>
      <c r="C130" s="81"/>
      <c r="D130" s="81"/>
      <c r="E130" s="81"/>
      <c r="F130" s="81"/>
      <c r="G130" s="123"/>
      <c r="H130" s="21">
        <f t="shared" si="1"/>
        <v>0</v>
      </c>
      <c r="I130" s="3"/>
      <c r="O130" s="315"/>
    </row>
    <row r="131" spans="2:15" ht="15.75" customHeight="1" x14ac:dyDescent="0.25">
      <c r="B131" s="9" t="s">
        <v>60</v>
      </c>
      <c r="C131" s="299" t="s">
        <v>62</v>
      </c>
      <c r="D131" s="11">
        <v>19.36</v>
      </c>
      <c r="E131" s="11">
        <v>18</v>
      </c>
      <c r="F131" s="11">
        <v>20</v>
      </c>
      <c r="G131" s="123">
        <f t="shared" ref="G131:G133" si="7">+(F131-D131)/D131*100</f>
        <v>3.3057851239669449</v>
      </c>
      <c r="H131" s="21">
        <f t="shared" si="1"/>
        <v>0</v>
      </c>
      <c r="I131" s="3"/>
      <c r="O131" s="315"/>
    </row>
    <row r="132" spans="2:15" ht="15.75" customHeight="1" x14ac:dyDescent="0.25">
      <c r="B132" s="9" t="s">
        <v>64</v>
      </c>
      <c r="C132" s="300"/>
      <c r="D132" s="11">
        <v>33.31</v>
      </c>
      <c r="E132" s="11">
        <v>36</v>
      </c>
      <c r="F132" s="11">
        <v>33</v>
      </c>
      <c r="G132" s="123">
        <f t="shared" si="7"/>
        <v>-0.93065145601922017</v>
      </c>
      <c r="H132" s="21">
        <f t="shared" si="1"/>
        <v>0</v>
      </c>
      <c r="I132" s="3"/>
      <c r="O132" s="315"/>
    </row>
    <row r="133" spans="2:15" ht="15.75" customHeight="1" x14ac:dyDescent="0.25">
      <c r="B133" s="9" t="s">
        <v>65</v>
      </c>
      <c r="C133" s="301"/>
      <c r="D133" s="11">
        <v>41.74</v>
      </c>
      <c r="E133" s="11">
        <v>20</v>
      </c>
      <c r="F133" s="11">
        <v>39</v>
      </c>
      <c r="G133" s="123">
        <f t="shared" si="7"/>
        <v>-6.5644465740297129</v>
      </c>
      <c r="H133" s="21">
        <f t="shared" si="1"/>
        <v>0</v>
      </c>
      <c r="I133" s="3"/>
      <c r="O133" s="315"/>
    </row>
    <row r="134" spans="2:15" ht="15.75" customHeight="1" x14ac:dyDescent="0.25">
      <c r="B134" s="41"/>
      <c r="C134" s="42"/>
      <c r="D134" s="42"/>
      <c r="E134" s="42"/>
      <c r="F134" s="11"/>
      <c r="G134" s="123"/>
      <c r="H134" s="21">
        <f t="shared" si="1"/>
        <v>0</v>
      </c>
      <c r="I134" s="3"/>
      <c r="O134" s="315"/>
    </row>
    <row r="135" spans="2:15" ht="15.75" customHeight="1" x14ac:dyDescent="0.25">
      <c r="B135" s="9" t="s">
        <v>66</v>
      </c>
      <c r="C135" s="302" t="s">
        <v>68</v>
      </c>
      <c r="D135" s="11">
        <v>204.5</v>
      </c>
      <c r="E135" s="11">
        <v>220</v>
      </c>
      <c r="F135" s="11">
        <v>207</v>
      </c>
      <c r="G135" s="123">
        <f t="shared" ref="G135:G136" si="8">+(F135-D135)/D135*100</f>
        <v>1.2224938875305624</v>
      </c>
      <c r="H135" s="21">
        <f t="shared" si="1"/>
        <v>0</v>
      </c>
      <c r="I135" s="3"/>
      <c r="O135" s="315"/>
    </row>
    <row r="136" spans="2:15" ht="15.75" customHeight="1" x14ac:dyDescent="0.25">
      <c r="B136" s="49" t="s">
        <v>69</v>
      </c>
      <c r="C136" s="300"/>
      <c r="D136" s="51">
        <v>277.7</v>
      </c>
      <c r="E136" s="51">
        <v>265</v>
      </c>
      <c r="F136" s="51">
        <v>276</v>
      </c>
      <c r="G136" s="123">
        <f t="shared" si="8"/>
        <v>-0.61217140799423431</v>
      </c>
      <c r="H136" s="21">
        <f t="shared" si="1"/>
        <v>0</v>
      </c>
      <c r="I136" s="3"/>
      <c r="O136" s="315"/>
    </row>
    <row r="137" spans="2:15" ht="15.75" customHeight="1" x14ac:dyDescent="0.25">
      <c r="B137" s="44"/>
      <c r="C137" s="46"/>
      <c r="D137" s="46"/>
      <c r="E137" s="46"/>
      <c r="F137" s="46"/>
      <c r="G137" s="123"/>
      <c r="H137" s="21">
        <f t="shared" si="1"/>
        <v>0</v>
      </c>
      <c r="I137" s="3"/>
      <c r="O137" s="315"/>
    </row>
    <row r="138" spans="2:15" ht="15.75" customHeight="1" x14ac:dyDescent="0.25">
      <c r="B138" s="9" t="s">
        <v>69</v>
      </c>
      <c r="C138" s="299" t="s">
        <v>71</v>
      </c>
      <c r="D138" s="11">
        <v>10.283300000000001</v>
      </c>
      <c r="E138" s="11">
        <v>8</v>
      </c>
      <c r="F138" s="11">
        <v>14</v>
      </c>
      <c r="G138" s="123">
        <f t="shared" ref="G138:G140" si="9">+(F138-D138)/D138*100</f>
        <v>36.14306691431738</v>
      </c>
      <c r="H138" s="21">
        <f t="shared" si="1"/>
        <v>1</v>
      </c>
      <c r="I138" s="3"/>
      <c r="O138" s="315"/>
    </row>
    <row r="139" spans="2:15" ht="15.75" customHeight="1" x14ac:dyDescent="0.25">
      <c r="B139" s="9" t="s">
        <v>72</v>
      </c>
      <c r="C139" s="300"/>
      <c r="D139" s="11">
        <v>11.8833</v>
      </c>
      <c r="E139" s="11">
        <v>9</v>
      </c>
      <c r="F139" s="11">
        <v>15</v>
      </c>
      <c r="G139" s="123">
        <f t="shared" si="9"/>
        <v>26.22756305066774</v>
      </c>
      <c r="H139" s="21">
        <f t="shared" si="1"/>
        <v>1</v>
      </c>
      <c r="I139" s="3"/>
      <c r="O139" s="315"/>
    </row>
    <row r="140" spans="2:15" ht="15.75" customHeight="1" x14ac:dyDescent="0.25">
      <c r="B140" s="9" t="s">
        <v>73</v>
      </c>
      <c r="C140" s="301"/>
      <c r="D140" s="11">
        <v>17.433299999999999</v>
      </c>
      <c r="E140" s="11">
        <v>21</v>
      </c>
      <c r="F140" s="11">
        <v>18</v>
      </c>
      <c r="G140" s="123">
        <f t="shared" si="9"/>
        <v>3.2506754315017865</v>
      </c>
      <c r="H140" s="21">
        <f t="shared" si="1"/>
        <v>0</v>
      </c>
      <c r="I140" s="3"/>
      <c r="O140" s="315"/>
    </row>
    <row r="141" spans="2:15" ht="15.75" customHeight="1" x14ac:dyDescent="0.25">
      <c r="B141" s="41"/>
      <c r="C141" s="42"/>
      <c r="D141" s="42"/>
      <c r="E141" s="42"/>
      <c r="F141" s="11"/>
      <c r="G141" s="123"/>
      <c r="H141" s="21">
        <f t="shared" si="1"/>
        <v>0</v>
      </c>
      <c r="I141" s="3"/>
      <c r="O141" s="315"/>
    </row>
    <row r="142" spans="2:15" ht="15.75" customHeight="1" x14ac:dyDescent="0.25">
      <c r="B142" s="9" t="s">
        <v>1023</v>
      </c>
      <c r="C142" s="302" t="s">
        <v>77</v>
      </c>
      <c r="D142" s="11">
        <v>117.467</v>
      </c>
      <c r="E142" s="11">
        <v>219</v>
      </c>
      <c r="F142" s="11">
        <v>117</v>
      </c>
      <c r="G142" s="123">
        <f t="shared" ref="G142:G145" si="10">+(F142-D142)/D142*100</f>
        <v>-0.39755846322796939</v>
      </c>
      <c r="H142" s="21">
        <f t="shared" si="1"/>
        <v>0</v>
      </c>
      <c r="I142" s="3"/>
      <c r="O142" s="315"/>
    </row>
    <row r="143" spans="2:15" ht="15.75" customHeight="1" x14ac:dyDescent="0.25">
      <c r="B143" s="9" t="s">
        <v>78</v>
      </c>
      <c r="C143" s="300"/>
      <c r="D143" s="11">
        <v>187.833</v>
      </c>
      <c r="E143" s="11">
        <v>155</v>
      </c>
      <c r="F143" s="11">
        <v>195</v>
      </c>
      <c r="G143" s="123">
        <f t="shared" si="10"/>
        <v>3.8156234527479205</v>
      </c>
      <c r="H143" s="21">
        <f t="shared" si="1"/>
        <v>0</v>
      </c>
      <c r="I143" s="3"/>
      <c r="O143" s="315"/>
    </row>
    <row r="144" spans="2:15" ht="15.75" customHeight="1" x14ac:dyDescent="0.25">
      <c r="B144" s="9" t="s">
        <v>79</v>
      </c>
      <c r="C144" s="300"/>
      <c r="D144" s="11">
        <v>239</v>
      </c>
      <c r="E144" s="11">
        <v>233</v>
      </c>
      <c r="F144" s="11">
        <v>239</v>
      </c>
      <c r="G144" s="123">
        <f t="shared" si="10"/>
        <v>0</v>
      </c>
      <c r="H144" s="21">
        <f t="shared" si="1"/>
        <v>0</v>
      </c>
      <c r="I144" s="3"/>
      <c r="O144" s="315"/>
    </row>
    <row r="145" spans="2:15" ht="15.75" customHeight="1" x14ac:dyDescent="0.25">
      <c r="B145" s="49" t="s">
        <v>1025</v>
      </c>
      <c r="C145" s="300"/>
      <c r="D145" s="51">
        <v>218</v>
      </c>
      <c r="E145" s="51">
        <v>121</v>
      </c>
      <c r="F145" s="51">
        <v>218</v>
      </c>
      <c r="G145" s="123">
        <f t="shared" si="10"/>
        <v>0</v>
      </c>
      <c r="H145" s="21">
        <f t="shared" si="1"/>
        <v>0</v>
      </c>
      <c r="I145" s="3"/>
      <c r="O145" s="315"/>
    </row>
    <row r="146" spans="2:15" ht="15.75" customHeight="1" x14ac:dyDescent="0.25">
      <c r="B146" s="44"/>
      <c r="C146" s="46"/>
      <c r="D146" s="46"/>
      <c r="E146" s="46"/>
      <c r="F146" s="46"/>
      <c r="G146" s="123"/>
      <c r="H146" s="21">
        <f t="shared" si="1"/>
        <v>0</v>
      </c>
      <c r="I146" s="3"/>
      <c r="O146" s="315"/>
    </row>
    <row r="147" spans="2:15" ht="15.75" customHeight="1" x14ac:dyDescent="0.25">
      <c r="B147" s="9" t="s">
        <v>81</v>
      </c>
      <c r="C147" s="299" t="s">
        <v>82</v>
      </c>
      <c r="D147" s="11">
        <v>2</v>
      </c>
      <c r="E147" s="11">
        <v>10</v>
      </c>
      <c r="F147" s="11">
        <v>1</v>
      </c>
      <c r="G147" s="123">
        <f t="shared" ref="G147:G149" si="11">+(F147-D147)/D147*100</f>
        <v>-50</v>
      </c>
      <c r="H147" s="21">
        <f t="shared" si="1"/>
        <v>1</v>
      </c>
      <c r="I147" s="3"/>
      <c r="O147" s="315"/>
    </row>
    <row r="148" spans="2:15" ht="15.75" customHeight="1" x14ac:dyDescent="0.25">
      <c r="B148" s="9" t="s">
        <v>83</v>
      </c>
      <c r="C148" s="300"/>
      <c r="D148" s="11">
        <v>7.133</v>
      </c>
      <c r="E148" s="11">
        <v>16</v>
      </c>
      <c r="F148" s="11">
        <v>11</v>
      </c>
      <c r="G148" s="123">
        <f t="shared" si="11"/>
        <v>54.212813682882377</v>
      </c>
      <c r="H148" s="21">
        <f t="shared" si="1"/>
        <v>1</v>
      </c>
      <c r="I148" s="3"/>
      <c r="O148" s="315"/>
    </row>
    <row r="149" spans="2:15" ht="15.75" customHeight="1" x14ac:dyDescent="0.25">
      <c r="B149" s="9" t="s">
        <v>84</v>
      </c>
      <c r="C149" s="301"/>
      <c r="D149" s="11">
        <v>10.72</v>
      </c>
      <c r="E149" s="11">
        <v>14</v>
      </c>
      <c r="F149" s="11">
        <v>10</v>
      </c>
      <c r="G149" s="123">
        <f t="shared" si="11"/>
        <v>-6.7164179104477668</v>
      </c>
      <c r="H149" s="21">
        <f t="shared" si="1"/>
        <v>0</v>
      </c>
      <c r="I149" s="3"/>
      <c r="O149" s="315"/>
    </row>
    <row r="150" spans="2:15" ht="15.75" customHeight="1" x14ac:dyDescent="0.25">
      <c r="B150" s="41"/>
      <c r="C150" s="42"/>
      <c r="D150" s="42"/>
      <c r="E150" s="42"/>
      <c r="F150" s="11"/>
      <c r="G150" s="123"/>
      <c r="H150" s="21">
        <f t="shared" si="1"/>
        <v>0</v>
      </c>
      <c r="I150" s="3"/>
      <c r="O150" s="315"/>
    </row>
    <row r="151" spans="2:15" ht="15.75" customHeight="1" x14ac:dyDescent="0.25">
      <c r="B151" s="9" t="s">
        <v>86</v>
      </c>
      <c r="C151" s="302" t="s">
        <v>87</v>
      </c>
      <c r="D151" s="11">
        <v>20.466999999999999</v>
      </c>
      <c r="E151" s="11">
        <v>22</v>
      </c>
      <c r="F151" s="11">
        <v>22</v>
      </c>
      <c r="G151" s="123">
        <f t="shared" ref="G151:G152" si="12">+(F151-D151)/D151*100</f>
        <v>7.4901060243318582</v>
      </c>
      <c r="H151" s="21">
        <f t="shared" si="1"/>
        <v>0</v>
      </c>
      <c r="I151" s="3"/>
      <c r="O151" s="315"/>
    </row>
    <row r="152" spans="2:15" ht="15.75" customHeight="1" x14ac:dyDescent="0.25">
      <c r="B152" s="49" t="s">
        <v>88</v>
      </c>
      <c r="C152" s="300"/>
      <c r="D152" s="51">
        <v>20.367000000000001</v>
      </c>
      <c r="E152" s="51">
        <v>22</v>
      </c>
      <c r="F152" s="51">
        <v>20</v>
      </c>
      <c r="G152" s="123">
        <f t="shared" si="12"/>
        <v>-1.801934501890317</v>
      </c>
      <c r="H152" s="21">
        <f t="shared" si="1"/>
        <v>0</v>
      </c>
      <c r="I152" s="3"/>
      <c r="O152" s="315"/>
    </row>
    <row r="153" spans="2:15" ht="15.75" customHeight="1" x14ac:dyDescent="0.25">
      <c r="B153" s="44"/>
      <c r="C153" s="46"/>
      <c r="D153" s="46"/>
      <c r="E153" s="46"/>
      <c r="F153" s="46"/>
      <c r="G153" s="123"/>
      <c r="H153" s="21">
        <f t="shared" si="1"/>
        <v>0</v>
      </c>
      <c r="I153" s="3"/>
      <c r="O153" s="315"/>
    </row>
    <row r="154" spans="2:15" ht="15.75" customHeight="1" x14ac:dyDescent="0.25">
      <c r="B154" s="9" t="s">
        <v>89</v>
      </c>
      <c r="C154" s="299" t="s">
        <v>90</v>
      </c>
      <c r="D154" s="11">
        <v>5.15</v>
      </c>
      <c r="E154" s="11">
        <v>19</v>
      </c>
      <c r="F154" s="11">
        <v>10</v>
      </c>
      <c r="G154" s="123">
        <f t="shared" ref="G154:G155" si="13">+(F154-D154)/D154*100</f>
        <v>94.174757281553383</v>
      </c>
      <c r="H154" s="21">
        <f t="shared" si="1"/>
        <v>1</v>
      </c>
      <c r="I154" s="3"/>
      <c r="O154" s="315"/>
    </row>
    <row r="155" spans="2:15" ht="15.75" customHeight="1" x14ac:dyDescent="0.25">
      <c r="B155" s="49" t="s">
        <v>91</v>
      </c>
      <c r="C155" s="300"/>
      <c r="D155" s="51">
        <v>16.2</v>
      </c>
      <c r="E155" s="51">
        <v>19</v>
      </c>
      <c r="F155" s="51">
        <v>12</v>
      </c>
      <c r="G155" s="123">
        <f t="shared" si="13"/>
        <v>-25.925925925925924</v>
      </c>
      <c r="H155" s="21">
        <f t="shared" si="1"/>
        <v>1</v>
      </c>
      <c r="I155" s="3"/>
      <c r="O155" s="315"/>
    </row>
    <row r="156" spans="2:15" ht="15.75" customHeight="1" x14ac:dyDescent="0.25">
      <c r="B156" s="41"/>
      <c r="C156" s="42"/>
      <c r="D156" s="42"/>
      <c r="E156" s="42"/>
      <c r="F156" s="201"/>
      <c r="G156" s="123"/>
      <c r="H156" s="21">
        <f t="shared" si="1"/>
        <v>0</v>
      </c>
      <c r="I156" s="3"/>
      <c r="O156" s="315"/>
    </row>
    <row r="157" spans="2:15" ht="15.75" customHeight="1" x14ac:dyDescent="0.25">
      <c r="B157" s="9" t="s">
        <v>94</v>
      </c>
      <c r="C157" s="299" t="s">
        <v>95</v>
      </c>
      <c r="D157" s="11">
        <v>50.082999999999998</v>
      </c>
      <c r="E157" s="11">
        <v>51</v>
      </c>
      <c r="F157" s="11">
        <v>57</v>
      </c>
      <c r="G157" s="123">
        <f t="shared" ref="G157:G161" si="14">+(F157-D157)/D157*100</f>
        <v>13.811073617794465</v>
      </c>
      <c r="H157" s="21">
        <f t="shared" si="1"/>
        <v>1</v>
      </c>
      <c r="I157" s="3"/>
      <c r="O157" s="315"/>
    </row>
    <row r="158" spans="2:15" ht="15.75" customHeight="1" x14ac:dyDescent="0.25">
      <c r="B158" s="9" t="s">
        <v>96</v>
      </c>
      <c r="C158" s="300"/>
      <c r="D158" s="11">
        <v>130</v>
      </c>
      <c r="E158" s="11">
        <v>110</v>
      </c>
      <c r="F158" s="11">
        <v>128</v>
      </c>
      <c r="G158" s="123">
        <f t="shared" si="14"/>
        <v>-1.5384615384615385</v>
      </c>
      <c r="H158" s="21">
        <f t="shared" si="1"/>
        <v>0</v>
      </c>
      <c r="I158" s="3"/>
      <c r="O158" s="315"/>
    </row>
    <row r="159" spans="2:15" ht="15.75" customHeight="1" x14ac:dyDescent="0.25">
      <c r="B159" s="9" t="s">
        <v>97</v>
      </c>
      <c r="C159" s="300"/>
      <c r="D159" s="11">
        <v>122</v>
      </c>
      <c r="E159" s="11">
        <v>99</v>
      </c>
      <c r="F159" s="11">
        <v>143</v>
      </c>
      <c r="G159" s="123">
        <f t="shared" si="14"/>
        <v>17.21311475409836</v>
      </c>
      <c r="H159" s="21">
        <f t="shared" si="1"/>
        <v>1</v>
      </c>
      <c r="I159" s="3"/>
      <c r="O159" s="315"/>
    </row>
    <row r="160" spans="2:15" ht="15.75" customHeight="1" x14ac:dyDescent="0.25">
      <c r="B160" s="9" t="s">
        <v>98</v>
      </c>
      <c r="C160" s="300"/>
      <c r="D160" s="11">
        <v>142</v>
      </c>
      <c r="E160" s="11">
        <v>117</v>
      </c>
      <c r="F160" s="11">
        <v>136</v>
      </c>
      <c r="G160" s="123">
        <f t="shared" si="14"/>
        <v>-4.225352112676056</v>
      </c>
      <c r="H160" s="21">
        <f t="shared" si="1"/>
        <v>0</v>
      </c>
      <c r="I160" s="3"/>
      <c r="O160" s="315"/>
    </row>
    <row r="161" spans="2:15" ht="15.75" customHeight="1" x14ac:dyDescent="0.25">
      <c r="B161" s="9" t="s">
        <v>99</v>
      </c>
      <c r="C161" s="301"/>
      <c r="D161" s="11">
        <v>146</v>
      </c>
      <c r="E161" s="11">
        <v>118</v>
      </c>
      <c r="F161" s="11">
        <v>146</v>
      </c>
      <c r="G161" s="123">
        <f t="shared" si="14"/>
        <v>0</v>
      </c>
      <c r="H161" s="21">
        <f t="shared" si="1"/>
        <v>0</v>
      </c>
      <c r="I161" s="3"/>
      <c r="O161" s="315"/>
    </row>
    <row r="162" spans="2:15" ht="15.75" customHeight="1" x14ac:dyDescent="0.25">
      <c r="B162" s="1"/>
      <c r="C162" s="1"/>
      <c r="D162" s="2"/>
      <c r="E162" s="2"/>
      <c r="F162" s="146"/>
      <c r="G162" s="123"/>
      <c r="H162" s="21">
        <f>SUM(H111:H161)</f>
        <v>10</v>
      </c>
      <c r="I162" s="3"/>
      <c r="O162" s="315"/>
    </row>
    <row r="163" spans="2:15" ht="15.75" customHeight="1" x14ac:dyDescent="0.2"/>
    <row r="164" spans="2:15" ht="15.75" customHeight="1" x14ac:dyDescent="0.2"/>
    <row r="165" spans="2:15" ht="15.75" customHeight="1" x14ac:dyDescent="0.2"/>
    <row r="166" spans="2:15" ht="15.75" customHeight="1" x14ac:dyDescent="0.2"/>
    <row r="167" spans="2:15" ht="15.75" customHeight="1" x14ac:dyDescent="0.2"/>
    <row r="168" spans="2:15" ht="15.75" customHeight="1" x14ac:dyDescent="0.25">
      <c r="B168" s="120">
        <v>43266</v>
      </c>
    </row>
    <row r="169" spans="2:15" ht="15.75" customHeight="1" x14ac:dyDescent="0.25">
      <c r="B169" s="21" t="s">
        <v>1088</v>
      </c>
    </row>
    <row r="170" spans="2:15" ht="15.75" customHeight="1" x14ac:dyDescent="0.25">
      <c r="I170" s="198"/>
    </row>
    <row r="171" spans="2:15" ht="15.75" customHeight="1" x14ac:dyDescent="0.25">
      <c r="B171" s="332" t="s">
        <v>1159</v>
      </c>
      <c r="C171" s="297"/>
      <c r="D171" s="297"/>
      <c r="E171" s="297"/>
      <c r="F171" s="298"/>
      <c r="H171" s="332" t="s">
        <v>1160</v>
      </c>
      <c r="I171" s="297"/>
      <c r="J171" s="297"/>
      <c r="K171" s="298"/>
    </row>
    <row r="172" spans="2:15" ht="15.75" customHeight="1" x14ac:dyDescent="0.2">
      <c r="B172" s="151" t="s">
        <v>0</v>
      </c>
      <c r="C172" s="152" t="s">
        <v>1</v>
      </c>
      <c r="D172" s="152" t="s">
        <v>42</v>
      </c>
      <c r="E172" s="152" t="s">
        <v>43</v>
      </c>
      <c r="F172" s="152" t="s">
        <v>44</v>
      </c>
      <c r="H172" s="348" t="s">
        <v>45</v>
      </c>
      <c r="I172" s="318"/>
      <c r="J172" s="318"/>
      <c r="K172" s="319"/>
    </row>
    <row r="173" spans="2:15" ht="15.75" customHeight="1" x14ac:dyDescent="0.2">
      <c r="B173" s="310" t="s">
        <v>275</v>
      </c>
      <c r="C173" s="297"/>
      <c r="D173" s="297"/>
      <c r="E173" s="297"/>
      <c r="F173" s="306"/>
      <c r="H173" s="305" t="s">
        <v>275</v>
      </c>
      <c r="I173" s="297"/>
      <c r="J173" s="297"/>
      <c r="K173" s="298"/>
    </row>
    <row r="174" spans="2:15" ht="15.75" customHeight="1" x14ac:dyDescent="0.25">
      <c r="B174" s="9" t="s">
        <v>11</v>
      </c>
      <c r="C174" s="12" t="s">
        <v>12</v>
      </c>
      <c r="D174" s="17"/>
      <c r="E174" s="11">
        <v>525</v>
      </c>
      <c r="F174" s="11">
        <v>535</v>
      </c>
      <c r="H174" s="12"/>
      <c r="I174" s="12" t="s">
        <v>52</v>
      </c>
      <c r="J174" s="12" t="s">
        <v>53</v>
      </c>
      <c r="K174" s="12"/>
      <c r="M174" s="21" t="s">
        <v>1163</v>
      </c>
    </row>
    <row r="175" spans="2:15" ht="15.75" customHeight="1" x14ac:dyDescent="0.2">
      <c r="B175" s="9" t="s">
        <v>11</v>
      </c>
      <c r="C175" s="12" t="s">
        <v>18</v>
      </c>
      <c r="D175" s="17">
        <v>0</v>
      </c>
      <c r="E175" s="11"/>
      <c r="F175" s="11">
        <v>0</v>
      </c>
      <c r="H175" s="12" t="s">
        <v>12</v>
      </c>
      <c r="I175" s="17">
        <v>525</v>
      </c>
      <c r="J175" s="17">
        <v>535</v>
      </c>
      <c r="K175" s="17" t="s">
        <v>1166</v>
      </c>
    </row>
    <row r="176" spans="2:15" ht="15.75" customHeight="1" x14ac:dyDescent="0.2">
      <c r="B176" s="9" t="s">
        <v>21</v>
      </c>
      <c r="C176" s="12" t="s">
        <v>59</v>
      </c>
      <c r="D176" s="17">
        <v>440</v>
      </c>
      <c r="E176" s="11"/>
      <c r="F176" s="11">
        <v>164</v>
      </c>
      <c r="H176" s="12" t="s">
        <v>18</v>
      </c>
      <c r="I176" s="24">
        <v>0</v>
      </c>
      <c r="J176" s="24">
        <v>0</v>
      </c>
      <c r="K176" s="24" t="s">
        <v>1168</v>
      </c>
    </row>
    <row r="177" spans="1:26" ht="15.75" customHeight="1" x14ac:dyDescent="0.2">
      <c r="B177" s="12" t="s">
        <v>21</v>
      </c>
      <c r="C177" s="12" t="s">
        <v>63</v>
      </c>
      <c r="D177" s="24">
        <v>160</v>
      </c>
      <c r="E177" s="25"/>
      <c r="F177" s="25">
        <v>443</v>
      </c>
      <c r="H177" s="202"/>
      <c r="I177" s="202"/>
      <c r="J177" s="202"/>
      <c r="K177" s="202"/>
    </row>
    <row r="178" spans="1:26" ht="15.75" customHeight="1" x14ac:dyDescent="0.2"/>
    <row r="179" spans="1:26" ht="15.75" customHeight="1" x14ac:dyDescent="0.2"/>
    <row r="180" spans="1:26" ht="15.75" customHeight="1" x14ac:dyDescent="0.25">
      <c r="A180" s="29"/>
      <c r="B180" s="29"/>
      <c r="C180" s="196"/>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5.75" customHeight="1" x14ac:dyDescent="0.25">
      <c r="A181" s="28"/>
      <c r="B181" s="28"/>
      <c r="C181" s="184"/>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5.75" customHeight="1" x14ac:dyDescent="0.25">
      <c r="A182" s="23" t="s">
        <v>115</v>
      </c>
      <c r="B182" s="43" t="s">
        <v>1070</v>
      </c>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5.75" customHeight="1" x14ac:dyDescent="0.25">
      <c r="A183" s="304" t="s">
        <v>1172</v>
      </c>
      <c r="B183" s="297"/>
      <c r="C183" s="373"/>
      <c r="D183" s="297"/>
      <c r="E183" s="298"/>
      <c r="F183" s="28"/>
      <c r="G183" s="28"/>
      <c r="H183" s="3"/>
      <c r="I183" s="28"/>
      <c r="J183" s="28"/>
      <c r="K183" s="28"/>
      <c r="L183" s="28"/>
      <c r="M183" s="28"/>
      <c r="N183" s="28"/>
      <c r="O183" s="28"/>
      <c r="P183" s="28"/>
      <c r="Q183" s="28"/>
      <c r="R183" s="28"/>
      <c r="S183" s="28"/>
      <c r="T183" s="28"/>
      <c r="U183" s="28"/>
      <c r="V183" s="28"/>
      <c r="W183" s="28"/>
      <c r="X183" s="28"/>
      <c r="Y183" s="28"/>
      <c r="Z183" s="28"/>
    </row>
    <row r="184" spans="1:26" ht="27.75" customHeight="1" x14ac:dyDescent="0.25">
      <c r="A184" s="4" t="s">
        <v>0</v>
      </c>
      <c r="B184" s="5" t="s">
        <v>1</v>
      </c>
      <c r="C184" s="5" t="s">
        <v>2</v>
      </c>
      <c r="D184" s="5" t="s">
        <v>43</v>
      </c>
      <c r="E184" s="45" t="s">
        <v>125</v>
      </c>
      <c r="F184" s="28"/>
      <c r="G184" s="296" t="s">
        <v>6</v>
      </c>
      <c r="H184" s="297"/>
      <c r="I184" s="297"/>
      <c r="J184" s="297"/>
      <c r="K184" s="297"/>
      <c r="L184" s="298"/>
      <c r="M184" s="28"/>
      <c r="N184" s="28"/>
      <c r="O184" s="28"/>
      <c r="P184" s="28"/>
      <c r="Q184" s="28"/>
      <c r="R184" s="28"/>
      <c r="S184" s="28"/>
      <c r="T184" s="28"/>
      <c r="U184" s="28"/>
      <c r="V184" s="28"/>
      <c r="W184" s="28"/>
      <c r="X184" s="28"/>
      <c r="Y184" s="28"/>
      <c r="Z184" s="28"/>
    </row>
    <row r="185" spans="1:26" ht="15.75" customHeight="1" x14ac:dyDescent="0.25">
      <c r="A185" s="9" t="s">
        <v>7</v>
      </c>
      <c r="B185" s="302" t="s">
        <v>9</v>
      </c>
      <c r="C185" s="47">
        <v>28.1</v>
      </c>
      <c r="D185" s="11">
        <v>28</v>
      </c>
      <c r="E185" s="47">
        <v>92</v>
      </c>
      <c r="F185" s="28"/>
      <c r="G185" s="296" t="s">
        <v>106</v>
      </c>
      <c r="H185" s="297"/>
      <c r="I185" s="298"/>
      <c r="J185" s="296" t="s">
        <v>107</v>
      </c>
      <c r="K185" s="297"/>
      <c r="L185" s="298"/>
      <c r="M185" s="28"/>
      <c r="N185" s="28"/>
      <c r="O185" s="28"/>
      <c r="P185" s="28"/>
      <c r="Q185" s="28"/>
      <c r="R185" s="28"/>
      <c r="S185" s="28"/>
      <c r="T185" s="28"/>
      <c r="U185" s="28"/>
      <c r="V185" s="28"/>
      <c r="W185" s="28"/>
      <c r="X185" s="28"/>
      <c r="Y185" s="28"/>
      <c r="Z185" s="28"/>
    </row>
    <row r="186" spans="1:26" ht="15.75" customHeight="1" x14ac:dyDescent="0.25">
      <c r="A186" s="9" t="s">
        <v>17</v>
      </c>
      <c r="B186" s="300"/>
      <c r="C186" s="47">
        <v>63.911000000000001</v>
      </c>
      <c r="D186" s="11">
        <v>63</v>
      </c>
      <c r="E186" s="47">
        <v>88</v>
      </c>
      <c r="F186" s="28"/>
      <c r="G186" s="13" t="s">
        <v>13</v>
      </c>
      <c r="H186" s="39">
        <f>H188+(H188*0.05)</f>
        <v>888.3</v>
      </c>
      <c r="I186" s="17" t="s">
        <v>1173</v>
      </c>
      <c r="J186" s="13" t="s">
        <v>13</v>
      </c>
      <c r="K186" s="39">
        <f>K188+(K188*0.05)</f>
        <v>882</v>
      </c>
      <c r="L186" s="17" t="s">
        <v>1174</v>
      </c>
      <c r="M186" s="28"/>
      <c r="N186" s="28"/>
      <c r="O186" s="28"/>
      <c r="P186" s="28"/>
      <c r="Q186" s="28"/>
      <c r="R186" s="28"/>
      <c r="S186" s="28"/>
      <c r="T186" s="28"/>
      <c r="U186" s="28"/>
      <c r="V186" s="28"/>
      <c r="W186" s="28"/>
      <c r="X186" s="28"/>
      <c r="Y186" s="28"/>
      <c r="Z186" s="28"/>
    </row>
    <row r="187" spans="1:26" ht="15.75" customHeight="1" x14ac:dyDescent="0.25">
      <c r="A187" s="9" t="s">
        <v>26</v>
      </c>
      <c r="B187" s="300"/>
      <c r="C187" s="47">
        <v>69.921999999999997</v>
      </c>
      <c r="D187" s="11">
        <v>68</v>
      </c>
      <c r="E187" s="47">
        <v>122</v>
      </c>
      <c r="F187" s="28"/>
      <c r="G187" s="13" t="s">
        <v>19</v>
      </c>
      <c r="H187" s="40">
        <f>H188-(H188*0.05)</f>
        <v>803.7</v>
      </c>
      <c r="I187" s="17" t="s">
        <v>1175</v>
      </c>
      <c r="J187" s="13" t="s">
        <v>19</v>
      </c>
      <c r="K187" s="40">
        <f>K188-(K188*0.05)</f>
        <v>798</v>
      </c>
      <c r="L187" s="17" t="s">
        <v>1176</v>
      </c>
      <c r="M187" s="28"/>
      <c r="N187" s="28"/>
      <c r="O187" s="28"/>
      <c r="P187" s="28"/>
      <c r="Q187" s="28"/>
      <c r="R187" s="28"/>
      <c r="S187" s="28"/>
      <c r="T187" s="28"/>
      <c r="U187" s="28"/>
      <c r="V187" s="28"/>
      <c r="W187" s="28"/>
      <c r="X187" s="28"/>
      <c r="Y187" s="28"/>
      <c r="Z187" s="28"/>
    </row>
    <row r="188" spans="1:26" ht="15.75" customHeight="1" x14ac:dyDescent="0.25">
      <c r="A188" s="9" t="s">
        <v>32</v>
      </c>
      <c r="B188" s="300"/>
      <c r="C188" s="47">
        <v>96.744</v>
      </c>
      <c r="D188" s="11">
        <v>97</v>
      </c>
      <c r="E188" s="47">
        <v>105</v>
      </c>
      <c r="F188" s="28"/>
      <c r="G188" s="13" t="s">
        <v>27</v>
      </c>
      <c r="H188" s="20">
        <v>846</v>
      </c>
      <c r="I188" s="17" t="s">
        <v>1178</v>
      </c>
      <c r="J188" s="13" t="s">
        <v>27</v>
      </c>
      <c r="K188" s="20">
        <v>840</v>
      </c>
      <c r="L188" s="17" t="s">
        <v>1179</v>
      </c>
      <c r="M188" s="28"/>
      <c r="N188" s="28"/>
      <c r="O188" s="28"/>
      <c r="P188" s="28"/>
      <c r="Q188" s="28"/>
      <c r="R188" s="28"/>
      <c r="S188" s="28"/>
      <c r="T188" s="28"/>
      <c r="U188" s="28"/>
      <c r="V188" s="28"/>
      <c r="W188" s="28"/>
      <c r="X188" s="28"/>
      <c r="Y188" s="28"/>
      <c r="Z188" s="28"/>
    </row>
    <row r="189" spans="1:26" ht="15.75" customHeight="1" x14ac:dyDescent="0.25">
      <c r="A189" s="9" t="s">
        <v>33</v>
      </c>
      <c r="B189" s="301"/>
      <c r="C189" s="47">
        <v>128.11000000000001</v>
      </c>
      <c r="D189" s="11">
        <v>129</v>
      </c>
      <c r="E189" s="47">
        <v>131</v>
      </c>
      <c r="F189" s="28"/>
      <c r="G189" s="13" t="s">
        <v>121</v>
      </c>
      <c r="H189" s="20">
        <v>963</v>
      </c>
      <c r="I189" s="17" t="s">
        <v>1180</v>
      </c>
      <c r="J189" s="13" t="s">
        <v>121</v>
      </c>
      <c r="K189" s="20"/>
      <c r="L189" s="17" t="s">
        <v>1181</v>
      </c>
      <c r="M189" s="28"/>
      <c r="N189" s="28"/>
      <c r="O189" s="28"/>
      <c r="P189" s="28"/>
      <c r="Q189" s="28"/>
      <c r="R189" s="28"/>
      <c r="S189" s="28"/>
      <c r="T189" s="28"/>
      <c r="U189" s="28"/>
      <c r="V189" s="28"/>
      <c r="W189" s="28"/>
      <c r="X189" s="28"/>
      <c r="Y189" s="28"/>
      <c r="Z189" s="28"/>
    </row>
    <row r="190" spans="1:26" ht="15.75" customHeight="1" x14ac:dyDescent="0.25">
      <c r="A190" s="41"/>
      <c r="B190" s="125"/>
      <c r="C190" s="42"/>
      <c r="D190" s="11"/>
      <c r="E190" s="180"/>
      <c r="F190" s="28"/>
      <c r="G190" s="28"/>
      <c r="H190" s="3"/>
      <c r="I190" s="28"/>
      <c r="J190" s="28"/>
      <c r="K190" s="28"/>
      <c r="L190" s="28"/>
      <c r="M190" s="28"/>
      <c r="N190" s="28"/>
      <c r="O190" s="28"/>
      <c r="P190" s="28"/>
      <c r="Q190" s="28"/>
      <c r="R190" s="28"/>
      <c r="S190" s="28"/>
      <c r="T190" s="28"/>
      <c r="U190" s="28"/>
      <c r="V190" s="28"/>
      <c r="W190" s="28"/>
      <c r="X190" s="28"/>
      <c r="Y190" s="28"/>
      <c r="Z190" s="28"/>
    </row>
    <row r="191" spans="1:26" ht="15.75" customHeight="1" x14ac:dyDescent="0.25">
      <c r="A191" s="126" t="s">
        <v>35</v>
      </c>
      <c r="B191" s="302" t="s">
        <v>36</v>
      </c>
      <c r="C191" s="47">
        <v>207.78</v>
      </c>
      <c r="D191" s="11">
        <v>204</v>
      </c>
      <c r="E191" s="47">
        <v>284</v>
      </c>
      <c r="F191" s="28"/>
      <c r="G191" s="28"/>
      <c r="H191" s="3"/>
      <c r="I191" s="27" t="s">
        <v>241</v>
      </c>
      <c r="J191" s="128"/>
      <c r="K191" s="28"/>
      <c r="L191" s="28"/>
      <c r="M191" s="28"/>
      <c r="N191" s="28"/>
      <c r="O191" s="28"/>
      <c r="P191" s="28"/>
      <c r="Q191" s="28"/>
      <c r="R191" s="28"/>
      <c r="S191" s="28"/>
      <c r="T191" s="28"/>
      <c r="U191" s="28"/>
      <c r="V191" s="28"/>
      <c r="W191" s="28"/>
      <c r="X191" s="28"/>
      <c r="Y191" s="28"/>
      <c r="Z191" s="28"/>
    </row>
    <row r="192" spans="1:26" ht="15.75" customHeight="1" x14ac:dyDescent="0.25">
      <c r="A192" s="126" t="s">
        <v>37</v>
      </c>
      <c r="B192" s="300"/>
      <c r="C192" s="47">
        <v>444.11</v>
      </c>
      <c r="D192" s="11">
        <v>412</v>
      </c>
      <c r="E192" s="47">
        <v>402</v>
      </c>
      <c r="F192" s="28"/>
      <c r="G192" s="28"/>
      <c r="H192" s="3"/>
      <c r="I192" s="28"/>
      <c r="J192" s="28"/>
      <c r="K192" s="28"/>
      <c r="L192" s="28"/>
      <c r="M192" s="28"/>
      <c r="N192" s="28"/>
      <c r="O192" s="28"/>
      <c r="P192" s="28"/>
      <c r="Q192" s="28"/>
      <c r="R192" s="28"/>
      <c r="S192" s="28"/>
      <c r="T192" s="28"/>
      <c r="U192" s="28"/>
      <c r="V192" s="28"/>
      <c r="W192" s="28"/>
      <c r="X192" s="28"/>
      <c r="Y192" s="28"/>
      <c r="Z192" s="28"/>
    </row>
    <row r="193" spans="1:26" ht="15.75" customHeight="1" x14ac:dyDescent="0.25">
      <c r="A193" s="126" t="s">
        <v>38</v>
      </c>
      <c r="B193" s="300"/>
      <c r="C193" s="47">
        <v>579.55999999999995</v>
      </c>
      <c r="D193" s="11">
        <v>603</v>
      </c>
      <c r="E193" s="47">
        <v>633</v>
      </c>
      <c r="F193" s="28"/>
      <c r="G193" s="28"/>
      <c r="H193" s="3"/>
      <c r="I193" s="28"/>
      <c r="J193" s="28"/>
      <c r="K193" s="28"/>
      <c r="L193" s="28"/>
      <c r="M193" s="28"/>
      <c r="N193" s="28"/>
      <c r="O193" s="28"/>
      <c r="P193" s="28"/>
      <c r="Q193" s="28"/>
      <c r="R193" s="28"/>
      <c r="S193" s="28"/>
      <c r="T193" s="28"/>
      <c r="U193" s="28"/>
      <c r="V193" s="28"/>
      <c r="W193" s="28"/>
      <c r="X193" s="28"/>
      <c r="Y193" s="28"/>
      <c r="Z193" s="28"/>
    </row>
    <row r="194" spans="1:26" ht="15.75" customHeight="1" x14ac:dyDescent="0.25">
      <c r="A194" s="129" t="s">
        <v>39</v>
      </c>
      <c r="B194" s="300"/>
      <c r="C194" s="50">
        <v>746.22</v>
      </c>
      <c r="D194" s="11">
        <v>763</v>
      </c>
      <c r="E194" s="47">
        <v>793</v>
      </c>
      <c r="F194" s="28"/>
      <c r="G194" s="28"/>
      <c r="H194" s="3"/>
      <c r="I194" s="28"/>
      <c r="J194" s="28"/>
      <c r="K194" s="28"/>
      <c r="L194" s="28"/>
      <c r="M194" s="28"/>
      <c r="N194" s="28"/>
      <c r="O194" s="28"/>
      <c r="P194" s="28"/>
      <c r="Q194" s="28"/>
      <c r="R194" s="28"/>
      <c r="S194" s="28"/>
      <c r="T194" s="28"/>
      <c r="U194" s="28"/>
      <c r="V194" s="28"/>
      <c r="W194" s="28"/>
      <c r="X194" s="28"/>
      <c r="Y194" s="28"/>
      <c r="Z194" s="28"/>
    </row>
    <row r="195" spans="1:26" ht="15.75" customHeight="1" x14ac:dyDescent="0.25">
      <c r="A195" s="12" t="s">
        <v>41</v>
      </c>
      <c r="B195" s="301"/>
      <c r="C195" s="71">
        <v>869.5</v>
      </c>
      <c r="D195" s="51">
        <v>889</v>
      </c>
      <c r="E195" s="47">
        <v>888</v>
      </c>
      <c r="F195" s="28"/>
      <c r="G195" s="28"/>
      <c r="H195" s="3"/>
      <c r="I195" s="28"/>
      <c r="J195" s="28"/>
      <c r="K195" s="28"/>
      <c r="L195" s="28"/>
      <c r="M195" s="28"/>
      <c r="N195" s="28"/>
      <c r="O195" s="28"/>
      <c r="P195" s="28"/>
      <c r="Q195" s="28"/>
      <c r="R195" s="28"/>
      <c r="S195" s="28"/>
      <c r="T195" s="28"/>
      <c r="U195" s="28"/>
      <c r="V195" s="28"/>
      <c r="W195" s="28"/>
      <c r="X195" s="28"/>
      <c r="Y195" s="28"/>
      <c r="Z195" s="28"/>
    </row>
    <row r="196" spans="1:26" ht="15.75" customHeight="1" x14ac:dyDescent="0.25">
      <c r="A196" s="130"/>
      <c r="B196" s="131"/>
      <c r="C196" s="131"/>
      <c r="D196" s="81"/>
      <c r="E196" s="131"/>
      <c r="F196" s="28"/>
      <c r="G196" s="28"/>
      <c r="H196" s="3"/>
      <c r="I196" s="28"/>
      <c r="J196" s="28"/>
      <c r="K196" s="28"/>
      <c r="L196" s="28"/>
      <c r="M196" s="28"/>
      <c r="N196" s="28"/>
      <c r="O196" s="28"/>
      <c r="P196" s="28"/>
      <c r="Q196" s="28"/>
      <c r="R196" s="28"/>
      <c r="S196" s="28"/>
      <c r="T196" s="28"/>
      <c r="U196" s="28"/>
      <c r="V196" s="28"/>
      <c r="W196" s="28"/>
      <c r="X196" s="28"/>
      <c r="Y196" s="28"/>
      <c r="Z196" s="28"/>
    </row>
    <row r="197" spans="1:26" ht="15.75" customHeight="1" x14ac:dyDescent="0.25">
      <c r="A197" s="9" t="s">
        <v>46</v>
      </c>
      <c r="B197" s="299" t="s">
        <v>47</v>
      </c>
      <c r="C197" s="11">
        <v>88.4</v>
      </c>
      <c r="D197" s="11">
        <v>95</v>
      </c>
      <c r="E197" s="47">
        <v>122</v>
      </c>
      <c r="F197" s="28"/>
      <c r="G197" s="28"/>
      <c r="H197" s="3"/>
      <c r="I197" s="28"/>
      <c r="J197" s="28"/>
      <c r="K197" s="28"/>
      <c r="L197" s="28"/>
      <c r="M197" s="28"/>
      <c r="N197" s="28"/>
      <c r="O197" s="28"/>
      <c r="P197" s="28"/>
      <c r="Q197" s="28"/>
      <c r="R197" s="28"/>
      <c r="S197" s="28"/>
      <c r="T197" s="28"/>
      <c r="U197" s="28"/>
      <c r="V197" s="28"/>
      <c r="W197" s="28"/>
      <c r="X197" s="28"/>
      <c r="Y197" s="28"/>
      <c r="Z197" s="28"/>
    </row>
    <row r="198" spans="1:26" ht="15.75" customHeight="1" x14ac:dyDescent="0.25">
      <c r="A198" s="9" t="s">
        <v>48</v>
      </c>
      <c r="B198" s="300"/>
      <c r="C198" s="11">
        <v>94.6</v>
      </c>
      <c r="D198" s="11">
        <v>105</v>
      </c>
      <c r="E198" s="47">
        <v>129</v>
      </c>
      <c r="F198" s="28"/>
      <c r="G198" s="28"/>
      <c r="H198" s="3"/>
      <c r="I198" s="28"/>
      <c r="J198" s="28"/>
      <c r="K198" s="28"/>
      <c r="L198" s="28"/>
      <c r="M198" s="28"/>
      <c r="N198" s="28"/>
      <c r="O198" s="28"/>
      <c r="P198" s="28"/>
      <c r="Q198" s="28"/>
      <c r="R198" s="28"/>
      <c r="S198" s="28"/>
      <c r="T198" s="28"/>
      <c r="U198" s="28"/>
      <c r="V198" s="28"/>
      <c r="W198" s="28"/>
      <c r="X198" s="28"/>
      <c r="Y198" s="28"/>
      <c r="Z198" s="28"/>
    </row>
    <row r="199" spans="1:26" ht="15.75" customHeight="1" x14ac:dyDescent="0.25">
      <c r="A199" s="41"/>
      <c r="B199" s="125"/>
      <c r="C199" s="42"/>
      <c r="D199" s="11"/>
      <c r="E199" s="180"/>
      <c r="F199" s="28"/>
      <c r="G199" s="28"/>
      <c r="H199" s="3"/>
      <c r="I199" s="28"/>
      <c r="J199" s="28"/>
      <c r="K199" s="28"/>
      <c r="L199" s="28"/>
      <c r="M199" s="28"/>
      <c r="N199" s="28"/>
      <c r="O199" s="28"/>
      <c r="P199" s="28"/>
      <c r="Q199" s="28"/>
      <c r="R199" s="28"/>
      <c r="S199" s="28"/>
      <c r="T199" s="28"/>
      <c r="U199" s="28"/>
      <c r="V199" s="28"/>
      <c r="W199" s="28"/>
      <c r="X199" s="28"/>
      <c r="Y199" s="28"/>
      <c r="Z199" s="28"/>
    </row>
    <row r="200" spans="1:26" ht="15.75" customHeight="1" x14ac:dyDescent="0.25">
      <c r="A200" s="126" t="s">
        <v>50</v>
      </c>
      <c r="B200" s="302" t="s">
        <v>51</v>
      </c>
      <c r="C200" s="47">
        <v>271.44</v>
      </c>
      <c r="D200" s="11">
        <v>170</v>
      </c>
      <c r="E200" s="11">
        <v>180</v>
      </c>
      <c r="F200" s="28"/>
      <c r="G200" s="28"/>
      <c r="H200" s="3"/>
      <c r="I200" s="28"/>
      <c r="J200" s="28"/>
      <c r="K200" s="28"/>
      <c r="L200" s="28"/>
      <c r="M200" s="28"/>
      <c r="N200" s="28"/>
      <c r="O200" s="28"/>
      <c r="P200" s="28"/>
      <c r="Q200" s="28"/>
      <c r="R200" s="28"/>
      <c r="S200" s="28"/>
      <c r="T200" s="28"/>
      <c r="U200" s="28"/>
      <c r="V200" s="28"/>
      <c r="W200" s="28"/>
      <c r="X200" s="28"/>
      <c r="Y200" s="28"/>
      <c r="Z200" s="28"/>
    </row>
    <row r="201" spans="1:26" ht="15.75" customHeight="1" x14ac:dyDescent="0.25">
      <c r="A201" s="126" t="s">
        <v>54</v>
      </c>
      <c r="B201" s="300"/>
      <c r="C201" s="47">
        <v>550.22199999999998</v>
      </c>
      <c r="D201" s="11">
        <v>532</v>
      </c>
      <c r="E201" s="11">
        <v>475</v>
      </c>
      <c r="F201" s="28"/>
      <c r="G201" s="28"/>
      <c r="H201" s="3"/>
      <c r="I201" s="28"/>
      <c r="J201" s="28"/>
      <c r="K201" s="28"/>
      <c r="L201" s="28"/>
      <c r="M201" s="28"/>
      <c r="N201" s="28"/>
      <c r="O201" s="28"/>
      <c r="P201" s="28"/>
      <c r="Q201" s="28"/>
      <c r="R201" s="28"/>
      <c r="S201" s="28"/>
      <c r="T201" s="28"/>
      <c r="U201" s="28"/>
      <c r="V201" s="28"/>
      <c r="W201" s="28"/>
      <c r="X201" s="28"/>
      <c r="Y201" s="28"/>
      <c r="Z201" s="28"/>
    </row>
    <row r="202" spans="1:26" ht="15.75" customHeight="1" x14ac:dyDescent="0.25">
      <c r="A202" s="126" t="s">
        <v>55</v>
      </c>
      <c r="B202" s="300"/>
      <c r="C202" s="47">
        <v>746.8</v>
      </c>
      <c r="D202" s="11">
        <v>621</v>
      </c>
      <c r="E202" s="11">
        <v>613</v>
      </c>
      <c r="F202" s="28"/>
      <c r="G202" s="28"/>
      <c r="H202" s="3"/>
      <c r="I202" s="28"/>
      <c r="J202" s="28"/>
      <c r="K202" s="28"/>
      <c r="L202" s="28"/>
      <c r="M202" s="28"/>
      <c r="N202" s="28"/>
      <c r="O202" s="28"/>
      <c r="P202" s="28"/>
      <c r="Q202" s="28"/>
      <c r="R202" s="28"/>
      <c r="S202" s="28"/>
      <c r="T202" s="28"/>
      <c r="U202" s="28"/>
      <c r="V202" s="28"/>
      <c r="W202" s="28"/>
      <c r="X202" s="28"/>
      <c r="Y202" s="28"/>
      <c r="Z202" s="28"/>
    </row>
    <row r="203" spans="1:26" ht="15.75" customHeight="1" x14ac:dyDescent="0.25">
      <c r="A203" s="129" t="s">
        <v>56</v>
      </c>
      <c r="B203" s="300"/>
      <c r="C203" s="50">
        <v>768.33333333333337</v>
      </c>
      <c r="D203" s="11">
        <v>780</v>
      </c>
      <c r="E203" s="11">
        <v>788</v>
      </c>
      <c r="F203" s="28"/>
      <c r="G203" s="28"/>
      <c r="H203" s="3"/>
      <c r="I203" s="28"/>
      <c r="J203" s="28"/>
      <c r="K203" s="28"/>
      <c r="L203" s="28"/>
      <c r="M203" s="28"/>
      <c r="N203" s="28"/>
      <c r="O203" s="28"/>
      <c r="P203" s="28"/>
      <c r="Q203" s="28"/>
      <c r="R203" s="28"/>
      <c r="S203" s="28"/>
      <c r="T203" s="28"/>
      <c r="U203" s="28"/>
      <c r="V203" s="28"/>
      <c r="W203" s="28"/>
      <c r="X203" s="28"/>
      <c r="Y203" s="28"/>
      <c r="Z203" s="28"/>
    </row>
    <row r="204" spans="1:26" ht="15.75" customHeight="1" x14ac:dyDescent="0.25">
      <c r="A204" s="8" t="s">
        <v>57</v>
      </c>
      <c r="B204" s="301"/>
      <c r="C204" s="71">
        <v>609</v>
      </c>
      <c r="D204" s="51">
        <v>810</v>
      </c>
      <c r="E204" s="11">
        <v>845</v>
      </c>
      <c r="F204" s="28"/>
      <c r="G204" s="28"/>
      <c r="H204" s="3"/>
      <c r="I204" s="28"/>
      <c r="J204" s="28"/>
      <c r="K204" s="28"/>
      <c r="L204" s="28"/>
      <c r="M204" s="28"/>
      <c r="N204" s="28"/>
      <c r="O204" s="28"/>
      <c r="P204" s="28"/>
      <c r="Q204" s="28"/>
      <c r="R204" s="28"/>
      <c r="S204" s="28"/>
      <c r="T204" s="28"/>
      <c r="U204" s="28"/>
      <c r="V204" s="28"/>
      <c r="W204" s="28"/>
      <c r="X204" s="28"/>
      <c r="Y204" s="28"/>
      <c r="Z204" s="28"/>
    </row>
    <row r="205" spans="1:26" ht="15.75" customHeight="1" x14ac:dyDescent="0.25">
      <c r="A205" s="130"/>
      <c r="B205" s="131"/>
      <c r="C205" s="131"/>
      <c r="D205" s="81"/>
      <c r="E205" s="131"/>
      <c r="F205" s="28"/>
      <c r="G205" s="28"/>
      <c r="H205" s="3"/>
      <c r="I205" s="28"/>
      <c r="J205" s="28"/>
      <c r="K205" s="28"/>
      <c r="L205" s="28"/>
      <c r="M205" s="28"/>
      <c r="N205" s="28"/>
      <c r="O205" s="28"/>
      <c r="P205" s="28"/>
      <c r="Q205" s="28"/>
      <c r="R205" s="28"/>
      <c r="S205" s="28"/>
      <c r="T205" s="28"/>
      <c r="U205" s="28"/>
      <c r="V205" s="28"/>
      <c r="W205" s="28"/>
      <c r="X205" s="28"/>
      <c r="Y205" s="28"/>
      <c r="Z205" s="28"/>
    </row>
    <row r="206" spans="1:26" ht="15.75" customHeight="1" x14ac:dyDescent="0.25">
      <c r="A206" s="9" t="s">
        <v>60</v>
      </c>
      <c r="B206" s="299" t="s">
        <v>62</v>
      </c>
      <c r="C206" s="47">
        <v>19.741666666666667</v>
      </c>
      <c r="D206" s="11">
        <v>20</v>
      </c>
      <c r="E206" s="47">
        <v>31</v>
      </c>
      <c r="F206" s="28"/>
      <c r="G206" s="28"/>
      <c r="H206" s="3"/>
      <c r="I206" s="28"/>
      <c r="J206" s="28"/>
      <c r="K206" s="28"/>
      <c r="L206" s="28"/>
      <c r="M206" s="28"/>
      <c r="N206" s="28"/>
      <c r="O206" s="28"/>
      <c r="P206" s="28"/>
      <c r="Q206" s="28"/>
      <c r="R206" s="28"/>
      <c r="S206" s="28"/>
      <c r="T206" s="28"/>
      <c r="U206" s="28"/>
      <c r="V206" s="28"/>
      <c r="W206" s="28"/>
      <c r="X206" s="28"/>
      <c r="Y206" s="28"/>
      <c r="Z206" s="28"/>
    </row>
    <row r="207" spans="1:26" ht="15.75" customHeight="1" x14ac:dyDescent="0.25">
      <c r="A207" s="9" t="s">
        <v>65</v>
      </c>
      <c r="B207" s="300"/>
      <c r="C207" s="11">
        <v>42</v>
      </c>
      <c r="D207" s="11">
        <v>33</v>
      </c>
      <c r="E207" s="47">
        <v>40</v>
      </c>
      <c r="F207" s="28"/>
      <c r="G207" s="28"/>
      <c r="H207" s="3"/>
      <c r="I207" s="28"/>
      <c r="J207" s="28"/>
      <c r="K207" s="28"/>
      <c r="L207" s="28"/>
      <c r="M207" s="28"/>
      <c r="N207" s="28"/>
      <c r="O207" s="28"/>
      <c r="P207" s="28"/>
      <c r="Q207" s="28"/>
      <c r="R207" s="28"/>
      <c r="S207" s="28"/>
      <c r="T207" s="28"/>
      <c r="U207" s="28"/>
      <c r="V207" s="28"/>
      <c r="W207" s="28"/>
      <c r="X207" s="28"/>
      <c r="Y207" s="28"/>
      <c r="Z207" s="28"/>
    </row>
    <row r="208" spans="1:26" ht="15.75" customHeight="1" x14ac:dyDescent="0.25">
      <c r="A208" s="9" t="s">
        <v>64</v>
      </c>
      <c r="B208" s="301"/>
      <c r="C208" s="11">
        <v>42</v>
      </c>
      <c r="D208" s="11">
        <v>39</v>
      </c>
      <c r="E208" s="47">
        <v>35</v>
      </c>
      <c r="F208" s="28"/>
      <c r="G208" s="28"/>
      <c r="H208" s="3"/>
      <c r="I208" s="28"/>
      <c r="J208" s="28"/>
      <c r="K208" s="28"/>
      <c r="L208" s="28"/>
      <c r="M208" s="28"/>
      <c r="N208" s="28"/>
      <c r="O208" s="28"/>
      <c r="P208" s="28"/>
      <c r="Q208" s="28"/>
      <c r="R208" s="28"/>
      <c r="S208" s="28"/>
      <c r="T208" s="28"/>
      <c r="U208" s="28"/>
      <c r="V208" s="28"/>
      <c r="W208" s="28"/>
      <c r="X208" s="28"/>
      <c r="Y208" s="28"/>
      <c r="Z208" s="28"/>
    </row>
    <row r="209" spans="1:26" ht="15.75" customHeight="1" x14ac:dyDescent="0.25">
      <c r="A209" s="41"/>
      <c r="B209" s="125"/>
      <c r="C209" s="42"/>
      <c r="D209" s="11"/>
      <c r="E209" s="47"/>
      <c r="F209" s="28"/>
      <c r="G209" s="28"/>
      <c r="H209" s="3"/>
      <c r="I209" s="28"/>
      <c r="J209" s="28"/>
      <c r="K209" s="28"/>
      <c r="L209" s="28"/>
      <c r="M209" s="28"/>
      <c r="N209" s="28"/>
      <c r="O209" s="28"/>
      <c r="P209" s="28"/>
      <c r="Q209" s="28"/>
      <c r="R209" s="28"/>
      <c r="S209" s="28"/>
      <c r="T209" s="28"/>
      <c r="U209" s="28"/>
      <c r="V209" s="28"/>
      <c r="W209" s="28"/>
      <c r="X209" s="28"/>
      <c r="Y209" s="28"/>
      <c r="Z209" s="28"/>
    </row>
    <row r="210" spans="1:26" ht="15.75" customHeight="1" x14ac:dyDescent="0.25">
      <c r="A210" s="129" t="s">
        <v>66</v>
      </c>
      <c r="B210" s="302" t="s">
        <v>68</v>
      </c>
      <c r="C210" s="50">
        <v>204.5</v>
      </c>
      <c r="D210" s="11">
        <v>207</v>
      </c>
      <c r="E210" s="47">
        <v>204</v>
      </c>
      <c r="F210" s="28"/>
      <c r="G210" s="28"/>
      <c r="H210" s="3"/>
      <c r="I210" s="28"/>
      <c r="J210" s="28"/>
      <c r="K210" s="28"/>
      <c r="L210" s="28"/>
      <c r="M210" s="28"/>
      <c r="N210" s="28"/>
      <c r="O210" s="28"/>
      <c r="P210" s="28"/>
      <c r="Q210" s="28"/>
      <c r="R210" s="28"/>
      <c r="S210" s="28"/>
      <c r="T210" s="28"/>
      <c r="U210" s="28"/>
      <c r="V210" s="28"/>
      <c r="W210" s="28"/>
      <c r="X210" s="28"/>
      <c r="Y210" s="28"/>
      <c r="Z210" s="28"/>
    </row>
    <row r="211" spans="1:26" ht="15.75" customHeight="1" x14ac:dyDescent="0.25">
      <c r="A211" s="12" t="s">
        <v>69</v>
      </c>
      <c r="B211" s="301"/>
      <c r="C211" s="71">
        <v>277.7</v>
      </c>
      <c r="D211" s="51">
        <v>276</v>
      </c>
      <c r="E211" s="47">
        <v>283</v>
      </c>
      <c r="F211" s="28"/>
      <c r="G211" s="28"/>
      <c r="H211" s="3"/>
      <c r="I211" s="28"/>
      <c r="J211" s="28"/>
      <c r="K211" s="28"/>
      <c r="L211" s="28"/>
      <c r="M211" s="28"/>
      <c r="N211" s="28"/>
      <c r="O211" s="28"/>
      <c r="P211" s="28"/>
      <c r="Q211" s="28"/>
      <c r="R211" s="28"/>
      <c r="S211" s="28"/>
      <c r="T211" s="28"/>
      <c r="U211" s="28"/>
      <c r="V211" s="28"/>
      <c r="W211" s="28"/>
      <c r="X211" s="28"/>
      <c r="Y211" s="28"/>
      <c r="Z211" s="28"/>
    </row>
    <row r="212" spans="1:26" ht="15.75" customHeight="1" x14ac:dyDescent="0.25">
      <c r="A212" s="132"/>
      <c r="B212" s="133"/>
      <c r="C212" s="133"/>
      <c r="D212" s="46"/>
      <c r="E212" s="133"/>
      <c r="F212" s="28"/>
      <c r="G212" s="28"/>
      <c r="H212" s="3"/>
      <c r="I212" s="28"/>
      <c r="J212" s="28"/>
      <c r="K212" s="28"/>
      <c r="L212" s="28"/>
      <c r="M212" s="28"/>
      <c r="N212" s="28"/>
      <c r="O212" s="28"/>
      <c r="P212" s="28"/>
      <c r="Q212" s="28"/>
      <c r="R212" s="28"/>
      <c r="S212" s="28"/>
      <c r="T212" s="28"/>
      <c r="U212" s="28"/>
      <c r="V212" s="28"/>
      <c r="W212" s="28"/>
      <c r="X212" s="28"/>
      <c r="Y212" s="28"/>
      <c r="Z212" s="28"/>
    </row>
    <row r="213" spans="1:26" ht="15.75" customHeight="1" x14ac:dyDescent="0.25">
      <c r="A213" s="56" t="s">
        <v>69</v>
      </c>
      <c r="B213" s="303" t="s">
        <v>71</v>
      </c>
      <c r="C213" s="47">
        <v>12</v>
      </c>
      <c r="D213" s="11">
        <v>14</v>
      </c>
      <c r="E213" s="47">
        <v>16</v>
      </c>
      <c r="F213" s="28"/>
      <c r="G213" s="28"/>
      <c r="H213" s="3"/>
      <c r="I213" s="28"/>
      <c r="J213" s="28"/>
      <c r="K213" s="28"/>
      <c r="L213" s="28"/>
      <c r="M213" s="28"/>
      <c r="N213" s="28"/>
      <c r="O213" s="28"/>
      <c r="P213" s="28"/>
      <c r="Q213" s="28"/>
      <c r="R213" s="28"/>
      <c r="S213" s="28"/>
      <c r="T213" s="28"/>
      <c r="U213" s="28"/>
      <c r="V213" s="28"/>
      <c r="W213" s="28"/>
      <c r="X213" s="28"/>
      <c r="Y213" s="28"/>
      <c r="Z213" s="28"/>
    </row>
    <row r="214" spans="1:26" ht="15.75" customHeight="1" x14ac:dyDescent="0.25">
      <c r="A214" s="56" t="s">
        <v>72</v>
      </c>
      <c r="B214" s="300"/>
      <c r="C214" s="47">
        <v>14</v>
      </c>
      <c r="D214" s="11">
        <v>15</v>
      </c>
      <c r="E214" s="47">
        <v>16</v>
      </c>
      <c r="F214" s="28"/>
      <c r="G214" s="28"/>
      <c r="H214" s="3"/>
      <c r="I214" s="28"/>
      <c r="J214" s="28"/>
      <c r="K214" s="28"/>
      <c r="L214" s="28"/>
      <c r="M214" s="28"/>
      <c r="N214" s="28"/>
      <c r="O214" s="28"/>
      <c r="P214" s="28"/>
      <c r="Q214" s="28"/>
      <c r="R214" s="28"/>
      <c r="S214" s="28"/>
      <c r="T214" s="28"/>
      <c r="U214" s="28"/>
      <c r="V214" s="28"/>
      <c r="W214" s="28"/>
      <c r="X214" s="28"/>
      <c r="Y214" s="28"/>
      <c r="Z214" s="28"/>
    </row>
    <row r="215" spans="1:26" ht="15.75" customHeight="1" x14ac:dyDescent="0.25">
      <c r="A215" s="56" t="s">
        <v>73</v>
      </c>
      <c r="B215" s="301"/>
      <c r="C215" s="47">
        <v>17.43333333333333</v>
      </c>
      <c r="D215" s="11">
        <v>18</v>
      </c>
      <c r="E215" s="47">
        <v>20</v>
      </c>
      <c r="F215" s="28"/>
      <c r="G215" s="28"/>
      <c r="H215" s="3"/>
      <c r="I215" s="28"/>
      <c r="J215" s="28"/>
      <c r="K215" s="28"/>
      <c r="L215" s="28"/>
      <c r="M215" s="28"/>
      <c r="N215" s="28"/>
      <c r="O215" s="28"/>
      <c r="P215" s="28"/>
      <c r="Q215" s="28"/>
      <c r="R215" s="28"/>
      <c r="S215" s="28"/>
      <c r="T215" s="28"/>
      <c r="U215" s="28"/>
      <c r="V215" s="28"/>
      <c r="W215" s="28"/>
      <c r="X215" s="28"/>
      <c r="Y215" s="28"/>
      <c r="Z215" s="28"/>
    </row>
    <row r="216" spans="1:26" ht="15.75" customHeight="1" x14ac:dyDescent="0.25">
      <c r="A216" s="92"/>
      <c r="B216" s="69"/>
      <c r="C216" s="69"/>
      <c r="D216" s="11"/>
      <c r="E216" s="47"/>
      <c r="F216" s="28"/>
      <c r="G216" s="28"/>
      <c r="H216" s="3"/>
      <c r="I216" s="28"/>
      <c r="J216" s="28"/>
      <c r="K216" s="28"/>
      <c r="L216" s="28"/>
      <c r="M216" s="28"/>
      <c r="N216" s="28"/>
      <c r="O216" s="28"/>
      <c r="P216" s="28"/>
      <c r="Q216" s="28"/>
      <c r="R216" s="28"/>
      <c r="S216" s="28"/>
      <c r="T216" s="28"/>
      <c r="U216" s="28"/>
      <c r="V216" s="28"/>
      <c r="W216" s="28"/>
      <c r="X216" s="28"/>
      <c r="Y216" s="28"/>
      <c r="Z216" s="28"/>
    </row>
    <row r="217" spans="1:26" ht="15.75" customHeight="1" x14ac:dyDescent="0.25">
      <c r="A217" s="56" t="s">
        <v>80</v>
      </c>
      <c r="B217" s="309" t="s">
        <v>77</v>
      </c>
      <c r="C217" s="47">
        <v>117</v>
      </c>
      <c r="D217" s="11">
        <v>117</v>
      </c>
      <c r="E217" s="47">
        <v>129</v>
      </c>
      <c r="F217" s="28"/>
      <c r="G217" s="28"/>
      <c r="H217" s="3"/>
      <c r="I217" s="28"/>
      <c r="J217" s="28"/>
      <c r="K217" s="28"/>
      <c r="L217" s="28"/>
      <c r="M217" s="28"/>
      <c r="N217" s="28"/>
      <c r="O217" s="28"/>
      <c r="P217" s="28"/>
      <c r="Q217" s="28"/>
      <c r="R217" s="28"/>
      <c r="S217" s="28"/>
      <c r="T217" s="28"/>
      <c r="U217" s="28"/>
      <c r="V217" s="28"/>
      <c r="W217" s="28"/>
      <c r="X217" s="28"/>
      <c r="Y217" s="28"/>
      <c r="Z217" s="28"/>
    </row>
    <row r="218" spans="1:26" ht="15.75" customHeight="1" x14ac:dyDescent="0.25">
      <c r="A218" s="56" t="s">
        <v>78</v>
      </c>
      <c r="B218" s="300"/>
      <c r="C218" s="47">
        <v>188</v>
      </c>
      <c r="D218" s="11">
        <v>195</v>
      </c>
      <c r="E218" s="47">
        <v>189</v>
      </c>
      <c r="F218" s="28"/>
      <c r="G218" s="28"/>
      <c r="H218" s="3"/>
      <c r="I218" s="28"/>
      <c r="J218" s="28"/>
      <c r="K218" s="28"/>
      <c r="L218" s="28"/>
      <c r="M218" s="28"/>
      <c r="N218" s="28"/>
      <c r="O218" s="28"/>
      <c r="P218" s="28"/>
      <c r="Q218" s="28"/>
      <c r="R218" s="28"/>
      <c r="S218" s="28"/>
      <c r="T218" s="28"/>
      <c r="U218" s="28"/>
      <c r="V218" s="28"/>
      <c r="W218" s="28"/>
      <c r="X218" s="28"/>
      <c r="Y218" s="28"/>
      <c r="Z218" s="28"/>
    </row>
    <row r="219" spans="1:26" ht="15.75" customHeight="1" x14ac:dyDescent="0.25">
      <c r="A219" s="56" t="s">
        <v>76</v>
      </c>
      <c r="B219" s="300"/>
      <c r="C219" s="50">
        <v>218</v>
      </c>
      <c r="D219" s="11">
        <v>239</v>
      </c>
      <c r="E219" s="47">
        <v>216</v>
      </c>
      <c r="F219" s="28"/>
      <c r="G219" s="28"/>
      <c r="H219" s="3"/>
      <c r="I219" s="28"/>
      <c r="J219" s="28"/>
      <c r="K219" s="28"/>
      <c r="L219" s="28"/>
      <c r="M219" s="28"/>
      <c r="N219" s="28"/>
      <c r="O219" s="28"/>
      <c r="P219" s="28"/>
      <c r="Q219" s="28"/>
      <c r="R219" s="28"/>
      <c r="S219" s="28"/>
      <c r="T219" s="28"/>
      <c r="U219" s="28"/>
      <c r="V219" s="28"/>
      <c r="W219" s="28"/>
      <c r="X219" s="28"/>
      <c r="Y219" s="28"/>
      <c r="Z219" s="28"/>
    </row>
    <row r="220" spans="1:26" ht="15.75" customHeight="1" x14ac:dyDescent="0.25">
      <c r="A220" s="57" t="s">
        <v>79</v>
      </c>
      <c r="B220" s="300"/>
      <c r="C220" s="134">
        <v>239</v>
      </c>
      <c r="D220" s="51">
        <v>218</v>
      </c>
      <c r="E220" s="47">
        <v>237</v>
      </c>
      <c r="F220" s="28"/>
      <c r="G220" s="28"/>
      <c r="H220" s="3"/>
      <c r="I220" s="28"/>
      <c r="J220" s="28"/>
      <c r="K220" s="28"/>
      <c r="L220" s="28"/>
      <c r="M220" s="28"/>
      <c r="N220" s="28"/>
      <c r="O220" s="28"/>
      <c r="P220" s="28"/>
      <c r="Q220" s="28"/>
      <c r="R220" s="28"/>
      <c r="S220" s="28"/>
      <c r="T220" s="28"/>
      <c r="U220" s="28"/>
      <c r="V220" s="28"/>
      <c r="W220" s="28"/>
      <c r="X220" s="28"/>
      <c r="Y220" s="28"/>
      <c r="Z220" s="28"/>
    </row>
    <row r="221" spans="1:26" ht="15.75" customHeight="1" x14ac:dyDescent="0.25">
      <c r="A221" s="132"/>
      <c r="B221" s="133"/>
      <c r="C221" s="133"/>
      <c r="D221" s="46"/>
      <c r="E221" s="133"/>
      <c r="F221" s="28"/>
      <c r="G221" s="28"/>
      <c r="H221" s="3"/>
      <c r="I221" s="28"/>
      <c r="J221" s="28"/>
      <c r="K221" s="28"/>
      <c r="L221" s="28"/>
      <c r="M221" s="28"/>
      <c r="N221" s="28"/>
      <c r="O221" s="28"/>
      <c r="P221" s="28"/>
      <c r="Q221" s="28"/>
      <c r="R221" s="28"/>
      <c r="S221" s="28"/>
      <c r="T221" s="28"/>
      <c r="U221" s="28"/>
      <c r="V221" s="28"/>
      <c r="W221" s="28"/>
      <c r="X221" s="28"/>
      <c r="Y221" s="28"/>
      <c r="Z221" s="28"/>
    </row>
    <row r="222" spans="1:26" ht="15.75" customHeight="1" x14ac:dyDescent="0.25">
      <c r="A222" s="9" t="s">
        <v>81</v>
      </c>
      <c r="B222" s="299" t="s">
        <v>82</v>
      </c>
      <c r="C222" s="11">
        <v>2</v>
      </c>
      <c r="D222" s="11">
        <v>1</v>
      </c>
      <c r="E222" s="47">
        <v>1</v>
      </c>
      <c r="F222" s="28"/>
      <c r="G222" s="28"/>
      <c r="H222" s="3"/>
      <c r="I222" s="28"/>
      <c r="J222" s="28"/>
      <c r="K222" s="28"/>
      <c r="L222" s="28"/>
      <c r="M222" s="28"/>
      <c r="N222" s="28"/>
      <c r="O222" s="28"/>
      <c r="P222" s="28"/>
      <c r="Q222" s="28"/>
      <c r="R222" s="28"/>
      <c r="S222" s="28"/>
      <c r="T222" s="28"/>
      <c r="U222" s="28"/>
      <c r="V222" s="28"/>
      <c r="W222" s="28"/>
      <c r="X222" s="28"/>
      <c r="Y222" s="28"/>
      <c r="Z222" s="28"/>
    </row>
    <row r="223" spans="1:26" ht="15.75" customHeight="1" x14ac:dyDescent="0.25">
      <c r="A223" s="9" t="s">
        <v>83</v>
      </c>
      <c r="B223" s="300"/>
      <c r="C223" s="11">
        <v>7.133</v>
      </c>
      <c r="D223" s="11">
        <v>11</v>
      </c>
      <c r="E223" s="47">
        <v>12</v>
      </c>
      <c r="F223" s="28"/>
      <c r="G223" s="28"/>
      <c r="H223" s="3"/>
      <c r="I223" s="28"/>
      <c r="J223" s="28"/>
      <c r="K223" s="28"/>
      <c r="L223" s="28"/>
      <c r="M223" s="28"/>
      <c r="N223" s="28"/>
      <c r="O223" s="28"/>
      <c r="P223" s="28"/>
      <c r="Q223" s="28"/>
      <c r="R223" s="28"/>
      <c r="S223" s="28"/>
      <c r="T223" s="28"/>
      <c r="U223" s="28"/>
      <c r="V223" s="28"/>
      <c r="W223" s="28"/>
      <c r="X223" s="28"/>
      <c r="Y223" s="28"/>
      <c r="Z223" s="28"/>
    </row>
    <row r="224" spans="1:26" ht="15.75" customHeight="1" x14ac:dyDescent="0.25">
      <c r="A224" s="9" t="s">
        <v>155</v>
      </c>
      <c r="B224" s="301"/>
      <c r="C224" s="11">
        <v>10.72</v>
      </c>
      <c r="D224" s="11">
        <v>10</v>
      </c>
      <c r="E224" s="47">
        <v>11</v>
      </c>
      <c r="F224" s="28"/>
      <c r="G224" s="28"/>
      <c r="H224" s="3"/>
      <c r="I224" s="28"/>
      <c r="J224" s="28"/>
      <c r="K224" s="28"/>
      <c r="L224" s="28"/>
      <c r="M224" s="28"/>
      <c r="N224" s="28"/>
      <c r="O224" s="28"/>
      <c r="P224" s="28"/>
      <c r="Q224" s="28"/>
      <c r="R224" s="28"/>
      <c r="S224" s="28"/>
      <c r="T224" s="28"/>
      <c r="U224" s="28"/>
      <c r="V224" s="28"/>
      <c r="W224" s="28"/>
      <c r="X224" s="28"/>
      <c r="Y224" s="28"/>
      <c r="Z224" s="28"/>
    </row>
    <row r="225" spans="1:26" ht="15.75" customHeight="1" x14ac:dyDescent="0.25">
      <c r="A225" s="41"/>
      <c r="B225" s="125"/>
      <c r="C225" s="42"/>
      <c r="D225" s="11"/>
      <c r="E225" s="47"/>
      <c r="F225" s="28"/>
      <c r="G225" s="28"/>
      <c r="H225" s="3"/>
      <c r="I225" s="28"/>
      <c r="J225" s="28"/>
      <c r="K225" s="28"/>
      <c r="L225" s="28"/>
      <c r="M225" s="28"/>
      <c r="N225" s="28"/>
      <c r="O225" s="28"/>
      <c r="P225" s="28"/>
      <c r="Q225" s="28"/>
      <c r="R225" s="28"/>
      <c r="S225" s="28"/>
      <c r="T225" s="28"/>
      <c r="U225" s="28"/>
      <c r="V225" s="28"/>
      <c r="W225" s="28"/>
      <c r="X225" s="28"/>
      <c r="Y225" s="28"/>
      <c r="Z225" s="28"/>
    </row>
    <row r="226" spans="1:26" ht="15.75" customHeight="1" x14ac:dyDescent="0.25">
      <c r="A226" s="129" t="s">
        <v>86</v>
      </c>
      <c r="B226" s="302" t="s">
        <v>87</v>
      </c>
      <c r="C226" s="51">
        <v>19</v>
      </c>
      <c r="D226" s="11">
        <v>22</v>
      </c>
      <c r="E226" s="47">
        <v>25</v>
      </c>
      <c r="F226" s="28">
        <v>18</v>
      </c>
      <c r="G226" s="28"/>
      <c r="H226" s="3"/>
      <c r="I226" s="28"/>
      <c r="J226" s="28"/>
      <c r="K226" s="28"/>
      <c r="L226" s="28"/>
      <c r="M226" s="28"/>
      <c r="N226" s="28"/>
      <c r="O226" s="28"/>
      <c r="P226" s="28"/>
      <c r="Q226" s="28"/>
      <c r="R226" s="28"/>
      <c r="S226" s="28"/>
      <c r="T226" s="28"/>
      <c r="U226" s="28"/>
      <c r="V226" s="28"/>
      <c r="W226" s="28"/>
      <c r="X226" s="28"/>
      <c r="Y226" s="28"/>
      <c r="Z226" s="28"/>
    </row>
    <row r="227" spans="1:26" ht="15.75" customHeight="1" x14ac:dyDescent="0.25">
      <c r="A227" s="12" t="s">
        <v>88</v>
      </c>
      <c r="B227" s="301"/>
      <c r="C227" s="25">
        <v>20</v>
      </c>
      <c r="D227" s="51">
        <v>20</v>
      </c>
      <c r="E227" s="47">
        <v>28</v>
      </c>
      <c r="F227" s="28">
        <v>23</v>
      </c>
      <c r="G227" s="28"/>
      <c r="H227" s="3"/>
      <c r="I227" s="28"/>
      <c r="J227" s="28"/>
      <c r="K227" s="28"/>
      <c r="L227" s="28"/>
      <c r="M227" s="28"/>
      <c r="N227" s="28"/>
      <c r="O227" s="28"/>
      <c r="P227" s="28"/>
      <c r="Q227" s="28"/>
      <c r="R227" s="28"/>
      <c r="S227" s="28"/>
      <c r="T227" s="28"/>
      <c r="U227" s="28"/>
      <c r="V227" s="28"/>
      <c r="W227" s="28"/>
      <c r="X227" s="28"/>
      <c r="Y227" s="28"/>
      <c r="Z227" s="28"/>
    </row>
    <row r="228" spans="1:26" ht="15.75" customHeight="1" x14ac:dyDescent="0.25">
      <c r="A228" s="132"/>
      <c r="B228" s="133"/>
      <c r="C228" s="133"/>
      <c r="D228" s="46"/>
      <c r="E228" s="133"/>
      <c r="F228" s="28"/>
      <c r="G228" s="28"/>
      <c r="H228" s="3"/>
      <c r="I228" s="28"/>
      <c r="J228" s="28"/>
      <c r="K228" s="28"/>
      <c r="L228" s="28"/>
      <c r="M228" s="28"/>
      <c r="N228" s="28"/>
      <c r="O228" s="28"/>
      <c r="P228" s="28"/>
      <c r="Q228" s="28"/>
      <c r="R228" s="28"/>
      <c r="S228" s="28"/>
      <c r="T228" s="28"/>
      <c r="U228" s="28"/>
      <c r="V228" s="28"/>
      <c r="W228" s="28"/>
      <c r="X228" s="28"/>
      <c r="Y228" s="28"/>
      <c r="Z228" s="28"/>
    </row>
    <row r="229" spans="1:26" ht="15.75" customHeight="1" x14ac:dyDescent="0.25">
      <c r="A229" s="8" t="s">
        <v>89</v>
      </c>
      <c r="B229" s="302" t="s">
        <v>90</v>
      </c>
      <c r="C229" s="25">
        <v>6</v>
      </c>
      <c r="D229" s="11">
        <v>10</v>
      </c>
      <c r="E229" s="47">
        <v>11</v>
      </c>
      <c r="F229" s="28"/>
      <c r="G229" s="28"/>
      <c r="H229" s="3"/>
      <c r="I229" s="28"/>
      <c r="J229" s="28"/>
      <c r="K229" s="28"/>
      <c r="L229" s="28"/>
      <c r="M229" s="28"/>
      <c r="N229" s="28"/>
      <c r="O229" s="28"/>
      <c r="P229" s="28"/>
      <c r="Q229" s="28"/>
      <c r="R229" s="28"/>
      <c r="S229" s="28"/>
      <c r="T229" s="28"/>
      <c r="U229" s="28"/>
      <c r="V229" s="28"/>
      <c r="W229" s="28"/>
      <c r="X229" s="28"/>
      <c r="Y229" s="28"/>
      <c r="Z229" s="28"/>
    </row>
    <row r="230" spans="1:26" ht="15.75" customHeight="1" x14ac:dyDescent="0.25">
      <c r="A230" s="126" t="s">
        <v>91</v>
      </c>
      <c r="B230" s="301"/>
      <c r="C230" s="11">
        <v>16</v>
      </c>
      <c r="D230" s="51">
        <v>12</v>
      </c>
      <c r="E230" s="47">
        <v>15</v>
      </c>
      <c r="F230" s="28"/>
      <c r="G230" s="28"/>
      <c r="H230" s="3"/>
      <c r="I230" s="28"/>
      <c r="J230" s="28"/>
      <c r="K230" s="28"/>
      <c r="L230" s="28"/>
      <c r="M230" s="28"/>
      <c r="N230" s="28"/>
      <c r="O230" s="28"/>
      <c r="P230" s="28"/>
      <c r="Q230" s="28"/>
      <c r="R230" s="28"/>
      <c r="S230" s="28"/>
      <c r="T230" s="28"/>
      <c r="U230" s="28"/>
      <c r="V230" s="28"/>
      <c r="W230" s="28"/>
      <c r="X230" s="28"/>
      <c r="Y230" s="28"/>
      <c r="Z230" s="28"/>
    </row>
    <row r="231" spans="1:26" ht="15.75" customHeight="1" x14ac:dyDescent="0.25">
      <c r="A231" s="135"/>
      <c r="B231" s="136"/>
      <c r="C231" s="136"/>
      <c r="D231" s="201"/>
      <c r="E231" s="47"/>
      <c r="F231" s="28"/>
      <c r="G231" s="28"/>
      <c r="H231" s="3"/>
      <c r="I231" s="28"/>
      <c r="J231" s="28"/>
      <c r="K231" s="28"/>
      <c r="L231" s="28"/>
      <c r="M231" s="28"/>
      <c r="N231" s="28"/>
      <c r="O231" s="28"/>
      <c r="P231" s="28"/>
      <c r="Q231" s="28"/>
      <c r="R231" s="28"/>
      <c r="S231" s="28"/>
      <c r="T231" s="28"/>
      <c r="U231" s="28"/>
      <c r="V231" s="28"/>
      <c r="W231" s="28"/>
      <c r="X231" s="28"/>
      <c r="Y231" s="28"/>
      <c r="Z231" s="28"/>
    </row>
    <row r="232" spans="1:26" ht="15.75" customHeight="1" x14ac:dyDescent="0.25">
      <c r="A232" s="9" t="s">
        <v>94</v>
      </c>
      <c r="B232" s="299" t="s">
        <v>95</v>
      </c>
      <c r="C232" s="47">
        <v>49.666666666666664</v>
      </c>
      <c r="D232" s="11">
        <v>57</v>
      </c>
      <c r="E232" s="47">
        <v>56</v>
      </c>
      <c r="F232" s="28"/>
      <c r="G232" s="28"/>
      <c r="H232" s="3"/>
      <c r="I232" s="28"/>
      <c r="J232" s="28"/>
      <c r="K232" s="28"/>
      <c r="L232" s="28"/>
      <c r="M232" s="28"/>
      <c r="N232" s="28"/>
      <c r="O232" s="28"/>
      <c r="P232" s="28"/>
      <c r="Q232" s="28"/>
      <c r="R232" s="28"/>
      <c r="S232" s="28"/>
      <c r="T232" s="28"/>
      <c r="U232" s="28"/>
      <c r="V232" s="28"/>
      <c r="W232" s="28"/>
      <c r="X232" s="28"/>
      <c r="Y232" s="28"/>
      <c r="Z232" s="28"/>
    </row>
    <row r="233" spans="1:26" ht="15.75" customHeight="1" x14ac:dyDescent="0.25">
      <c r="A233" s="9" t="s">
        <v>96</v>
      </c>
      <c r="B233" s="300"/>
      <c r="C233" s="47">
        <v>122</v>
      </c>
      <c r="D233" s="11">
        <v>128</v>
      </c>
      <c r="E233" s="47">
        <v>132</v>
      </c>
      <c r="F233" s="28"/>
      <c r="G233" s="28"/>
      <c r="H233" s="3"/>
      <c r="I233" s="28"/>
      <c r="J233" s="28"/>
      <c r="K233" s="28"/>
      <c r="L233" s="28"/>
      <c r="M233" s="28"/>
      <c r="N233" s="28"/>
      <c r="O233" s="28"/>
      <c r="P233" s="28"/>
      <c r="Q233" s="28"/>
      <c r="R233" s="28"/>
      <c r="S233" s="28"/>
      <c r="T233" s="28"/>
      <c r="U233" s="28"/>
      <c r="V233" s="28"/>
      <c r="W233" s="28"/>
      <c r="X233" s="28"/>
      <c r="Y233" s="28"/>
      <c r="Z233" s="28"/>
    </row>
    <row r="234" spans="1:26" ht="15.75" customHeight="1" x14ac:dyDescent="0.25">
      <c r="A234" s="9" t="s">
        <v>97</v>
      </c>
      <c r="B234" s="300"/>
      <c r="C234" s="47">
        <v>130</v>
      </c>
      <c r="D234" s="11">
        <v>143</v>
      </c>
      <c r="E234" s="47">
        <v>185</v>
      </c>
      <c r="F234" s="28"/>
      <c r="G234" s="28"/>
      <c r="H234" s="3"/>
      <c r="I234" s="28"/>
      <c r="J234" s="28"/>
      <c r="K234" s="28"/>
      <c r="L234" s="28"/>
      <c r="M234" s="28"/>
      <c r="N234" s="28"/>
      <c r="O234" s="28"/>
      <c r="P234" s="28"/>
      <c r="Q234" s="28"/>
      <c r="R234" s="28"/>
      <c r="S234" s="28"/>
      <c r="T234" s="28"/>
      <c r="U234" s="28"/>
      <c r="V234" s="28"/>
      <c r="W234" s="28"/>
      <c r="X234" s="28"/>
      <c r="Y234" s="28"/>
      <c r="Z234" s="28"/>
    </row>
    <row r="235" spans="1:26" ht="15.75" customHeight="1" x14ac:dyDescent="0.25">
      <c r="A235" s="9" t="s">
        <v>98</v>
      </c>
      <c r="B235" s="300"/>
      <c r="C235" s="47">
        <v>142</v>
      </c>
      <c r="D235" s="11">
        <v>136</v>
      </c>
      <c r="E235" s="47">
        <v>150</v>
      </c>
      <c r="F235" s="28"/>
      <c r="G235" s="28"/>
      <c r="H235" s="3"/>
      <c r="I235" s="28"/>
      <c r="J235" s="28"/>
      <c r="K235" s="28"/>
      <c r="L235" s="28"/>
      <c r="M235" s="28"/>
      <c r="N235" s="28"/>
      <c r="O235" s="28"/>
      <c r="P235" s="28"/>
      <c r="Q235" s="28"/>
      <c r="R235" s="28"/>
      <c r="S235" s="28"/>
      <c r="T235" s="28"/>
      <c r="U235" s="28"/>
      <c r="V235" s="28"/>
      <c r="W235" s="28"/>
      <c r="X235" s="28"/>
      <c r="Y235" s="28"/>
      <c r="Z235" s="28"/>
    </row>
    <row r="236" spans="1:26" ht="15.75" customHeight="1" x14ac:dyDescent="0.25">
      <c r="A236" s="9" t="s">
        <v>99</v>
      </c>
      <c r="B236" s="301"/>
      <c r="C236" s="47">
        <v>146</v>
      </c>
      <c r="D236" s="11">
        <v>146</v>
      </c>
      <c r="E236" s="47">
        <v>144</v>
      </c>
      <c r="F236" s="28"/>
      <c r="G236" s="28"/>
      <c r="H236" s="3"/>
      <c r="I236" s="28"/>
      <c r="J236" s="28"/>
      <c r="K236" s="28"/>
      <c r="L236" s="28"/>
      <c r="M236" s="28"/>
      <c r="N236" s="28"/>
      <c r="O236" s="28"/>
      <c r="P236" s="28"/>
      <c r="Q236" s="28"/>
      <c r="R236" s="28"/>
      <c r="S236" s="28"/>
      <c r="T236" s="28"/>
      <c r="U236" s="28"/>
      <c r="V236" s="28"/>
      <c r="W236" s="28"/>
      <c r="X236" s="28"/>
      <c r="Y236" s="28"/>
      <c r="Z236" s="28"/>
    </row>
    <row r="237" spans="1:26" ht="15.75" customHeight="1" x14ac:dyDescent="0.2"/>
    <row r="238" spans="1:26" ht="15.75" customHeight="1" x14ac:dyDescent="0.2"/>
    <row r="239" spans="1:26" ht="15.75" customHeight="1" x14ac:dyDescent="0.2"/>
    <row r="240" spans="1:26" ht="15.75" customHeight="1" x14ac:dyDescent="0.2"/>
    <row r="241" spans="1:26" ht="15.75" customHeight="1" x14ac:dyDescent="0.2"/>
    <row r="242" spans="1:26" ht="15.75" customHeight="1" x14ac:dyDescent="0.25">
      <c r="A242" s="28"/>
      <c r="B242" s="28" t="s">
        <v>1088</v>
      </c>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5.75" customHeight="1" x14ac:dyDescent="0.25">
      <c r="A243" s="28"/>
      <c r="B243" s="28"/>
      <c r="C243" s="28"/>
      <c r="D243" s="28"/>
      <c r="E243" s="28"/>
      <c r="F243" s="28"/>
      <c r="G243" s="28"/>
      <c r="H243" s="28"/>
      <c r="I243" s="198"/>
      <c r="J243" s="28"/>
      <c r="K243" s="28"/>
      <c r="L243" s="28"/>
      <c r="M243" s="28"/>
      <c r="N243" s="28"/>
      <c r="O243" s="28"/>
      <c r="P243" s="28"/>
      <c r="Q243" s="28"/>
      <c r="R243" s="28"/>
      <c r="S243" s="28"/>
      <c r="T243" s="28"/>
      <c r="U243" s="28"/>
      <c r="V243" s="28"/>
      <c r="W243" s="28"/>
      <c r="X243" s="28"/>
      <c r="Y243" s="28"/>
      <c r="Z243" s="28"/>
    </row>
    <row r="244" spans="1:26" ht="15.75" customHeight="1" x14ac:dyDescent="0.25">
      <c r="A244" s="28"/>
      <c r="B244" s="332" t="s">
        <v>851</v>
      </c>
      <c r="C244" s="297"/>
      <c r="D244" s="356"/>
      <c r="E244" s="297"/>
      <c r="F244" s="298"/>
      <c r="G244" s="28"/>
      <c r="H244" s="332"/>
      <c r="I244" s="297"/>
      <c r="J244" s="297"/>
      <c r="K244" s="298"/>
      <c r="L244" s="28"/>
      <c r="M244" s="28"/>
      <c r="N244" s="28"/>
      <c r="O244" s="28"/>
      <c r="P244" s="28"/>
      <c r="Q244" s="28"/>
      <c r="R244" s="28"/>
      <c r="S244" s="28"/>
      <c r="T244" s="28"/>
      <c r="U244" s="28"/>
      <c r="V244" s="28"/>
      <c r="W244" s="28"/>
      <c r="X244" s="28"/>
      <c r="Y244" s="28"/>
      <c r="Z244" s="28"/>
    </row>
    <row r="245" spans="1:26" ht="15.75" customHeight="1" x14ac:dyDescent="0.25">
      <c r="A245" s="28"/>
      <c r="B245" s="151" t="s">
        <v>0</v>
      </c>
      <c r="C245" s="152" t="s">
        <v>1</v>
      </c>
      <c r="D245" s="152" t="s">
        <v>42</v>
      </c>
      <c r="E245" s="152" t="s">
        <v>43</v>
      </c>
      <c r="F245" s="152" t="s">
        <v>44</v>
      </c>
      <c r="G245" s="28"/>
      <c r="H245" s="348" t="s">
        <v>45</v>
      </c>
      <c r="I245" s="318"/>
      <c r="J245" s="318"/>
      <c r="K245" s="319"/>
      <c r="L245" s="28"/>
      <c r="M245" s="28"/>
      <c r="N245" s="28"/>
      <c r="O245" s="28"/>
      <c r="P245" s="28"/>
      <c r="Q245" s="28"/>
      <c r="R245" s="28"/>
      <c r="S245" s="28"/>
      <c r="T245" s="28"/>
      <c r="U245" s="28"/>
      <c r="V245" s="28"/>
      <c r="W245" s="28"/>
      <c r="X245" s="28"/>
      <c r="Y245" s="28"/>
      <c r="Z245" s="28"/>
    </row>
    <row r="246" spans="1:26" ht="15.75" customHeight="1" x14ac:dyDescent="0.25">
      <c r="A246" s="28"/>
      <c r="B246" s="310" t="s">
        <v>275</v>
      </c>
      <c r="C246" s="297"/>
      <c r="D246" s="297"/>
      <c r="E246" s="297"/>
      <c r="F246" s="306"/>
      <c r="G246" s="28"/>
      <c r="H246" s="305" t="s">
        <v>275</v>
      </c>
      <c r="I246" s="297"/>
      <c r="J246" s="297"/>
      <c r="K246" s="298"/>
      <c r="L246" s="28"/>
      <c r="M246" s="28"/>
      <c r="N246" s="28"/>
      <c r="O246" s="28"/>
      <c r="P246" s="28"/>
      <c r="Q246" s="28"/>
      <c r="R246" s="28"/>
      <c r="S246" s="28"/>
      <c r="T246" s="28"/>
      <c r="U246" s="28"/>
      <c r="V246" s="28"/>
      <c r="W246" s="28"/>
      <c r="X246" s="28"/>
      <c r="Y246" s="28"/>
      <c r="Z246" s="28"/>
    </row>
    <row r="247" spans="1:26" ht="15.75" customHeight="1" x14ac:dyDescent="0.25">
      <c r="A247" s="28"/>
      <c r="B247" s="9" t="s">
        <v>11</v>
      </c>
      <c r="C247" s="12" t="s">
        <v>12</v>
      </c>
      <c r="D247" s="17"/>
      <c r="E247" s="11">
        <v>535</v>
      </c>
      <c r="F247" s="11">
        <v>520</v>
      </c>
      <c r="G247" s="28"/>
      <c r="H247" s="12"/>
      <c r="I247" s="12" t="s">
        <v>52</v>
      </c>
      <c r="J247" s="12" t="s">
        <v>53</v>
      </c>
      <c r="K247" s="12"/>
      <c r="L247" s="28"/>
      <c r="M247" s="28"/>
      <c r="N247" s="28"/>
      <c r="O247" s="28"/>
      <c r="P247" s="28"/>
      <c r="Q247" s="28"/>
      <c r="R247" s="28"/>
      <c r="S247" s="28"/>
      <c r="T247" s="28"/>
      <c r="U247" s="28"/>
      <c r="V247" s="28"/>
      <c r="W247" s="28"/>
      <c r="X247" s="28"/>
      <c r="Y247" s="28"/>
      <c r="Z247" s="28"/>
    </row>
    <row r="248" spans="1:26" ht="15.75" customHeight="1" x14ac:dyDescent="0.25">
      <c r="A248" s="28"/>
      <c r="B248" s="9" t="s">
        <v>11</v>
      </c>
      <c r="C248" s="12" t="s">
        <v>18</v>
      </c>
      <c r="D248" s="17">
        <v>0</v>
      </c>
      <c r="E248" s="11">
        <v>0</v>
      </c>
      <c r="F248" s="11">
        <v>0</v>
      </c>
      <c r="G248" s="28"/>
      <c r="H248" s="12" t="s">
        <v>12</v>
      </c>
      <c r="I248" s="17">
        <v>535</v>
      </c>
      <c r="J248" s="17">
        <v>520</v>
      </c>
      <c r="K248" s="17" t="s">
        <v>1209</v>
      </c>
      <c r="L248" s="28"/>
      <c r="M248" s="28"/>
      <c r="N248" s="28"/>
      <c r="O248" s="28"/>
      <c r="P248" s="28"/>
      <c r="Q248" s="28"/>
      <c r="R248" s="28"/>
      <c r="S248" s="28"/>
      <c r="T248" s="28"/>
      <c r="U248" s="28"/>
      <c r="V248" s="28"/>
      <c r="W248" s="28"/>
      <c r="X248" s="28"/>
      <c r="Y248" s="28"/>
      <c r="Z248" s="28"/>
    </row>
    <row r="249" spans="1:26" ht="15.75" customHeight="1" x14ac:dyDescent="0.25">
      <c r="A249" s="28"/>
      <c r="B249" s="9" t="s">
        <v>21</v>
      </c>
      <c r="C249" s="12" t="s">
        <v>59</v>
      </c>
      <c r="D249" s="17">
        <v>440</v>
      </c>
      <c r="E249" s="11">
        <v>499</v>
      </c>
      <c r="F249" s="11">
        <v>441</v>
      </c>
      <c r="G249" s="28"/>
      <c r="H249" s="12" t="s">
        <v>18</v>
      </c>
      <c r="I249" s="24">
        <v>0</v>
      </c>
      <c r="J249" s="24">
        <v>0</v>
      </c>
      <c r="K249" s="24" t="s">
        <v>1212</v>
      </c>
      <c r="L249" s="28"/>
      <c r="M249" s="28"/>
      <c r="N249" s="28"/>
      <c r="O249" s="28"/>
      <c r="P249" s="28"/>
      <c r="Q249" s="28"/>
      <c r="R249" s="28"/>
      <c r="S249" s="28"/>
      <c r="T249" s="28"/>
      <c r="U249" s="28"/>
      <c r="V249" s="28"/>
      <c r="W249" s="28"/>
      <c r="X249" s="28"/>
      <c r="Y249" s="28"/>
      <c r="Z249" s="28"/>
    </row>
    <row r="250" spans="1:26" ht="15.75" customHeight="1" x14ac:dyDescent="0.25">
      <c r="A250" s="28"/>
      <c r="B250" s="12" t="s">
        <v>21</v>
      </c>
      <c r="C250" s="12" t="s">
        <v>63</v>
      </c>
      <c r="D250" s="24">
        <v>160</v>
      </c>
      <c r="E250" s="25">
        <v>180</v>
      </c>
      <c r="F250" s="25">
        <v>169</v>
      </c>
      <c r="G250" s="28"/>
      <c r="H250" s="202"/>
      <c r="I250" s="202"/>
      <c r="J250" s="202"/>
      <c r="K250" s="202"/>
      <c r="L250" s="28"/>
      <c r="M250" s="28"/>
      <c r="N250" s="28"/>
      <c r="O250" s="28"/>
      <c r="P250" s="28"/>
      <c r="Q250" s="28"/>
      <c r="R250" s="28"/>
      <c r="S250" s="28"/>
      <c r="T250" s="28"/>
      <c r="U250" s="28"/>
      <c r="V250" s="28"/>
      <c r="W250" s="28"/>
      <c r="X250" s="28"/>
      <c r="Y250" s="28"/>
      <c r="Z250" s="28"/>
    </row>
    <row r="251" spans="1:26" ht="15.75" customHeight="1" x14ac:dyDescent="0.2">
      <c r="B251" s="12" t="s">
        <v>21</v>
      </c>
      <c r="C251" s="12" t="s">
        <v>218</v>
      </c>
      <c r="D251" s="24">
        <v>0</v>
      </c>
      <c r="E251" s="25">
        <v>0</v>
      </c>
      <c r="F251" s="25">
        <v>0</v>
      </c>
    </row>
    <row r="252" spans="1:26" ht="15.75" customHeight="1" x14ac:dyDescent="0.2"/>
    <row r="253" spans="1:26" ht="15.75" customHeight="1" x14ac:dyDescent="0.2"/>
    <row r="254" spans="1:26" ht="15.75" customHeight="1" x14ac:dyDescent="0.2"/>
    <row r="255" spans="1:26" ht="15.75" customHeight="1" x14ac:dyDescent="0.2"/>
    <row r="256" spans="1:26" ht="15.75" customHeight="1" thickBot="1" x14ac:dyDescent="0.3">
      <c r="A256" s="23" t="s">
        <v>115</v>
      </c>
      <c r="B256" s="43" t="s">
        <v>1070</v>
      </c>
      <c r="C256" s="28"/>
      <c r="D256" s="28"/>
      <c r="E256" s="28"/>
      <c r="F256" s="28"/>
      <c r="G256" s="28"/>
      <c r="H256" s="28"/>
      <c r="I256" s="28"/>
      <c r="J256" s="28"/>
      <c r="K256" s="28"/>
      <c r="L256" s="28"/>
    </row>
    <row r="257" spans="1:12" ht="15.75" customHeight="1" thickBot="1" x14ac:dyDescent="0.3">
      <c r="A257" s="304" t="s">
        <v>1172</v>
      </c>
      <c r="B257" s="297"/>
      <c r="C257" s="373" t="s">
        <v>1519</v>
      </c>
      <c r="D257" s="297"/>
      <c r="E257" s="298"/>
      <c r="F257" s="28"/>
      <c r="G257" s="28"/>
      <c r="H257" s="3"/>
      <c r="I257" s="28"/>
      <c r="J257" s="28"/>
      <c r="K257" s="28"/>
      <c r="L257" s="28"/>
    </row>
    <row r="258" spans="1:12" ht="28.5" customHeight="1" thickBot="1" x14ac:dyDescent="0.3">
      <c r="A258" s="4" t="s">
        <v>0</v>
      </c>
      <c r="B258" s="5" t="s">
        <v>1</v>
      </c>
      <c r="C258" s="5" t="s">
        <v>2</v>
      </c>
      <c r="D258" s="5" t="s">
        <v>43</v>
      </c>
      <c r="E258" s="45" t="s">
        <v>125</v>
      </c>
      <c r="F258" s="28"/>
      <c r="G258" s="374" t="s">
        <v>6</v>
      </c>
      <c r="H258" s="375"/>
      <c r="I258" s="375"/>
      <c r="J258" s="375"/>
      <c r="K258" s="375"/>
      <c r="L258" s="376"/>
    </row>
    <row r="259" spans="1:12" s="261" customFormat="1" ht="28.5" customHeight="1" thickBot="1" x14ac:dyDescent="0.3">
      <c r="A259" s="370" t="s">
        <v>1520</v>
      </c>
      <c r="B259" s="371"/>
      <c r="C259" s="371"/>
      <c r="D259" s="371"/>
      <c r="E259" s="372"/>
      <c r="F259" s="28"/>
      <c r="G259" s="364" t="s">
        <v>106</v>
      </c>
      <c r="H259" s="365"/>
      <c r="I259" s="365"/>
      <c r="J259" s="365" t="s">
        <v>107</v>
      </c>
      <c r="K259" s="365"/>
      <c r="L259" s="368"/>
    </row>
    <row r="260" spans="1:12" ht="15.75" customHeight="1" thickBot="1" x14ac:dyDescent="0.3">
      <c r="A260" s="9" t="s">
        <v>7</v>
      </c>
      <c r="B260" s="302" t="s">
        <v>9</v>
      </c>
      <c r="C260" s="263">
        <v>28.1</v>
      </c>
      <c r="D260" s="264">
        <v>103</v>
      </c>
      <c r="E260" s="263">
        <v>92</v>
      </c>
      <c r="F260" s="28"/>
      <c r="G260" s="366"/>
      <c r="H260" s="367"/>
      <c r="I260" s="367"/>
      <c r="J260" s="367"/>
      <c r="K260" s="367"/>
      <c r="L260" s="369"/>
    </row>
    <row r="261" spans="1:12" ht="15.75" customHeight="1" thickBot="1" x14ac:dyDescent="0.3">
      <c r="A261" s="9" t="s">
        <v>17</v>
      </c>
      <c r="B261" s="300"/>
      <c r="C261" s="263">
        <v>63.911000000000001</v>
      </c>
      <c r="D261" s="264">
        <v>103</v>
      </c>
      <c r="E261" s="263">
        <v>88</v>
      </c>
      <c r="F261" s="28"/>
      <c r="G261" s="13" t="s">
        <v>13</v>
      </c>
      <c r="H261" s="39">
        <f>H263+(H263*0.05)</f>
        <v>886.2</v>
      </c>
      <c r="I261" s="17" t="s">
        <v>110</v>
      </c>
      <c r="J261" s="13" t="s">
        <v>13</v>
      </c>
      <c r="K261" s="39">
        <f>K263+(K263*0.05)</f>
        <v>93.45</v>
      </c>
      <c r="L261" s="17" t="s">
        <v>110</v>
      </c>
    </row>
    <row r="262" spans="1:12" ht="15.75" customHeight="1" thickBot="1" x14ac:dyDescent="0.3">
      <c r="A262" s="9" t="s">
        <v>26</v>
      </c>
      <c r="B262" s="300"/>
      <c r="C262" s="263">
        <v>69.921999999999997</v>
      </c>
      <c r="D262" s="264">
        <v>115</v>
      </c>
      <c r="E262" s="263">
        <v>122</v>
      </c>
      <c r="F262" s="28"/>
      <c r="G262" s="13" t="s">
        <v>19</v>
      </c>
      <c r="H262" s="40">
        <f>H263-(H263*0.05)</f>
        <v>801.8</v>
      </c>
      <c r="I262" s="17" t="s">
        <v>110</v>
      </c>
      <c r="J262" s="13" t="s">
        <v>19</v>
      </c>
      <c r="K262" s="40">
        <f>K263-(K263*0.05)</f>
        <v>84.55</v>
      </c>
      <c r="L262" s="17" t="s">
        <v>110</v>
      </c>
    </row>
    <row r="263" spans="1:12" ht="15.75" customHeight="1" thickBot="1" x14ac:dyDescent="0.3">
      <c r="A263" s="9" t="s">
        <v>32</v>
      </c>
      <c r="B263" s="300"/>
      <c r="C263" s="263">
        <v>96.744</v>
      </c>
      <c r="D263" s="264">
        <v>280</v>
      </c>
      <c r="E263" s="263">
        <v>105</v>
      </c>
      <c r="F263" s="28"/>
      <c r="G263" s="13" t="s">
        <v>27</v>
      </c>
      <c r="H263" s="225">
        <v>844</v>
      </c>
      <c r="I263" s="17" t="s">
        <v>110</v>
      </c>
      <c r="J263" s="13" t="s">
        <v>27</v>
      </c>
      <c r="K263" s="225">
        <v>89</v>
      </c>
      <c r="L263" s="17" t="s">
        <v>110</v>
      </c>
    </row>
    <row r="264" spans="1:12" ht="15.75" customHeight="1" thickBot="1" x14ac:dyDescent="0.3">
      <c r="A264" s="9" t="s">
        <v>33</v>
      </c>
      <c r="B264" s="301"/>
      <c r="C264" s="263">
        <v>128.11000000000001</v>
      </c>
      <c r="D264" s="264">
        <v>403</v>
      </c>
      <c r="E264" s="263">
        <v>131</v>
      </c>
      <c r="F264" s="28"/>
      <c r="G264" s="13" t="s">
        <v>121</v>
      </c>
      <c r="H264" s="225">
        <v>963</v>
      </c>
      <c r="I264" s="17" t="s">
        <v>110</v>
      </c>
      <c r="J264" s="13" t="s">
        <v>121</v>
      </c>
      <c r="K264" s="225">
        <v>89</v>
      </c>
      <c r="L264" s="17" t="s">
        <v>110</v>
      </c>
    </row>
    <row r="265" spans="1:12" ht="3" customHeight="1" thickBot="1" x14ac:dyDescent="0.3">
      <c r="A265" s="268"/>
      <c r="B265" s="269"/>
      <c r="C265" s="270"/>
      <c r="D265" s="271"/>
      <c r="E265" s="272"/>
      <c r="F265" s="28"/>
      <c r="G265" s="28"/>
      <c r="H265" s="3"/>
      <c r="I265" s="28"/>
      <c r="J265" s="28"/>
      <c r="K265" s="28"/>
      <c r="L265" s="28"/>
    </row>
    <row r="266" spans="1:12" ht="15.75" customHeight="1" thickBot="1" x14ac:dyDescent="0.3">
      <c r="A266" s="126" t="s">
        <v>35</v>
      </c>
      <c r="B266" s="302" t="s">
        <v>36</v>
      </c>
      <c r="C266" s="263">
        <v>207.78</v>
      </c>
      <c r="D266" s="264">
        <v>10</v>
      </c>
      <c r="E266" s="263">
        <v>284</v>
      </c>
      <c r="F266" s="28"/>
      <c r="G266" s="28"/>
      <c r="H266" s="3"/>
      <c r="I266" s="262" t="s">
        <v>241</v>
      </c>
      <c r="J266" s="128"/>
      <c r="K266" s="28"/>
      <c r="L266" s="28"/>
    </row>
    <row r="267" spans="1:12" ht="15.75" customHeight="1" thickBot="1" x14ac:dyDescent="0.3">
      <c r="A267" s="126" t="s">
        <v>37</v>
      </c>
      <c r="B267" s="300"/>
      <c r="C267" s="263">
        <v>444.11</v>
      </c>
      <c r="D267" s="264">
        <v>10</v>
      </c>
      <c r="E267" s="263">
        <v>402</v>
      </c>
      <c r="F267" s="28"/>
      <c r="G267" s="28"/>
      <c r="H267" s="3"/>
      <c r="I267" s="28"/>
      <c r="J267" s="28"/>
      <c r="K267" s="28"/>
      <c r="L267" s="28"/>
    </row>
    <row r="268" spans="1:12" ht="15.75" customHeight="1" thickBot="1" x14ac:dyDescent="0.3">
      <c r="A268" s="126" t="s">
        <v>38</v>
      </c>
      <c r="B268" s="300"/>
      <c r="C268" s="263">
        <v>579.55999999999995</v>
      </c>
      <c r="D268" s="264">
        <v>543</v>
      </c>
      <c r="E268" s="263">
        <v>633</v>
      </c>
      <c r="F268" s="28"/>
      <c r="G268" s="28"/>
      <c r="H268" s="3"/>
      <c r="I268" s="28"/>
      <c r="J268" s="28"/>
      <c r="K268" s="28"/>
      <c r="L268" s="28"/>
    </row>
    <row r="269" spans="1:12" ht="15.75" customHeight="1" thickBot="1" x14ac:dyDescent="0.3">
      <c r="A269" s="129" t="s">
        <v>39</v>
      </c>
      <c r="B269" s="300"/>
      <c r="C269" s="265">
        <v>746.22</v>
      </c>
      <c r="D269" s="264">
        <v>657</v>
      </c>
      <c r="E269" s="263">
        <v>793</v>
      </c>
      <c r="F269" s="28"/>
      <c r="G269" s="28"/>
      <c r="H269" s="3"/>
      <c r="I269" s="28"/>
      <c r="J269" s="28"/>
      <c r="K269" s="28"/>
      <c r="L269" s="28"/>
    </row>
    <row r="270" spans="1:12" ht="15.75" customHeight="1" thickBot="1" x14ac:dyDescent="0.3">
      <c r="A270" s="12" t="s">
        <v>41</v>
      </c>
      <c r="B270" s="301"/>
      <c r="C270" s="266">
        <v>869.5</v>
      </c>
      <c r="D270" s="267">
        <v>950</v>
      </c>
      <c r="E270" s="263">
        <v>888</v>
      </c>
      <c r="F270" s="28"/>
      <c r="G270" s="28"/>
      <c r="H270" s="3"/>
      <c r="I270" s="28"/>
      <c r="J270" s="28"/>
      <c r="K270" s="28"/>
      <c r="L270" s="28"/>
    </row>
    <row r="271" spans="1:12" ht="28.5" customHeight="1" thickBot="1" x14ac:dyDescent="0.3">
      <c r="A271" s="378" t="s">
        <v>1521</v>
      </c>
      <c r="B271" s="379"/>
      <c r="C271" s="379"/>
      <c r="D271" s="379"/>
      <c r="E271" s="379"/>
      <c r="F271" s="28"/>
      <c r="G271" s="28"/>
      <c r="H271" s="3"/>
      <c r="I271" s="28"/>
      <c r="J271" s="28"/>
      <c r="K271" s="28"/>
      <c r="L271" s="28"/>
    </row>
    <row r="272" spans="1:12" ht="15.75" customHeight="1" thickBot="1" x14ac:dyDescent="0.3">
      <c r="A272" s="9" t="s">
        <v>46</v>
      </c>
      <c r="B272" s="299" t="s">
        <v>47</v>
      </c>
      <c r="C272" s="11">
        <v>88.4</v>
      </c>
      <c r="D272" s="11">
        <v>104</v>
      </c>
      <c r="E272" s="47">
        <v>122</v>
      </c>
      <c r="F272" s="28"/>
      <c r="G272" s="28"/>
      <c r="H272" s="3"/>
      <c r="I272" s="28"/>
      <c r="J272" s="28"/>
      <c r="K272" s="28"/>
      <c r="L272" s="28"/>
    </row>
    <row r="273" spans="1:12" ht="15.75" customHeight="1" thickBot="1" x14ac:dyDescent="0.3">
      <c r="A273" s="9" t="s">
        <v>48</v>
      </c>
      <c r="B273" s="300"/>
      <c r="C273" s="11">
        <v>94.6</v>
      </c>
      <c r="D273" s="11">
        <v>101</v>
      </c>
      <c r="E273" s="47">
        <v>129</v>
      </c>
      <c r="F273" s="28"/>
      <c r="G273" s="28"/>
      <c r="H273" s="3"/>
      <c r="I273" s="28"/>
      <c r="J273" s="28"/>
      <c r="K273" s="28"/>
      <c r="L273" s="28"/>
    </row>
    <row r="274" spans="1:12" ht="3" customHeight="1" thickBot="1" x14ac:dyDescent="0.3">
      <c r="A274" s="291"/>
      <c r="B274" s="292"/>
      <c r="C274" s="293"/>
      <c r="D274" s="294"/>
      <c r="E274" s="295"/>
      <c r="F274" s="28"/>
      <c r="G274" s="28"/>
      <c r="H274" s="3"/>
      <c r="I274" s="28"/>
      <c r="J274" s="28"/>
      <c r="K274" s="28"/>
      <c r="L274" s="28"/>
    </row>
    <row r="275" spans="1:12" ht="15.75" customHeight="1" thickBot="1" x14ac:dyDescent="0.3">
      <c r="A275" s="126" t="s">
        <v>50</v>
      </c>
      <c r="B275" s="302" t="s">
        <v>51</v>
      </c>
      <c r="C275" s="47">
        <v>271.44</v>
      </c>
      <c r="D275" s="11">
        <v>334</v>
      </c>
      <c r="E275" s="11">
        <v>180</v>
      </c>
      <c r="F275" s="28"/>
      <c r="G275" s="28"/>
      <c r="H275" s="3"/>
      <c r="I275" s="28"/>
      <c r="J275" s="28"/>
      <c r="K275" s="28"/>
      <c r="L275" s="28"/>
    </row>
    <row r="276" spans="1:12" ht="15.75" customHeight="1" thickBot="1" x14ac:dyDescent="0.3">
      <c r="A276" s="126" t="s">
        <v>54</v>
      </c>
      <c r="B276" s="300"/>
      <c r="C276" s="47">
        <v>550.22199999999998</v>
      </c>
      <c r="D276" s="11">
        <v>442</v>
      </c>
      <c r="E276" s="11">
        <v>475</v>
      </c>
      <c r="F276" s="28"/>
      <c r="G276" s="28"/>
      <c r="H276" s="3"/>
      <c r="I276" s="28"/>
      <c r="J276" s="28"/>
      <c r="K276" s="28"/>
      <c r="L276" s="28"/>
    </row>
    <row r="277" spans="1:12" ht="15.75" customHeight="1" thickBot="1" x14ac:dyDescent="0.3">
      <c r="A277" s="126" t="s">
        <v>55</v>
      </c>
      <c r="B277" s="300"/>
      <c r="C277" s="47">
        <v>746.8</v>
      </c>
      <c r="D277" s="11">
        <v>580</v>
      </c>
      <c r="E277" s="11">
        <v>613</v>
      </c>
      <c r="F277" s="28"/>
      <c r="G277" s="28"/>
      <c r="H277" s="3"/>
      <c r="I277" s="28"/>
      <c r="J277" s="28"/>
      <c r="K277" s="28"/>
      <c r="L277" s="28"/>
    </row>
    <row r="278" spans="1:12" ht="15.75" customHeight="1" thickBot="1" x14ac:dyDescent="0.3">
      <c r="A278" s="129" t="s">
        <v>56</v>
      </c>
      <c r="B278" s="300"/>
      <c r="C278" s="50">
        <v>768.33333333333337</v>
      </c>
      <c r="D278" s="11">
        <v>722</v>
      </c>
      <c r="E278" s="11">
        <v>788</v>
      </c>
      <c r="F278" s="28"/>
      <c r="G278" s="28"/>
      <c r="H278" s="3"/>
      <c r="I278" s="28"/>
      <c r="J278" s="28"/>
      <c r="K278" s="28"/>
      <c r="L278" s="28"/>
    </row>
    <row r="279" spans="1:12" ht="15.75" customHeight="1" thickBot="1" x14ac:dyDescent="0.3">
      <c r="A279" s="8" t="s">
        <v>57</v>
      </c>
      <c r="B279" s="301"/>
      <c r="C279" s="71">
        <v>609</v>
      </c>
      <c r="D279" s="51">
        <v>699</v>
      </c>
      <c r="E279" s="11">
        <v>845</v>
      </c>
      <c r="F279" s="28"/>
      <c r="G279" s="28"/>
      <c r="H279" s="3"/>
      <c r="I279" s="28"/>
      <c r="J279" s="28"/>
      <c r="K279" s="28"/>
      <c r="L279" s="28"/>
    </row>
    <row r="280" spans="1:12" ht="28.5" customHeight="1" thickBot="1" x14ac:dyDescent="0.3">
      <c r="A280" s="380" t="s">
        <v>1522</v>
      </c>
      <c r="B280" s="381"/>
      <c r="C280" s="381"/>
      <c r="D280" s="381"/>
      <c r="E280" s="381"/>
      <c r="F280" s="28"/>
      <c r="G280" s="28"/>
      <c r="H280" s="3"/>
      <c r="I280" s="28"/>
      <c r="J280" s="28"/>
      <c r="K280" s="28"/>
      <c r="L280" s="28"/>
    </row>
    <row r="281" spans="1:12" ht="15.75" customHeight="1" thickBot="1" x14ac:dyDescent="0.3">
      <c r="A281" s="9" t="s">
        <v>60</v>
      </c>
      <c r="B281" s="299" t="s">
        <v>62</v>
      </c>
      <c r="C281" s="47">
        <v>19.741666666666667</v>
      </c>
      <c r="D281" s="11">
        <v>20</v>
      </c>
      <c r="E281" s="47">
        <v>31</v>
      </c>
      <c r="F281" s="28"/>
      <c r="G281" s="28"/>
      <c r="H281" s="3"/>
      <c r="I281" s="28"/>
      <c r="J281" s="28"/>
      <c r="K281" s="28"/>
      <c r="L281" s="28"/>
    </row>
    <row r="282" spans="1:12" ht="15.75" customHeight="1" thickBot="1" x14ac:dyDescent="0.3">
      <c r="A282" s="9" t="s">
        <v>65</v>
      </c>
      <c r="B282" s="300"/>
      <c r="C282" s="11">
        <v>42</v>
      </c>
      <c r="D282" s="11">
        <v>33</v>
      </c>
      <c r="E282" s="47">
        <v>40</v>
      </c>
      <c r="F282" s="28"/>
      <c r="G282" s="28"/>
      <c r="H282" s="3"/>
      <c r="I282" s="28"/>
      <c r="J282" s="28"/>
      <c r="K282" s="28"/>
      <c r="L282" s="28"/>
    </row>
    <row r="283" spans="1:12" ht="15.75" customHeight="1" thickBot="1" x14ac:dyDescent="0.3">
      <c r="A283" s="9" t="s">
        <v>64</v>
      </c>
      <c r="B283" s="301"/>
      <c r="C283" s="11">
        <v>42</v>
      </c>
      <c r="D283" s="11">
        <v>39</v>
      </c>
      <c r="E283" s="47">
        <v>35</v>
      </c>
      <c r="F283" s="28"/>
      <c r="G283" s="28"/>
      <c r="H283" s="3"/>
      <c r="I283" s="28"/>
      <c r="J283" s="28"/>
      <c r="K283" s="28"/>
      <c r="L283" s="28"/>
    </row>
    <row r="284" spans="1:12" ht="3.75" customHeight="1" thickBot="1" x14ac:dyDescent="0.3">
      <c r="A284" s="273"/>
      <c r="B284" s="274"/>
      <c r="C284" s="275"/>
      <c r="D284" s="276"/>
      <c r="E284" s="277"/>
      <c r="F284" s="28"/>
      <c r="G284" s="28"/>
      <c r="H284" s="3"/>
      <c r="I284" s="28"/>
      <c r="J284" s="28"/>
      <c r="K284" s="28"/>
      <c r="L284" s="28"/>
    </row>
    <row r="285" spans="1:12" ht="15.75" customHeight="1" thickBot="1" x14ac:dyDescent="0.3">
      <c r="A285" s="129" t="s">
        <v>66</v>
      </c>
      <c r="B285" s="302" t="s">
        <v>68</v>
      </c>
      <c r="C285" s="50">
        <v>204.5</v>
      </c>
      <c r="D285" s="11">
        <v>207</v>
      </c>
      <c r="E285" s="47">
        <v>204</v>
      </c>
      <c r="F285" s="28"/>
      <c r="G285" s="28"/>
      <c r="H285" s="3"/>
      <c r="I285" s="28"/>
      <c r="J285" s="28"/>
      <c r="K285" s="28"/>
      <c r="L285" s="28"/>
    </row>
    <row r="286" spans="1:12" ht="15.75" customHeight="1" thickBot="1" x14ac:dyDescent="0.3">
      <c r="A286" s="12" t="s">
        <v>69</v>
      </c>
      <c r="B286" s="301"/>
      <c r="C286" s="71">
        <v>277.7</v>
      </c>
      <c r="D286" s="51">
        <v>276</v>
      </c>
      <c r="E286" s="47">
        <v>283</v>
      </c>
      <c r="F286" s="28"/>
      <c r="G286" s="28"/>
      <c r="H286" s="3"/>
      <c r="I286" s="28"/>
      <c r="J286" s="28"/>
      <c r="K286" s="28"/>
      <c r="L286" s="28"/>
    </row>
    <row r="287" spans="1:12" ht="28.5" customHeight="1" thickBot="1" x14ac:dyDescent="0.3">
      <c r="A287" s="382" t="s">
        <v>1523</v>
      </c>
      <c r="B287" s="383"/>
      <c r="C287" s="383"/>
      <c r="D287" s="383"/>
      <c r="E287" s="383"/>
      <c r="F287" s="28"/>
      <c r="G287" s="28"/>
      <c r="H287" s="3"/>
      <c r="I287" s="28"/>
      <c r="J287" s="28"/>
      <c r="K287" s="28"/>
      <c r="L287" s="28"/>
    </row>
    <row r="288" spans="1:12" ht="15.75" customHeight="1" thickBot="1" x14ac:dyDescent="0.3">
      <c r="A288" s="56" t="s">
        <v>69</v>
      </c>
      <c r="B288" s="303" t="s">
        <v>71</v>
      </c>
      <c r="C288" s="47">
        <v>12</v>
      </c>
      <c r="D288" s="11">
        <v>14</v>
      </c>
      <c r="E288" s="47">
        <v>16</v>
      </c>
      <c r="F288" s="28"/>
      <c r="G288" s="28"/>
      <c r="H288" s="3"/>
      <c r="I288" s="28"/>
      <c r="J288" s="28"/>
      <c r="K288" s="28"/>
      <c r="L288" s="28"/>
    </row>
    <row r="289" spans="1:12" ht="15.75" customHeight="1" thickBot="1" x14ac:dyDescent="0.3">
      <c r="A289" s="56" t="s">
        <v>72</v>
      </c>
      <c r="B289" s="300"/>
      <c r="C289" s="47">
        <v>14</v>
      </c>
      <c r="D289" s="11">
        <v>15</v>
      </c>
      <c r="E289" s="47">
        <v>16</v>
      </c>
      <c r="F289" s="28"/>
      <c r="G289" s="28"/>
      <c r="H289" s="3"/>
      <c r="I289" s="28"/>
      <c r="J289" s="28"/>
      <c r="K289" s="28"/>
      <c r="L289" s="28"/>
    </row>
    <row r="290" spans="1:12" ht="15.75" customHeight="1" thickBot="1" x14ac:dyDescent="0.3">
      <c r="A290" s="56" t="s">
        <v>73</v>
      </c>
      <c r="B290" s="301"/>
      <c r="C290" s="47">
        <v>17.43333333333333</v>
      </c>
      <c r="D290" s="11">
        <v>18</v>
      </c>
      <c r="E290" s="47">
        <v>20</v>
      </c>
      <c r="F290" s="28"/>
      <c r="G290" s="28"/>
      <c r="H290" s="3"/>
      <c r="I290" s="28"/>
      <c r="J290" s="28"/>
      <c r="K290" s="28"/>
      <c r="L290" s="28"/>
    </row>
    <row r="291" spans="1:12" ht="3" customHeight="1" thickBot="1" x14ac:dyDescent="0.3">
      <c r="A291" s="278"/>
      <c r="B291" s="279"/>
      <c r="C291" s="279"/>
      <c r="D291" s="280"/>
      <c r="E291" s="281"/>
      <c r="F291" s="28"/>
      <c r="G291" s="28"/>
      <c r="H291" s="3"/>
      <c r="I291" s="28"/>
      <c r="J291" s="28"/>
      <c r="K291" s="28"/>
      <c r="L291" s="28"/>
    </row>
    <row r="292" spans="1:12" ht="15.75" customHeight="1" thickBot="1" x14ac:dyDescent="0.3">
      <c r="A292" s="56" t="s">
        <v>80</v>
      </c>
      <c r="B292" s="309" t="s">
        <v>77</v>
      </c>
      <c r="C292" s="47">
        <v>117</v>
      </c>
      <c r="D292" s="11">
        <v>117</v>
      </c>
      <c r="E292" s="47">
        <v>129</v>
      </c>
      <c r="F292" s="28"/>
      <c r="G292" s="28"/>
      <c r="H292" s="3"/>
      <c r="I292" s="28"/>
      <c r="J292" s="28"/>
      <c r="K292" s="28"/>
      <c r="L292" s="28"/>
    </row>
    <row r="293" spans="1:12" ht="15.75" customHeight="1" thickBot="1" x14ac:dyDescent="0.3">
      <c r="A293" s="56" t="s">
        <v>78</v>
      </c>
      <c r="B293" s="300"/>
      <c r="C293" s="47">
        <v>188</v>
      </c>
      <c r="D293" s="11">
        <v>195</v>
      </c>
      <c r="E293" s="47">
        <v>189</v>
      </c>
      <c r="F293" s="28"/>
      <c r="G293" s="28"/>
      <c r="H293" s="3"/>
      <c r="I293" s="28"/>
      <c r="J293" s="28"/>
      <c r="K293" s="28"/>
      <c r="L293" s="28"/>
    </row>
    <row r="294" spans="1:12" ht="15.75" customHeight="1" thickBot="1" x14ac:dyDescent="0.3">
      <c r="A294" s="56" t="s">
        <v>76</v>
      </c>
      <c r="B294" s="300"/>
      <c r="C294" s="50">
        <v>218</v>
      </c>
      <c r="D294" s="11">
        <v>239</v>
      </c>
      <c r="E294" s="47">
        <v>216</v>
      </c>
      <c r="F294" s="28"/>
      <c r="G294" s="28"/>
      <c r="H294" s="3"/>
      <c r="I294" s="28"/>
      <c r="J294" s="28"/>
      <c r="K294" s="28"/>
      <c r="L294" s="28"/>
    </row>
    <row r="295" spans="1:12" ht="15.75" customHeight="1" thickBot="1" x14ac:dyDescent="0.3">
      <c r="A295" s="57" t="s">
        <v>79</v>
      </c>
      <c r="B295" s="300"/>
      <c r="C295" s="134">
        <v>239</v>
      </c>
      <c r="D295" s="51">
        <v>218</v>
      </c>
      <c r="E295" s="47">
        <v>237</v>
      </c>
      <c r="F295" s="28"/>
      <c r="G295" s="28"/>
      <c r="H295" s="3"/>
      <c r="I295" s="28"/>
      <c r="J295" s="28"/>
      <c r="K295" s="28"/>
      <c r="L295" s="28"/>
    </row>
    <row r="296" spans="1:12" ht="28.5" customHeight="1" thickBot="1" x14ac:dyDescent="0.3">
      <c r="A296" s="384" t="s">
        <v>1524</v>
      </c>
      <c r="B296" s="385"/>
      <c r="C296" s="385"/>
      <c r="D296" s="385"/>
      <c r="E296" s="385"/>
      <c r="F296" s="28"/>
      <c r="G296" s="28"/>
      <c r="H296" s="3"/>
      <c r="I296" s="28"/>
      <c r="J296" s="28"/>
      <c r="K296" s="28"/>
      <c r="L296" s="28"/>
    </row>
    <row r="297" spans="1:12" ht="15.75" customHeight="1" thickBot="1" x14ac:dyDescent="0.3">
      <c r="A297" s="9" t="s">
        <v>81</v>
      </c>
      <c r="B297" s="299" t="s">
        <v>82</v>
      </c>
      <c r="C297" s="11">
        <v>2</v>
      </c>
      <c r="D297" s="11">
        <v>1</v>
      </c>
      <c r="E297" s="47">
        <v>1</v>
      </c>
      <c r="F297" s="28"/>
      <c r="G297" s="28"/>
      <c r="H297" s="3"/>
      <c r="I297" s="28"/>
      <c r="J297" s="28"/>
      <c r="K297" s="28"/>
      <c r="L297" s="28"/>
    </row>
    <row r="298" spans="1:12" ht="15.75" customHeight="1" thickBot="1" x14ac:dyDescent="0.3">
      <c r="A298" s="9" t="s">
        <v>83</v>
      </c>
      <c r="B298" s="300"/>
      <c r="C298" s="11">
        <v>7.133</v>
      </c>
      <c r="D298" s="11">
        <v>11</v>
      </c>
      <c r="E298" s="47">
        <v>12</v>
      </c>
      <c r="F298" s="28"/>
      <c r="G298" s="28"/>
      <c r="H298" s="3"/>
      <c r="I298" s="28"/>
      <c r="J298" s="28"/>
      <c r="K298" s="28"/>
      <c r="L298" s="28"/>
    </row>
    <row r="299" spans="1:12" ht="15.75" customHeight="1" thickBot="1" x14ac:dyDescent="0.3">
      <c r="A299" s="9" t="s">
        <v>155</v>
      </c>
      <c r="B299" s="301"/>
      <c r="C299" s="11">
        <v>10.72</v>
      </c>
      <c r="D299" s="11">
        <v>10</v>
      </c>
      <c r="E299" s="47">
        <v>11</v>
      </c>
      <c r="F299" s="28"/>
      <c r="G299" s="28"/>
      <c r="H299" s="3"/>
      <c r="I299" s="28"/>
      <c r="J299" s="28"/>
      <c r="K299" s="28"/>
      <c r="L299" s="28"/>
    </row>
    <row r="300" spans="1:12" ht="3" customHeight="1" thickBot="1" x14ac:dyDescent="0.3">
      <c r="A300" s="282"/>
      <c r="B300" s="283"/>
      <c r="C300" s="284"/>
      <c r="D300" s="285"/>
      <c r="E300" s="286"/>
      <c r="F300" s="28"/>
      <c r="G300" s="28"/>
      <c r="H300" s="3"/>
      <c r="I300" s="28"/>
      <c r="J300" s="28"/>
      <c r="K300" s="28"/>
      <c r="L300" s="28"/>
    </row>
    <row r="301" spans="1:12" ht="15.75" customHeight="1" thickBot="1" x14ac:dyDescent="0.3">
      <c r="A301" s="129" t="s">
        <v>86</v>
      </c>
      <c r="B301" s="302" t="s">
        <v>87</v>
      </c>
      <c r="C301" s="51">
        <v>19</v>
      </c>
      <c r="D301" s="11">
        <v>22</v>
      </c>
      <c r="E301" s="47">
        <v>25</v>
      </c>
      <c r="F301" s="28">
        <v>18</v>
      </c>
      <c r="G301" s="28"/>
      <c r="H301" s="3"/>
      <c r="I301" s="28"/>
      <c r="J301" s="28"/>
      <c r="K301" s="28"/>
      <c r="L301" s="28"/>
    </row>
    <row r="302" spans="1:12" ht="15.75" customHeight="1" thickBot="1" x14ac:dyDescent="0.3">
      <c r="A302" s="12" t="s">
        <v>88</v>
      </c>
      <c r="B302" s="301"/>
      <c r="C302" s="25">
        <v>20</v>
      </c>
      <c r="D302" s="51">
        <v>20</v>
      </c>
      <c r="E302" s="47">
        <v>28</v>
      </c>
      <c r="F302" s="28">
        <v>23</v>
      </c>
      <c r="G302" s="28"/>
      <c r="H302" s="3"/>
      <c r="I302" s="28"/>
      <c r="J302" s="28"/>
      <c r="K302" s="28"/>
      <c r="L302" s="28"/>
    </row>
    <row r="303" spans="1:12" ht="28.5" customHeight="1" thickBot="1" x14ac:dyDescent="0.3">
      <c r="A303" s="386" t="s">
        <v>1525</v>
      </c>
      <c r="B303" s="387"/>
      <c r="C303" s="387"/>
      <c r="D303" s="387"/>
      <c r="E303" s="387"/>
      <c r="F303" s="28"/>
      <c r="G303" s="28"/>
      <c r="H303" s="3"/>
      <c r="I303" s="28"/>
      <c r="J303" s="28"/>
      <c r="K303" s="28"/>
      <c r="L303" s="28"/>
    </row>
    <row r="304" spans="1:12" ht="15.75" customHeight="1" thickBot="1" x14ac:dyDescent="0.3">
      <c r="A304" s="8" t="s">
        <v>89</v>
      </c>
      <c r="B304" s="302" t="s">
        <v>90</v>
      </c>
      <c r="C304" s="25">
        <v>6</v>
      </c>
      <c r="D304" s="11">
        <v>10</v>
      </c>
      <c r="E304" s="47">
        <v>11</v>
      </c>
      <c r="F304" s="28"/>
      <c r="G304" s="28"/>
      <c r="H304" s="3"/>
      <c r="I304" s="28"/>
      <c r="J304" s="28"/>
      <c r="K304" s="28"/>
      <c r="L304" s="28"/>
    </row>
    <row r="305" spans="1:12" ht="15.75" customHeight="1" thickBot="1" x14ac:dyDescent="0.3">
      <c r="A305" s="126" t="s">
        <v>91</v>
      </c>
      <c r="B305" s="301"/>
      <c r="C305" s="11">
        <v>16</v>
      </c>
      <c r="D305" s="51">
        <v>12</v>
      </c>
      <c r="E305" s="47">
        <v>15</v>
      </c>
      <c r="F305" s="28"/>
      <c r="G305" s="28"/>
      <c r="H305" s="3"/>
      <c r="I305" s="28"/>
      <c r="J305" s="28"/>
      <c r="K305" s="28"/>
      <c r="L305" s="28"/>
    </row>
    <row r="306" spans="1:12" ht="3" customHeight="1" thickBot="1" x14ac:dyDescent="0.3">
      <c r="A306" s="287"/>
      <c r="B306" s="288"/>
      <c r="C306" s="288"/>
      <c r="D306" s="289"/>
      <c r="E306" s="290"/>
      <c r="F306" s="28"/>
      <c r="G306" s="28"/>
      <c r="H306" s="3"/>
      <c r="I306" s="28"/>
      <c r="J306" s="28"/>
      <c r="K306" s="28"/>
      <c r="L306" s="28"/>
    </row>
    <row r="307" spans="1:12" ht="15.75" customHeight="1" thickBot="1" x14ac:dyDescent="0.3">
      <c r="A307" s="9" t="s">
        <v>94</v>
      </c>
      <c r="B307" s="299" t="s">
        <v>95</v>
      </c>
      <c r="C307" s="47">
        <v>49.666666666666664</v>
      </c>
      <c r="D307" s="11">
        <v>57</v>
      </c>
      <c r="E307" s="47">
        <v>56</v>
      </c>
      <c r="F307" s="28"/>
      <c r="G307" s="28"/>
      <c r="H307" s="3"/>
      <c r="I307" s="28"/>
      <c r="J307" s="28"/>
      <c r="K307" s="28"/>
      <c r="L307" s="28"/>
    </row>
    <row r="308" spans="1:12" ht="15.75" customHeight="1" thickBot="1" x14ac:dyDescent="0.3">
      <c r="A308" s="9" t="s">
        <v>96</v>
      </c>
      <c r="B308" s="300"/>
      <c r="C308" s="47">
        <v>122</v>
      </c>
      <c r="D308" s="11">
        <v>128</v>
      </c>
      <c r="E308" s="47">
        <v>132</v>
      </c>
      <c r="F308" s="28"/>
      <c r="G308" s="28"/>
      <c r="H308" s="3"/>
      <c r="I308" s="28"/>
      <c r="J308" s="28"/>
      <c r="K308" s="28"/>
      <c r="L308" s="28"/>
    </row>
    <row r="309" spans="1:12" ht="15.75" customHeight="1" thickBot="1" x14ac:dyDescent="0.3">
      <c r="A309" s="9" t="s">
        <v>97</v>
      </c>
      <c r="B309" s="300"/>
      <c r="C309" s="47">
        <v>130</v>
      </c>
      <c r="D309" s="11">
        <v>143</v>
      </c>
      <c r="E309" s="47">
        <v>185</v>
      </c>
      <c r="F309" s="28"/>
      <c r="G309" s="28"/>
      <c r="H309" s="3"/>
      <c r="I309" s="28"/>
      <c r="J309" s="28"/>
      <c r="K309" s="28"/>
      <c r="L309" s="28"/>
    </row>
    <row r="310" spans="1:12" ht="15.75" customHeight="1" thickBot="1" x14ac:dyDescent="0.3">
      <c r="A310" s="9" t="s">
        <v>98</v>
      </c>
      <c r="B310" s="300"/>
      <c r="C310" s="47">
        <v>142</v>
      </c>
      <c r="D310" s="11">
        <v>136</v>
      </c>
      <c r="E310" s="47">
        <v>150</v>
      </c>
      <c r="F310" s="28"/>
      <c r="G310" s="28"/>
      <c r="H310" s="3"/>
      <c r="I310" s="28"/>
      <c r="J310" s="28"/>
      <c r="K310" s="28"/>
      <c r="L310" s="28"/>
    </row>
    <row r="311" spans="1:12" ht="15.75" customHeight="1" thickBot="1" x14ac:dyDescent="0.3">
      <c r="A311" s="9" t="s">
        <v>99</v>
      </c>
      <c r="B311" s="301"/>
      <c r="C311" s="47">
        <v>146</v>
      </c>
      <c r="D311" s="11">
        <v>146</v>
      </c>
      <c r="E311" s="47">
        <v>144</v>
      </c>
      <c r="F311" s="28"/>
      <c r="G311" s="28"/>
      <c r="H311" s="3"/>
      <c r="I311" s="28"/>
      <c r="J311" s="28"/>
      <c r="K311" s="28"/>
      <c r="L311" s="28"/>
    </row>
    <row r="312" spans="1:12" ht="15.75" customHeight="1" x14ac:dyDescent="0.2"/>
    <row r="313" spans="1:12" ht="15.75" customHeight="1" x14ac:dyDescent="0.2"/>
    <row r="314" spans="1:12" ht="15.75" customHeight="1" x14ac:dyDescent="0.2"/>
    <row r="315" spans="1:12" ht="15.75" customHeight="1" x14ac:dyDescent="0.2"/>
    <row r="316" spans="1:12" ht="15.75" customHeight="1" x14ac:dyDescent="0.2"/>
    <row r="317" spans="1:12" ht="15.75" customHeight="1" x14ac:dyDescent="0.2"/>
    <row r="318" spans="1:12" ht="15.75" customHeight="1" x14ac:dyDescent="0.2"/>
    <row r="319" spans="1:12" ht="15.75" customHeight="1" x14ac:dyDescent="0.2"/>
    <row r="320" spans="1:12"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113">
    <mergeCell ref="B307:B311"/>
    <mergeCell ref="B288:B290"/>
    <mergeCell ref="B292:B295"/>
    <mergeCell ref="B297:B299"/>
    <mergeCell ref="B301:B302"/>
    <mergeCell ref="B304:B305"/>
    <mergeCell ref="B266:B270"/>
    <mergeCell ref="B272:B273"/>
    <mergeCell ref="B275:B279"/>
    <mergeCell ref="B281:B283"/>
    <mergeCell ref="B285:B286"/>
    <mergeCell ref="A271:E271"/>
    <mergeCell ref="A280:E280"/>
    <mergeCell ref="A287:E287"/>
    <mergeCell ref="A296:E296"/>
    <mergeCell ref="A303:E303"/>
    <mergeCell ref="H246:K246"/>
    <mergeCell ref="M80:R85"/>
    <mergeCell ref="O105:O162"/>
    <mergeCell ref="B94:F94"/>
    <mergeCell ref="H94:K94"/>
    <mergeCell ref="H95:K95"/>
    <mergeCell ref="B96:F96"/>
    <mergeCell ref="H96:K96"/>
    <mergeCell ref="C110:C114"/>
    <mergeCell ref="C116:C120"/>
    <mergeCell ref="G184:L184"/>
    <mergeCell ref="G185:I185"/>
    <mergeCell ref="J185:L185"/>
    <mergeCell ref="H80:K80"/>
    <mergeCell ref="I109:K109"/>
    <mergeCell ref="L109:N109"/>
    <mergeCell ref="H171:K171"/>
    <mergeCell ref="H172:K172"/>
    <mergeCell ref="H173:K173"/>
    <mergeCell ref="H64:K64"/>
    <mergeCell ref="H244:K244"/>
    <mergeCell ref="H245:K245"/>
    <mergeCell ref="C154:C155"/>
    <mergeCell ref="C157:C161"/>
    <mergeCell ref="B171:F171"/>
    <mergeCell ref="C125:C129"/>
    <mergeCell ref="C131:C133"/>
    <mergeCell ref="C135:C136"/>
    <mergeCell ref="C138:C140"/>
    <mergeCell ref="C142:C145"/>
    <mergeCell ref="H81:K81"/>
    <mergeCell ref="H82:K82"/>
    <mergeCell ref="I108:N108"/>
    <mergeCell ref="A104:O104"/>
    <mergeCell ref="B108:E108"/>
    <mergeCell ref="B80:F80"/>
    <mergeCell ref="B82:F82"/>
    <mergeCell ref="M64:R69"/>
    <mergeCell ref="H65:K65"/>
    <mergeCell ref="B66:F66"/>
    <mergeCell ref="H66:K66"/>
    <mergeCell ref="H6:M6"/>
    <mergeCell ref="C7:C11"/>
    <mergeCell ref="H7:J7"/>
    <mergeCell ref="K7:M7"/>
    <mergeCell ref="B12:E12"/>
    <mergeCell ref="B18:F18"/>
    <mergeCell ref="C13:C17"/>
    <mergeCell ref="C19:C20"/>
    <mergeCell ref="C51:C52"/>
    <mergeCell ref="B31:E31"/>
    <mergeCell ref="B50:F50"/>
    <mergeCell ref="C32:C33"/>
    <mergeCell ref="B34:F34"/>
    <mergeCell ref="C35:C37"/>
    <mergeCell ref="B38:E38"/>
    <mergeCell ref="C39:C42"/>
    <mergeCell ref="B43:F43"/>
    <mergeCell ref="B47:E47"/>
    <mergeCell ref="C44:C46"/>
    <mergeCell ref="C48:C49"/>
    <mergeCell ref="B213:B215"/>
    <mergeCell ref="B173:F173"/>
    <mergeCell ref="A183:B183"/>
    <mergeCell ref="C183:E183"/>
    <mergeCell ref="B185:B189"/>
    <mergeCell ref="B191:B195"/>
    <mergeCell ref="C147:C149"/>
    <mergeCell ref="C151:C152"/>
    <mergeCell ref="B5:E5"/>
    <mergeCell ref="C54:C58"/>
    <mergeCell ref="B53:F53"/>
    <mergeCell ref="B64:F64"/>
    <mergeCell ref="G259:I260"/>
    <mergeCell ref="J259:L260"/>
    <mergeCell ref="A259:E259"/>
    <mergeCell ref="C122:C123"/>
    <mergeCell ref="A257:B257"/>
    <mergeCell ref="C257:E257"/>
    <mergeCell ref="G258:L258"/>
    <mergeCell ref="B260:B264"/>
    <mergeCell ref="B21:E21"/>
    <mergeCell ref="C22:C26"/>
    <mergeCell ref="B27:F27"/>
    <mergeCell ref="C28:C30"/>
    <mergeCell ref="B217:B220"/>
    <mergeCell ref="D244:F244"/>
    <mergeCell ref="B246:F246"/>
    <mergeCell ref="B222:B224"/>
    <mergeCell ref="B226:B227"/>
    <mergeCell ref="B229:B230"/>
    <mergeCell ref="B232:B236"/>
    <mergeCell ref="B244:C244"/>
    <mergeCell ref="B197:B198"/>
    <mergeCell ref="B200:B204"/>
    <mergeCell ref="B206:B208"/>
    <mergeCell ref="B210:B211"/>
  </mergeCells>
  <pageMargins left="0.7" right="0.7" top="0.75" bottom="0.75" header="0" footer="0"/>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P1000"/>
  <sheetViews>
    <sheetView workbookViewId="0"/>
  </sheetViews>
  <sheetFormatPr baseColWidth="10" defaultColWidth="12.625" defaultRowHeight="15" customHeight="1" x14ac:dyDescent="0.2"/>
  <cols>
    <col min="1" max="26" width="10" customWidth="1"/>
  </cols>
  <sheetData>
    <row r="2" spans="1:16" x14ac:dyDescent="0.25">
      <c r="B2" s="28" t="s">
        <v>303</v>
      </c>
      <c r="C2" s="28"/>
      <c r="D2" s="28"/>
      <c r="E2" s="28"/>
      <c r="F2" s="28"/>
      <c r="G2" s="28"/>
      <c r="H2" s="28"/>
      <c r="I2" s="28"/>
      <c r="J2" s="28"/>
      <c r="K2" s="28"/>
    </row>
    <row r="3" spans="1:16" x14ac:dyDescent="0.25">
      <c r="B3" s="28"/>
      <c r="C3" s="23"/>
      <c r="D3" s="23"/>
      <c r="E3" s="23"/>
      <c r="F3" s="23"/>
      <c r="G3" s="28"/>
      <c r="H3" s="28"/>
      <c r="I3" s="28"/>
      <c r="J3" s="28"/>
      <c r="K3" s="28"/>
    </row>
    <row r="4" spans="1:16" x14ac:dyDescent="0.25">
      <c r="B4" s="332" t="s">
        <v>851</v>
      </c>
      <c r="C4" s="297"/>
      <c r="D4" s="297"/>
      <c r="E4" s="297"/>
      <c r="F4" s="297"/>
    </row>
    <row r="5" spans="1:16" ht="36" x14ac:dyDescent="0.2">
      <c r="B5" s="4" t="s">
        <v>0</v>
      </c>
      <c r="C5" s="5" t="s">
        <v>1</v>
      </c>
      <c r="D5" s="5" t="s">
        <v>42</v>
      </c>
      <c r="E5" s="5" t="s">
        <v>43</v>
      </c>
      <c r="F5" s="5" t="s">
        <v>44</v>
      </c>
      <c r="H5" s="296" t="s">
        <v>45</v>
      </c>
      <c r="I5" s="297"/>
      <c r="J5" s="297"/>
      <c r="K5" s="298"/>
    </row>
    <row r="6" spans="1:16" ht="14.25" x14ac:dyDescent="0.2">
      <c r="B6" s="310" t="s">
        <v>275</v>
      </c>
      <c r="C6" s="297"/>
      <c r="D6" s="297"/>
      <c r="E6" s="297"/>
      <c r="F6" s="306"/>
      <c r="H6" s="305" t="s">
        <v>275</v>
      </c>
      <c r="I6" s="297"/>
      <c r="J6" s="297"/>
      <c r="K6" s="298"/>
    </row>
    <row r="7" spans="1:16" ht="14.25" x14ac:dyDescent="0.2">
      <c r="B7" s="9" t="s">
        <v>11</v>
      </c>
      <c r="C7" s="12" t="s">
        <v>12</v>
      </c>
      <c r="D7" s="17">
        <v>860</v>
      </c>
      <c r="E7" s="22">
        <v>860</v>
      </c>
      <c r="F7" s="11">
        <v>780</v>
      </c>
      <c r="H7" s="12"/>
      <c r="I7" s="12" t="s">
        <v>52</v>
      </c>
      <c r="J7" s="12" t="s">
        <v>53</v>
      </c>
      <c r="K7" s="12"/>
    </row>
    <row r="8" spans="1:16" ht="14.25" x14ac:dyDescent="0.2">
      <c r="B8" s="9" t="s">
        <v>11</v>
      </c>
      <c r="C8" s="12" t="s">
        <v>18</v>
      </c>
      <c r="D8" s="17">
        <v>0</v>
      </c>
      <c r="E8" s="22">
        <v>0</v>
      </c>
      <c r="F8" s="11">
        <v>0</v>
      </c>
      <c r="H8" s="12" t="s">
        <v>12</v>
      </c>
      <c r="I8" s="17">
        <v>860</v>
      </c>
      <c r="J8" s="11">
        <v>780</v>
      </c>
      <c r="K8" s="17" t="s">
        <v>1100</v>
      </c>
    </row>
    <row r="9" spans="1:16" ht="25.5" x14ac:dyDescent="0.2">
      <c r="B9" s="9" t="s">
        <v>21</v>
      </c>
      <c r="C9" s="12" t="s">
        <v>59</v>
      </c>
      <c r="D9" s="17">
        <v>440</v>
      </c>
      <c r="E9" s="22">
        <v>780</v>
      </c>
      <c r="F9" s="11">
        <v>445</v>
      </c>
      <c r="H9" s="12" t="s">
        <v>18</v>
      </c>
      <c r="I9" s="24">
        <v>0</v>
      </c>
      <c r="J9" s="25">
        <v>0</v>
      </c>
      <c r="K9" s="24" t="s">
        <v>1101</v>
      </c>
    </row>
    <row r="10" spans="1:16" ht="25.5" x14ac:dyDescent="0.2">
      <c r="B10" s="12" t="s">
        <v>21</v>
      </c>
      <c r="C10" s="12" t="s">
        <v>63</v>
      </c>
      <c r="D10" s="24">
        <v>160</v>
      </c>
      <c r="E10" s="26">
        <v>271</v>
      </c>
      <c r="F10" s="25">
        <v>153</v>
      </c>
      <c r="H10" s="330"/>
      <c r="I10" s="315"/>
      <c r="J10" s="315"/>
      <c r="K10" s="315"/>
    </row>
    <row r="11" spans="1:16" x14ac:dyDescent="0.25">
      <c r="A11" s="28"/>
      <c r="B11" s="329"/>
      <c r="C11" s="315"/>
      <c r="D11" s="315"/>
      <c r="E11" s="315"/>
      <c r="F11" s="315"/>
      <c r="G11" s="28"/>
      <c r="H11" s="27"/>
      <c r="I11" s="27"/>
      <c r="J11" s="31"/>
      <c r="K11" s="27"/>
      <c r="L11" s="28"/>
    </row>
    <row r="13" spans="1:16" x14ac:dyDescent="0.25">
      <c r="A13" s="29"/>
      <c r="B13" s="29"/>
      <c r="C13" s="29"/>
      <c r="D13" s="29"/>
      <c r="E13" s="29"/>
      <c r="F13" s="29"/>
      <c r="G13" s="29"/>
      <c r="H13" s="29"/>
      <c r="I13" s="29"/>
      <c r="J13" s="29"/>
      <c r="K13" s="29"/>
      <c r="L13" s="29"/>
      <c r="M13" s="29"/>
      <c r="N13" s="29"/>
      <c r="O13" s="29"/>
      <c r="P13" s="29"/>
    </row>
    <row r="15" spans="1:16" x14ac:dyDescent="0.25">
      <c r="B15" s="332" t="s">
        <v>1105</v>
      </c>
      <c r="C15" s="297"/>
      <c r="D15" s="297"/>
      <c r="E15" s="297"/>
      <c r="F15" s="297"/>
    </row>
    <row r="16" spans="1:16" ht="36" x14ac:dyDescent="0.2">
      <c r="B16" s="4" t="s">
        <v>0</v>
      </c>
      <c r="C16" s="5" t="s">
        <v>1</v>
      </c>
      <c r="D16" s="5" t="s">
        <v>42</v>
      </c>
      <c r="E16" s="5" t="s">
        <v>43</v>
      </c>
      <c r="F16" s="5" t="s">
        <v>44</v>
      </c>
      <c r="H16" s="296" t="s">
        <v>45</v>
      </c>
      <c r="I16" s="297"/>
      <c r="J16" s="297"/>
      <c r="K16" s="298"/>
      <c r="M16" s="388" t="s">
        <v>1107</v>
      </c>
      <c r="N16" s="334"/>
      <c r="O16" s="334"/>
      <c r="P16" s="335"/>
    </row>
    <row r="17" spans="1:16" ht="15.75" customHeight="1" x14ac:dyDescent="0.2">
      <c r="B17" s="310" t="s">
        <v>275</v>
      </c>
      <c r="C17" s="297"/>
      <c r="D17" s="297"/>
      <c r="E17" s="297"/>
      <c r="F17" s="306"/>
      <c r="H17" s="305" t="s">
        <v>275</v>
      </c>
      <c r="I17" s="297"/>
      <c r="J17" s="297"/>
      <c r="K17" s="298"/>
      <c r="M17" s="389" t="s">
        <v>1109</v>
      </c>
      <c r="N17" s="390"/>
      <c r="O17" s="390"/>
      <c r="P17" s="391"/>
    </row>
    <row r="18" spans="1:16" ht="14.25" x14ac:dyDescent="0.2">
      <c r="B18" s="9" t="s">
        <v>11</v>
      </c>
      <c r="C18" s="12" t="s">
        <v>12</v>
      </c>
      <c r="D18" s="17">
        <v>780</v>
      </c>
      <c r="E18" s="22">
        <v>807</v>
      </c>
      <c r="F18" s="11">
        <v>880</v>
      </c>
      <c r="H18" s="12"/>
      <c r="I18" s="12" t="s">
        <v>52</v>
      </c>
      <c r="J18" s="12" t="s">
        <v>53</v>
      </c>
      <c r="K18" s="12"/>
      <c r="M18" s="392"/>
      <c r="N18" s="315"/>
      <c r="O18" s="315"/>
      <c r="P18" s="393"/>
    </row>
    <row r="19" spans="1:16" ht="14.25" x14ac:dyDescent="0.2">
      <c r="B19" s="9" t="s">
        <v>11</v>
      </c>
      <c r="C19" s="12" t="s">
        <v>18</v>
      </c>
      <c r="D19" s="17">
        <v>0</v>
      </c>
      <c r="E19" s="22">
        <v>0</v>
      </c>
      <c r="F19" s="11">
        <v>0</v>
      </c>
      <c r="H19" s="12" t="s">
        <v>12</v>
      </c>
      <c r="I19" s="17">
        <v>780</v>
      </c>
      <c r="J19" s="17">
        <v>880</v>
      </c>
      <c r="K19" s="17" t="s">
        <v>1113</v>
      </c>
      <c r="M19" s="392"/>
      <c r="N19" s="315"/>
      <c r="O19" s="315"/>
      <c r="P19" s="393"/>
    </row>
    <row r="20" spans="1:16" ht="25.5" x14ac:dyDescent="0.2">
      <c r="B20" s="9" t="s">
        <v>21</v>
      </c>
      <c r="C20" s="12" t="s">
        <v>59</v>
      </c>
      <c r="D20" s="17">
        <v>440</v>
      </c>
      <c r="E20" s="22">
        <v>401</v>
      </c>
      <c r="F20" s="11">
        <v>437</v>
      </c>
      <c r="H20" s="12" t="s">
        <v>18</v>
      </c>
      <c r="I20" s="24">
        <v>0</v>
      </c>
      <c r="J20" s="24">
        <v>0</v>
      </c>
      <c r="K20" s="24" t="s">
        <v>1114</v>
      </c>
      <c r="M20" s="392"/>
      <c r="N20" s="315"/>
      <c r="O20" s="315"/>
      <c r="P20" s="393"/>
    </row>
    <row r="21" spans="1:16" ht="15.75" customHeight="1" x14ac:dyDescent="0.2">
      <c r="B21" s="12" t="s">
        <v>21</v>
      </c>
      <c r="C21" s="12" t="s">
        <v>63</v>
      </c>
      <c r="D21" s="24">
        <v>160</v>
      </c>
      <c r="E21" s="26">
        <v>167</v>
      </c>
      <c r="F21" s="25">
        <v>161</v>
      </c>
      <c r="H21" s="202"/>
      <c r="I21" s="202"/>
      <c r="J21" s="202"/>
      <c r="K21" s="202"/>
      <c r="M21" s="394"/>
      <c r="N21" s="395"/>
      <c r="O21" s="395"/>
      <c r="P21" s="396"/>
    </row>
    <row r="22" spans="1:16" ht="15.75" customHeight="1" x14ac:dyDescent="0.2"/>
    <row r="23" spans="1:16" ht="15.75" customHeight="1" x14ac:dyDescent="0.25">
      <c r="A23" s="29"/>
      <c r="B23" s="29"/>
      <c r="C23" s="29"/>
      <c r="D23" s="29"/>
      <c r="E23" s="29"/>
      <c r="F23" s="29"/>
      <c r="G23" s="29"/>
      <c r="H23" s="29"/>
      <c r="I23" s="29"/>
      <c r="J23" s="29"/>
      <c r="K23" s="29"/>
      <c r="L23" s="29"/>
      <c r="M23" s="29"/>
      <c r="N23" s="29"/>
      <c r="O23" s="29"/>
      <c r="P23" s="29"/>
    </row>
    <row r="24" spans="1:16" ht="15.75" customHeight="1" x14ac:dyDescent="0.2"/>
    <row r="25" spans="1:16" ht="15.75" customHeight="1" x14ac:dyDescent="0.2"/>
    <row r="26" spans="1:16" ht="15.75" customHeight="1" x14ac:dyDescent="0.2"/>
    <row r="27" spans="1:16" ht="15.75" customHeight="1" x14ac:dyDescent="0.2"/>
    <row r="28" spans="1:16" ht="15.75" customHeight="1" x14ac:dyDescent="0.2"/>
    <row r="29" spans="1:16" ht="15.75" customHeight="1" x14ac:dyDescent="0.2"/>
    <row r="30" spans="1:16" ht="15.75" customHeight="1" x14ac:dyDescent="0.2"/>
    <row r="31" spans="1:16" ht="15.75" customHeight="1" x14ac:dyDescent="0.2"/>
    <row r="32" spans="1:1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2">
    <mergeCell ref="B11:F11"/>
    <mergeCell ref="B15:F15"/>
    <mergeCell ref="B4:F4"/>
    <mergeCell ref="H5:K5"/>
    <mergeCell ref="B6:F6"/>
    <mergeCell ref="H6:K6"/>
    <mergeCell ref="H10:K10"/>
    <mergeCell ref="H16:K16"/>
    <mergeCell ref="M16:P16"/>
    <mergeCell ref="M17:P21"/>
    <mergeCell ref="B17:F17"/>
    <mergeCell ref="H17:K17"/>
  </mergeCells>
  <pageMargins left="0.7" right="0.7" top="0.75" bottom="0.75" header="0" footer="0"/>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Z1000"/>
  <sheetViews>
    <sheetView workbookViewId="0"/>
  </sheetViews>
  <sheetFormatPr baseColWidth="10" defaultColWidth="12.625" defaultRowHeight="15" customHeight="1" x14ac:dyDescent="0.2"/>
  <cols>
    <col min="1" max="26" width="10" customWidth="1"/>
  </cols>
  <sheetData>
    <row r="1" spans="1:14" x14ac:dyDescent="0.25">
      <c r="D1" s="184"/>
    </row>
    <row r="2" spans="1:14" x14ac:dyDescent="0.25">
      <c r="B2" s="28" t="s">
        <v>1104</v>
      </c>
      <c r="C2" s="28"/>
      <c r="D2" s="184"/>
      <c r="E2" s="28"/>
      <c r="F2" s="28"/>
      <c r="G2" s="28"/>
      <c r="H2" s="28"/>
      <c r="I2" s="28"/>
      <c r="J2" s="28"/>
      <c r="K2" s="28"/>
      <c r="L2" s="28"/>
      <c r="M2" s="28"/>
    </row>
    <row r="3" spans="1:14" x14ac:dyDescent="0.25">
      <c r="B3" s="28"/>
      <c r="C3" s="23"/>
      <c r="D3" s="185"/>
      <c r="E3" s="23"/>
      <c r="F3" s="23"/>
      <c r="G3" s="23"/>
      <c r="H3" s="28"/>
      <c r="I3" s="28"/>
      <c r="J3" s="28"/>
      <c r="K3" s="28"/>
      <c r="L3" s="28"/>
      <c r="M3" s="28"/>
    </row>
    <row r="4" spans="1:14" x14ac:dyDescent="0.25">
      <c r="B4" s="332" t="s">
        <v>851</v>
      </c>
      <c r="C4" s="297"/>
      <c r="D4" s="297"/>
      <c r="E4" s="297"/>
      <c r="F4" s="297"/>
      <c r="G4" s="298"/>
    </row>
    <row r="5" spans="1:14" ht="36" x14ac:dyDescent="0.2">
      <c r="B5" s="4" t="s">
        <v>0</v>
      </c>
      <c r="C5" s="5" t="s">
        <v>1</v>
      </c>
      <c r="D5" s="186" t="s">
        <v>42</v>
      </c>
      <c r="E5" s="5" t="s">
        <v>43</v>
      </c>
      <c r="F5" s="5" t="s">
        <v>44</v>
      </c>
      <c r="G5" s="7" t="s">
        <v>206</v>
      </c>
      <c r="J5" s="296" t="s">
        <v>45</v>
      </c>
      <c r="K5" s="297"/>
      <c r="L5" s="297"/>
      <c r="M5" s="298"/>
    </row>
    <row r="6" spans="1:14" ht="14.25" x14ac:dyDescent="0.2">
      <c r="B6" s="310" t="s">
        <v>275</v>
      </c>
      <c r="C6" s="297"/>
      <c r="D6" s="297"/>
      <c r="E6" s="297"/>
      <c r="F6" s="297"/>
      <c r="G6" s="298"/>
      <c r="J6" s="305" t="s">
        <v>275</v>
      </c>
      <c r="K6" s="297"/>
      <c r="L6" s="297"/>
      <c r="M6" s="298"/>
    </row>
    <row r="7" spans="1:14" ht="14.25" x14ac:dyDescent="0.2">
      <c r="B7" s="9" t="s">
        <v>11</v>
      </c>
      <c r="C7" s="12" t="s">
        <v>12</v>
      </c>
      <c r="D7" s="187">
        <v>530</v>
      </c>
      <c r="E7" s="22">
        <v>534</v>
      </c>
      <c r="F7" s="11">
        <v>520</v>
      </c>
      <c r="G7" s="110"/>
      <c r="J7" s="12"/>
      <c r="K7" s="12" t="s">
        <v>52</v>
      </c>
      <c r="L7" s="12" t="s">
        <v>53</v>
      </c>
      <c r="M7" s="12"/>
    </row>
    <row r="8" spans="1:14" ht="14.25" x14ac:dyDescent="0.2">
      <c r="B8" s="9" t="s">
        <v>11</v>
      </c>
      <c r="C8" s="12" t="s">
        <v>18</v>
      </c>
      <c r="D8" s="187">
        <v>0</v>
      </c>
      <c r="E8" s="22">
        <v>0</v>
      </c>
      <c r="F8" s="11">
        <v>0</v>
      </c>
      <c r="G8" s="110"/>
      <c r="J8" s="12" t="s">
        <v>12</v>
      </c>
      <c r="K8" s="17">
        <v>530</v>
      </c>
      <c r="L8" s="11">
        <v>520</v>
      </c>
      <c r="M8" s="17" t="s">
        <v>1110</v>
      </c>
    </row>
    <row r="9" spans="1:14" ht="25.5" x14ac:dyDescent="0.2">
      <c r="B9" s="9" t="s">
        <v>21</v>
      </c>
      <c r="C9" s="12" t="s">
        <v>59</v>
      </c>
      <c r="D9" s="187">
        <v>440</v>
      </c>
      <c r="E9" s="22">
        <v>417</v>
      </c>
      <c r="F9" s="11">
        <v>441</v>
      </c>
      <c r="G9" s="110"/>
      <c r="J9" s="12" t="s">
        <v>18</v>
      </c>
      <c r="K9" s="24">
        <v>0</v>
      </c>
      <c r="L9" s="25">
        <v>0</v>
      </c>
      <c r="M9" s="24" t="s">
        <v>1111</v>
      </c>
    </row>
    <row r="10" spans="1:14" ht="25.5" x14ac:dyDescent="0.2">
      <c r="B10" s="12" t="s">
        <v>21</v>
      </c>
      <c r="C10" s="12" t="s">
        <v>63</v>
      </c>
      <c r="D10" s="227">
        <v>160</v>
      </c>
      <c r="E10" s="26">
        <v>153</v>
      </c>
      <c r="F10" s="25">
        <v>160</v>
      </c>
      <c r="G10" s="148"/>
      <c r="J10" s="330"/>
      <c r="K10" s="315"/>
      <c r="L10" s="315"/>
      <c r="M10" s="315"/>
    </row>
    <row r="11" spans="1:14" x14ac:dyDescent="0.25">
      <c r="B11" s="329"/>
      <c r="C11" s="315"/>
      <c r="D11" s="315"/>
      <c r="E11" s="315"/>
      <c r="F11" s="315"/>
      <c r="G11" s="315"/>
      <c r="H11" s="28"/>
      <c r="I11" s="28"/>
      <c r="J11" s="27"/>
      <c r="K11" s="27"/>
      <c r="L11" s="31"/>
      <c r="M11" s="27"/>
      <c r="N11" s="28"/>
    </row>
    <row r="12" spans="1:14" x14ac:dyDescent="0.25">
      <c r="D12" s="184"/>
    </row>
    <row r="13" spans="1:14" x14ac:dyDescent="0.25">
      <c r="D13" s="184"/>
    </row>
    <row r="14" spans="1:14" x14ac:dyDescent="0.25">
      <c r="D14" s="184"/>
    </row>
    <row r="15" spans="1:14" x14ac:dyDescent="0.25">
      <c r="A15" s="21" t="s">
        <v>1112</v>
      </c>
      <c r="D15" s="184"/>
    </row>
    <row r="16" spans="1:14" x14ac:dyDescent="0.25">
      <c r="D16" s="184"/>
    </row>
    <row r="17" spans="2:14" x14ac:dyDescent="0.25">
      <c r="D17" s="184"/>
    </row>
    <row r="18" spans="2:14" x14ac:dyDescent="0.25">
      <c r="D18" s="184"/>
    </row>
    <row r="19" spans="2:14" x14ac:dyDescent="0.25">
      <c r="B19" s="304" t="s">
        <v>662</v>
      </c>
      <c r="C19" s="297"/>
      <c r="D19" s="297"/>
      <c r="E19" s="297"/>
      <c r="F19" s="154"/>
      <c r="J19" s="3"/>
    </row>
    <row r="20" spans="2:14" ht="24" x14ac:dyDescent="0.2">
      <c r="B20" s="4" t="s">
        <v>0</v>
      </c>
      <c r="C20" s="5" t="s">
        <v>1</v>
      </c>
      <c r="D20" s="186" t="s">
        <v>2</v>
      </c>
      <c r="E20" s="5" t="s">
        <v>43</v>
      </c>
      <c r="F20" s="45" t="s">
        <v>125</v>
      </c>
      <c r="H20" s="296" t="s">
        <v>6</v>
      </c>
      <c r="I20" s="297"/>
      <c r="J20" s="297"/>
      <c r="K20" s="297"/>
      <c r="L20" s="297"/>
      <c r="M20" s="297"/>
      <c r="N20" s="298"/>
    </row>
    <row r="21" spans="2:14" ht="15.75" customHeight="1" x14ac:dyDescent="0.2">
      <c r="B21" s="9" t="s">
        <v>7</v>
      </c>
      <c r="C21" s="302" t="s">
        <v>9</v>
      </c>
      <c r="D21" s="47">
        <v>28.1</v>
      </c>
      <c r="E21" s="11">
        <v>14</v>
      </c>
      <c r="F21" s="11"/>
      <c r="H21" s="296" t="s">
        <v>106</v>
      </c>
      <c r="I21" s="297"/>
      <c r="J21" s="297"/>
      <c r="K21" s="298"/>
      <c r="L21" s="296" t="s">
        <v>107</v>
      </c>
      <c r="M21" s="297"/>
      <c r="N21" s="298"/>
    </row>
    <row r="22" spans="2:14" ht="15.75" customHeight="1" x14ac:dyDescent="0.2">
      <c r="B22" s="9" t="s">
        <v>17</v>
      </c>
      <c r="C22" s="300"/>
      <c r="D22" s="47">
        <v>63.911000000000001</v>
      </c>
      <c r="E22" s="11">
        <v>25</v>
      </c>
      <c r="F22" s="11"/>
      <c r="H22" s="13" t="s">
        <v>13</v>
      </c>
      <c r="I22" s="228"/>
      <c r="J22" s="39">
        <f>J24+(J24*0.05)</f>
        <v>682.5</v>
      </c>
      <c r="K22" s="17" t="s">
        <v>1117</v>
      </c>
      <c r="L22" s="13" t="s">
        <v>13</v>
      </c>
      <c r="M22" s="39">
        <f>M24+M24*0.05</f>
        <v>651</v>
      </c>
      <c r="N22" s="17" t="s">
        <v>1118</v>
      </c>
    </row>
    <row r="23" spans="2:14" ht="15.75" customHeight="1" x14ac:dyDescent="0.2">
      <c r="B23" s="9" t="s">
        <v>26</v>
      </c>
      <c r="C23" s="300"/>
      <c r="D23" s="47">
        <v>69.921999999999997</v>
      </c>
      <c r="E23" s="11">
        <v>28</v>
      </c>
      <c r="F23" s="11"/>
      <c r="H23" s="13" t="s">
        <v>19</v>
      </c>
      <c r="I23" s="228"/>
      <c r="J23" s="40">
        <f>J24-(J24*0.05)</f>
        <v>617.5</v>
      </c>
      <c r="K23" s="17" t="s">
        <v>1120</v>
      </c>
      <c r="L23" s="13" t="s">
        <v>19</v>
      </c>
      <c r="M23" s="40">
        <f>M24-M24*0.05</f>
        <v>589</v>
      </c>
      <c r="N23" s="17" t="s">
        <v>1122</v>
      </c>
    </row>
    <row r="24" spans="2:14" ht="15.75" customHeight="1" x14ac:dyDescent="0.2">
      <c r="B24" s="9" t="s">
        <v>32</v>
      </c>
      <c r="C24" s="300"/>
      <c r="D24" s="47">
        <v>96.744</v>
      </c>
      <c r="E24" s="11">
        <v>62</v>
      </c>
      <c r="F24" s="11"/>
      <c r="H24" s="13" t="s">
        <v>27</v>
      </c>
      <c r="I24" s="228"/>
      <c r="J24" s="20">
        <v>650</v>
      </c>
      <c r="K24" s="17" t="s">
        <v>1124</v>
      </c>
      <c r="L24" s="13" t="s">
        <v>27</v>
      </c>
      <c r="M24" s="20">
        <v>620</v>
      </c>
      <c r="N24" s="17" t="s">
        <v>1125</v>
      </c>
    </row>
    <row r="25" spans="2:14" ht="15.75" customHeight="1" x14ac:dyDescent="0.2">
      <c r="B25" s="9" t="s">
        <v>33</v>
      </c>
      <c r="C25" s="301"/>
      <c r="D25" s="47">
        <v>128.11000000000001</v>
      </c>
      <c r="E25" s="11">
        <v>118</v>
      </c>
      <c r="F25" s="11"/>
      <c r="H25" s="13" t="s">
        <v>121</v>
      </c>
      <c r="I25" s="228"/>
      <c r="J25" s="20">
        <v>643</v>
      </c>
      <c r="K25" s="17" t="s">
        <v>1127</v>
      </c>
      <c r="L25" s="13" t="s">
        <v>121</v>
      </c>
      <c r="M25" s="20">
        <v>620</v>
      </c>
      <c r="N25" s="17" t="s">
        <v>1128</v>
      </c>
    </row>
    <row r="26" spans="2:14" ht="15.75" customHeight="1" x14ac:dyDescent="0.25">
      <c r="B26" s="296"/>
      <c r="C26" s="297"/>
      <c r="D26" s="297"/>
      <c r="E26" s="297"/>
      <c r="F26" s="11"/>
      <c r="J26" s="3"/>
    </row>
    <row r="27" spans="2:14" ht="15.75" customHeight="1" x14ac:dyDescent="0.25">
      <c r="B27" s="9" t="s">
        <v>35</v>
      </c>
      <c r="C27" s="302" t="s">
        <v>36</v>
      </c>
      <c r="D27" s="47">
        <v>207.78</v>
      </c>
      <c r="E27" s="11">
        <v>166</v>
      </c>
      <c r="F27" s="11"/>
      <c r="J27" s="3"/>
    </row>
    <row r="28" spans="2:14" ht="15.75" customHeight="1" x14ac:dyDescent="0.25">
      <c r="B28" s="9" t="s">
        <v>37</v>
      </c>
      <c r="C28" s="300"/>
      <c r="D28" s="47">
        <v>444.11</v>
      </c>
      <c r="E28" s="11">
        <v>220</v>
      </c>
      <c r="F28" s="11"/>
      <c r="J28" s="3"/>
    </row>
    <row r="29" spans="2:14" ht="15.75" customHeight="1" x14ac:dyDescent="0.25">
      <c r="B29" s="9" t="s">
        <v>38</v>
      </c>
      <c r="C29" s="300"/>
      <c r="D29" s="47">
        <v>579.55999999999995</v>
      </c>
      <c r="E29" s="11">
        <v>474</v>
      </c>
      <c r="F29" s="11"/>
      <c r="J29" s="3"/>
    </row>
    <row r="30" spans="2:14" ht="15.75" customHeight="1" x14ac:dyDescent="0.25">
      <c r="B30" s="9" t="s">
        <v>39</v>
      </c>
      <c r="C30" s="300"/>
      <c r="D30" s="47">
        <v>746.22</v>
      </c>
      <c r="E30" s="11">
        <v>636</v>
      </c>
      <c r="F30" s="11"/>
      <c r="J30" s="3"/>
    </row>
    <row r="31" spans="2:14" ht="15.75" customHeight="1" x14ac:dyDescent="0.25">
      <c r="B31" s="49" t="s">
        <v>41</v>
      </c>
      <c r="C31" s="300"/>
      <c r="D31" s="50">
        <v>869.5</v>
      </c>
      <c r="E31" s="51">
        <v>714</v>
      </c>
      <c r="F31" s="51"/>
      <c r="J31" s="3"/>
    </row>
    <row r="32" spans="2:14" ht="15.75" customHeight="1" x14ac:dyDescent="0.25">
      <c r="B32" s="308"/>
      <c r="C32" s="297"/>
      <c r="D32" s="297"/>
      <c r="E32" s="297"/>
      <c r="F32" s="306"/>
      <c r="J32" s="3"/>
    </row>
    <row r="33" spans="2:10" ht="15.75" customHeight="1" x14ac:dyDescent="0.25">
      <c r="B33" s="9" t="s">
        <v>46</v>
      </c>
      <c r="C33" s="299" t="s">
        <v>47</v>
      </c>
      <c r="D33" s="47">
        <v>88.4</v>
      </c>
      <c r="E33" s="11">
        <v>94</v>
      </c>
      <c r="F33" s="11"/>
      <c r="J33" s="3"/>
    </row>
    <row r="34" spans="2:10" ht="15.75" customHeight="1" x14ac:dyDescent="0.25">
      <c r="B34" s="9" t="s">
        <v>48</v>
      </c>
      <c r="C34" s="300"/>
      <c r="D34" s="47">
        <v>94.6</v>
      </c>
      <c r="E34" s="11">
        <v>98</v>
      </c>
      <c r="F34" s="11"/>
      <c r="J34" s="3"/>
    </row>
    <row r="35" spans="2:10" ht="15.75" customHeight="1" x14ac:dyDescent="0.25">
      <c r="B35" s="296"/>
      <c r="C35" s="297"/>
      <c r="D35" s="297"/>
      <c r="E35" s="297"/>
      <c r="F35" s="11"/>
      <c r="J35" s="3"/>
    </row>
    <row r="36" spans="2:10" ht="15.75" customHeight="1" x14ac:dyDescent="0.25">
      <c r="B36" s="9" t="s">
        <v>50</v>
      </c>
      <c r="C36" s="302" t="s">
        <v>51</v>
      </c>
      <c r="D36" s="47">
        <v>271.44400000000002</v>
      </c>
      <c r="E36" s="11">
        <v>190</v>
      </c>
      <c r="F36" s="11"/>
      <c r="J36" s="3"/>
    </row>
    <row r="37" spans="2:10" ht="15.75" customHeight="1" x14ac:dyDescent="0.25">
      <c r="B37" s="9" t="s">
        <v>54</v>
      </c>
      <c r="C37" s="300"/>
      <c r="D37" s="47">
        <v>550.22199999999998</v>
      </c>
      <c r="E37" s="11">
        <v>292</v>
      </c>
      <c r="F37" s="11"/>
      <c r="J37" s="3"/>
    </row>
    <row r="38" spans="2:10" ht="15.75" customHeight="1" x14ac:dyDescent="0.25">
      <c r="B38" s="9" t="s">
        <v>55</v>
      </c>
      <c r="C38" s="300"/>
      <c r="D38" s="47">
        <v>609</v>
      </c>
      <c r="E38" s="11">
        <v>663</v>
      </c>
      <c r="F38" s="11"/>
      <c r="J38" s="3"/>
    </row>
    <row r="39" spans="2:10" ht="15.75" customHeight="1" x14ac:dyDescent="0.25">
      <c r="B39" s="9" t="s">
        <v>56</v>
      </c>
      <c r="C39" s="300"/>
      <c r="D39" s="47">
        <v>739.11099999999999</v>
      </c>
      <c r="E39" s="11">
        <v>730</v>
      </c>
      <c r="F39" s="11"/>
      <c r="J39" s="3"/>
    </row>
    <row r="40" spans="2:10" ht="15.75" customHeight="1" x14ac:dyDescent="0.25">
      <c r="B40" s="49" t="s">
        <v>57</v>
      </c>
      <c r="C40" s="300"/>
      <c r="D40" s="50">
        <v>746.88900000000001</v>
      </c>
      <c r="E40" s="51">
        <v>608</v>
      </c>
      <c r="F40" s="51"/>
      <c r="J40" s="3"/>
    </row>
    <row r="41" spans="2:10" ht="15.75" customHeight="1" x14ac:dyDescent="0.25">
      <c r="B41" s="308"/>
      <c r="C41" s="297"/>
      <c r="D41" s="297"/>
      <c r="E41" s="297"/>
      <c r="F41" s="306"/>
      <c r="J41" s="3"/>
    </row>
    <row r="42" spans="2:10" ht="15.75" customHeight="1" x14ac:dyDescent="0.25">
      <c r="B42" s="9" t="s">
        <v>60</v>
      </c>
      <c r="C42" s="299" t="s">
        <v>62</v>
      </c>
      <c r="D42" s="47">
        <v>19.36</v>
      </c>
      <c r="E42" s="11">
        <v>14</v>
      </c>
      <c r="F42" s="11"/>
      <c r="J42" s="3"/>
    </row>
    <row r="43" spans="2:10" ht="15.75" customHeight="1" x14ac:dyDescent="0.25">
      <c r="B43" s="9" t="s">
        <v>64</v>
      </c>
      <c r="C43" s="300"/>
      <c r="D43" s="47">
        <v>33.31</v>
      </c>
      <c r="E43" s="11">
        <v>21</v>
      </c>
      <c r="F43" s="11"/>
      <c r="J43" s="3"/>
    </row>
    <row r="44" spans="2:10" ht="15.75" customHeight="1" x14ac:dyDescent="0.25">
      <c r="B44" s="9" t="s">
        <v>65</v>
      </c>
      <c r="C44" s="301"/>
      <c r="D44" s="47">
        <v>41.74</v>
      </c>
      <c r="E44" s="11">
        <v>16</v>
      </c>
      <c r="F44" s="11"/>
      <c r="J44" s="3"/>
    </row>
    <row r="45" spans="2:10" ht="15.75" customHeight="1" x14ac:dyDescent="0.25">
      <c r="B45" s="296"/>
      <c r="C45" s="297"/>
      <c r="D45" s="297"/>
      <c r="E45" s="297"/>
      <c r="F45" s="11"/>
      <c r="J45" s="3"/>
    </row>
    <row r="46" spans="2:10" ht="15.75" customHeight="1" x14ac:dyDescent="0.25">
      <c r="B46" s="9" t="s">
        <v>66</v>
      </c>
      <c r="C46" s="302" t="s">
        <v>68</v>
      </c>
      <c r="D46" s="47">
        <v>204.5</v>
      </c>
      <c r="E46" s="11">
        <v>205</v>
      </c>
      <c r="F46" s="11"/>
      <c r="J46" s="3"/>
    </row>
    <row r="47" spans="2:10" ht="15.75" customHeight="1" x14ac:dyDescent="0.25">
      <c r="B47" s="49" t="s">
        <v>69</v>
      </c>
      <c r="C47" s="300"/>
      <c r="D47" s="50">
        <v>277.7</v>
      </c>
      <c r="E47" s="51">
        <v>253</v>
      </c>
      <c r="F47" s="51"/>
      <c r="J47" s="3"/>
    </row>
    <row r="48" spans="2:10" ht="15.75" customHeight="1" x14ac:dyDescent="0.25">
      <c r="B48" s="305"/>
      <c r="C48" s="297"/>
      <c r="D48" s="297"/>
      <c r="E48" s="297"/>
      <c r="F48" s="306"/>
      <c r="J48" s="3"/>
    </row>
    <row r="49" spans="2:10" ht="15.75" customHeight="1" x14ac:dyDescent="0.25">
      <c r="B49" s="9" t="s">
        <v>69</v>
      </c>
      <c r="C49" s="299" t="s">
        <v>71</v>
      </c>
      <c r="D49" s="47">
        <v>10.283300000000001</v>
      </c>
      <c r="E49" s="11">
        <v>8</v>
      </c>
      <c r="F49" s="11"/>
      <c r="J49" s="3"/>
    </row>
    <row r="50" spans="2:10" ht="15.75" customHeight="1" x14ac:dyDescent="0.25">
      <c r="B50" s="9" t="s">
        <v>72</v>
      </c>
      <c r="C50" s="300"/>
      <c r="D50" s="47">
        <v>11.8833</v>
      </c>
      <c r="E50" s="11">
        <v>3</v>
      </c>
      <c r="F50" s="11"/>
      <c r="J50" s="3"/>
    </row>
    <row r="51" spans="2:10" ht="15.75" customHeight="1" x14ac:dyDescent="0.25">
      <c r="B51" s="9" t="s">
        <v>73</v>
      </c>
      <c r="C51" s="301"/>
      <c r="D51" s="47">
        <v>17.433299999999999</v>
      </c>
      <c r="E51" s="11">
        <v>6</v>
      </c>
      <c r="F51" s="11"/>
      <c r="J51" s="3"/>
    </row>
    <row r="52" spans="2:10" ht="15.75" customHeight="1" x14ac:dyDescent="0.25">
      <c r="B52" s="296"/>
      <c r="C52" s="297"/>
      <c r="D52" s="297"/>
      <c r="E52" s="297"/>
      <c r="F52" s="11"/>
      <c r="J52" s="3"/>
    </row>
    <row r="53" spans="2:10" ht="15.75" customHeight="1" x14ac:dyDescent="0.25">
      <c r="B53" s="9" t="s">
        <v>76</v>
      </c>
      <c r="C53" s="302" t="s">
        <v>77</v>
      </c>
      <c r="D53" s="47">
        <v>117.467</v>
      </c>
      <c r="E53" s="11">
        <v>165</v>
      </c>
      <c r="F53" s="11"/>
      <c r="J53" s="3"/>
    </row>
    <row r="54" spans="2:10" ht="15.75" customHeight="1" x14ac:dyDescent="0.25">
      <c r="B54" s="9" t="s">
        <v>78</v>
      </c>
      <c r="C54" s="300"/>
      <c r="D54" s="47">
        <v>187.833</v>
      </c>
      <c r="E54" s="11">
        <v>122</v>
      </c>
      <c r="F54" s="11"/>
      <c r="J54" s="3"/>
    </row>
    <row r="55" spans="2:10" ht="15.75" customHeight="1" x14ac:dyDescent="0.25">
      <c r="B55" s="9" t="s">
        <v>79</v>
      </c>
      <c r="C55" s="300"/>
      <c r="D55" s="47">
        <v>218.333</v>
      </c>
      <c r="E55" s="11">
        <v>200</v>
      </c>
      <c r="F55" s="11"/>
      <c r="J55" s="3"/>
    </row>
    <row r="56" spans="2:10" ht="15.75" customHeight="1" x14ac:dyDescent="0.25">
      <c r="B56" s="49" t="s">
        <v>80</v>
      </c>
      <c r="C56" s="300"/>
      <c r="D56" s="50">
        <v>238.5</v>
      </c>
      <c r="E56" s="51">
        <v>102</v>
      </c>
      <c r="F56" s="51"/>
      <c r="J56" s="3"/>
    </row>
    <row r="57" spans="2:10" ht="15.75" customHeight="1" x14ac:dyDescent="0.25">
      <c r="B57" s="305"/>
      <c r="C57" s="297"/>
      <c r="D57" s="297"/>
      <c r="E57" s="297"/>
      <c r="F57" s="306"/>
      <c r="J57" s="3"/>
    </row>
    <row r="58" spans="2:10" ht="15.75" customHeight="1" x14ac:dyDescent="0.25">
      <c r="B58" s="9" t="s">
        <v>81</v>
      </c>
      <c r="C58" s="299" t="s">
        <v>82</v>
      </c>
      <c r="D58" s="47">
        <v>2</v>
      </c>
      <c r="E58" s="11">
        <v>1</v>
      </c>
      <c r="F58" s="11"/>
      <c r="J58" s="3"/>
    </row>
    <row r="59" spans="2:10" ht="15.75" customHeight="1" x14ac:dyDescent="0.25">
      <c r="B59" s="9" t="s">
        <v>83</v>
      </c>
      <c r="C59" s="300"/>
      <c r="D59" s="47">
        <v>7.133</v>
      </c>
      <c r="E59" s="11">
        <v>9</v>
      </c>
      <c r="F59" s="11"/>
      <c r="J59" s="3"/>
    </row>
    <row r="60" spans="2:10" ht="15.75" customHeight="1" x14ac:dyDescent="0.25">
      <c r="B60" s="9" t="s">
        <v>84</v>
      </c>
      <c r="C60" s="301"/>
      <c r="D60" s="47">
        <v>10.72</v>
      </c>
      <c r="E60" s="11">
        <v>2</v>
      </c>
      <c r="F60" s="11"/>
      <c r="J60" s="3"/>
    </row>
    <row r="61" spans="2:10" ht="15.75" customHeight="1" x14ac:dyDescent="0.25">
      <c r="B61" s="296"/>
      <c r="C61" s="297"/>
      <c r="D61" s="297"/>
      <c r="E61" s="297"/>
      <c r="F61" s="11"/>
      <c r="J61" s="3"/>
    </row>
    <row r="62" spans="2:10" ht="15.75" customHeight="1" x14ac:dyDescent="0.25">
      <c r="B62" s="9" t="s">
        <v>86</v>
      </c>
      <c r="C62" s="302" t="s">
        <v>87</v>
      </c>
      <c r="D62" s="47">
        <v>20.466999999999999</v>
      </c>
      <c r="E62" s="11">
        <v>22</v>
      </c>
      <c r="F62" s="11"/>
      <c r="J62" s="3"/>
    </row>
    <row r="63" spans="2:10" ht="15.75" customHeight="1" x14ac:dyDescent="0.25">
      <c r="B63" s="49" t="s">
        <v>88</v>
      </c>
      <c r="C63" s="300"/>
      <c r="D63" s="50">
        <v>20.367000000000001</v>
      </c>
      <c r="E63" s="51">
        <v>21</v>
      </c>
      <c r="F63" s="51"/>
      <c r="J63" s="3"/>
    </row>
    <row r="64" spans="2:10" ht="15.75" customHeight="1" x14ac:dyDescent="0.25">
      <c r="B64" s="305"/>
      <c r="C64" s="297"/>
      <c r="D64" s="297"/>
      <c r="E64" s="297"/>
      <c r="F64" s="306"/>
      <c r="J64" s="3"/>
    </row>
    <row r="65" spans="1:16" ht="15.75" customHeight="1" x14ac:dyDescent="0.25">
      <c r="B65" s="9" t="s">
        <v>89</v>
      </c>
      <c r="C65" s="299" t="s">
        <v>90</v>
      </c>
      <c r="D65" s="47">
        <v>5.15</v>
      </c>
      <c r="E65" s="11">
        <v>7</v>
      </c>
      <c r="F65" s="11"/>
      <c r="J65" s="3"/>
    </row>
    <row r="66" spans="1:16" ht="15.75" customHeight="1" x14ac:dyDescent="0.25">
      <c r="B66" s="49" t="s">
        <v>91</v>
      </c>
      <c r="C66" s="300"/>
      <c r="D66" s="50">
        <v>16.2</v>
      </c>
      <c r="E66" s="51">
        <v>7</v>
      </c>
      <c r="F66" s="51"/>
      <c r="J66" s="3"/>
    </row>
    <row r="67" spans="1:16" ht="15.75" customHeight="1" x14ac:dyDescent="0.25">
      <c r="B67" s="296"/>
      <c r="C67" s="297"/>
      <c r="D67" s="297"/>
      <c r="E67" s="297"/>
      <c r="F67" s="298"/>
      <c r="J67" s="3"/>
    </row>
    <row r="68" spans="1:16" ht="15.75" customHeight="1" x14ac:dyDescent="0.25">
      <c r="B68" s="9" t="s">
        <v>94</v>
      </c>
      <c r="C68" s="299" t="s">
        <v>95</v>
      </c>
      <c r="D68" s="47">
        <v>50.082999999999998</v>
      </c>
      <c r="E68" s="11">
        <v>50</v>
      </c>
      <c r="F68" s="11"/>
      <c r="J68" s="3"/>
    </row>
    <row r="69" spans="1:16" ht="15.75" customHeight="1" x14ac:dyDescent="0.25">
      <c r="B69" s="9" t="s">
        <v>96</v>
      </c>
      <c r="C69" s="300"/>
      <c r="D69" s="47">
        <v>93.992999999999995</v>
      </c>
      <c r="E69" s="11">
        <v>116</v>
      </c>
      <c r="F69" s="11"/>
      <c r="J69" s="3"/>
    </row>
    <row r="70" spans="1:16" ht="15.75" customHeight="1" x14ac:dyDescent="0.25">
      <c r="B70" s="9" t="s">
        <v>97</v>
      </c>
      <c r="C70" s="300"/>
      <c r="D70" s="47">
        <v>95.516999999999996</v>
      </c>
      <c r="E70" s="11">
        <v>91</v>
      </c>
      <c r="F70" s="11"/>
      <c r="J70" s="3"/>
    </row>
    <row r="71" spans="1:16" ht="15.75" customHeight="1" x14ac:dyDescent="0.25">
      <c r="B71" s="9" t="s">
        <v>98</v>
      </c>
      <c r="C71" s="300"/>
      <c r="D71" s="47">
        <v>100.92</v>
      </c>
      <c r="E71" s="11">
        <v>105</v>
      </c>
      <c r="F71" s="11"/>
      <c r="J71" s="3"/>
    </row>
    <row r="72" spans="1:16" ht="15.75" customHeight="1" x14ac:dyDescent="0.25">
      <c r="B72" s="9" t="s">
        <v>99</v>
      </c>
      <c r="C72" s="301"/>
      <c r="D72" s="47">
        <v>115.37</v>
      </c>
      <c r="E72" s="11">
        <v>107</v>
      </c>
      <c r="F72" s="11"/>
      <c r="J72" s="3"/>
    </row>
    <row r="73" spans="1:16" ht="15.75" customHeight="1" x14ac:dyDescent="0.25">
      <c r="B73" s="1"/>
      <c r="C73" s="1"/>
      <c r="D73" s="189"/>
      <c r="E73" s="2"/>
      <c r="F73" s="146"/>
      <c r="J73" s="3"/>
    </row>
    <row r="74" spans="1:16" ht="15.75" customHeight="1" x14ac:dyDescent="0.25">
      <c r="D74" s="184"/>
    </row>
    <row r="75" spans="1:16" ht="15.75" customHeight="1" x14ac:dyDescent="0.25">
      <c r="A75" s="21" t="s">
        <v>1112</v>
      </c>
      <c r="D75" s="184"/>
    </row>
    <row r="76" spans="1:16" ht="15.75" customHeight="1" x14ac:dyDescent="0.25">
      <c r="D76" s="184"/>
    </row>
    <row r="77" spans="1:16" ht="15.75" customHeight="1" x14ac:dyDescent="0.25">
      <c r="D77" s="184"/>
    </row>
    <row r="78" spans="1:16" ht="15.75" customHeight="1" x14ac:dyDescent="0.25">
      <c r="D78" s="184"/>
    </row>
    <row r="79" spans="1:16" ht="15.75" customHeight="1" x14ac:dyDescent="0.25">
      <c r="B79" s="304" t="s">
        <v>662</v>
      </c>
      <c r="C79" s="297"/>
      <c r="D79" s="297"/>
      <c r="E79" s="297"/>
      <c r="F79" s="154"/>
      <c r="J79" s="3"/>
    </row>
    <row r="80" spans="1:16" ht="24.75" customHeight="1" x14ac:dyDescent="0.25">
      <c r="B80" s="4" t="s">
        <v>0</v>
      </c>
      <c r="C80" s="5" t="s">
        <v>1</v>
      </c>
      <c r="D80" s="186" t="s">
        <v>2</v>
      </c>
      <c r="E80" s="5" t="s">
        <v>43</v>
      </c>
      <c r="F80" s="45" t="s">
        <v>125</v>
      </c>
      <c r="G80" s="123"/>
      <c r="K80" s="296" t="s">
        <v>6</v>
      </c>
      <c r="L80" s="297"/>
      <c r="M80" s="297"/>
      <c r="N80" s="297"/>
      <c r="O80" s="297"/>
      <c r="P80" s="298"/>
    </row>
    <row r="81" spans="2:16" ht="15.75" customHeight="1" x14ac:dyDescent="0.25">
      <c r="B81" s="9" t="s">
        <v>7</v>
      </c>
      <c r="C81" s="302" t="s">
        <v>9</v>
      </c>
      <c r="D81" s="47">
        <v>28.1</v>
      </c>
      <c r="E81" s="11">
        <v>15</v>
      </c>
      <c r="F81" s="11">
        <v>27</v>
      </c>
      <c r="G81" s="123">
        <f t="shared" ref="G81:G85" si="0">ABS((1-E81/D81)*100)</f>
        <v>46.619217081850536</v>
      </c>
      <c r="H81" s="21">
        <f t="shared" ref="H81:H85" si="1">+IF(G81&gt;10,1,0)</f>
        <v>1</v>
      </c>
      <c r="I81" s="21">
        <f t="shared" ref="I81:I85" si="2">ABS((1-F81/D81)*100)</f>
        <v>3.9145907473309705</v>
      </c>
      <c r="J81" s="21">
        <f t="shared" ref="J81:J85" si="3">+IF(I81&gt;10,1,0)</f>
        <v>0</v>
      </c>
      <c r="K81" s="8" t="s">
        <v>106</v>
      </c>
      <c r="L81" s="181"/>
      <c r="M81" s="24"/>
      <c r="N81" s="8" t="s">
        <v>107</v>
      </c>
      <c r="O81" s="181"/>
      <c r="P81" s="24"/>
    </row>
    <row r="82" spans="2:16" ht="15.75" customHeight="1" x14ac:dyDescent="0.25">
      <c r="B82" s="9" t="s">
        <v>17</v>
      </c>
      <c r="C82" s="300"/>
      <c r="D82" s="47">
        <v>63.911000000000001</v>
      </c>
      <c r="E82" s="11">
        <v>28</v>
      </c>
      <c r="F82" s="11">
        <v>63</v>
      </c>
      <c r="G82" s="123">
        <f t="shared" si="0"/>
        <v>56.189075433024051</v>
      </c>
      <c r="H82" s="21">
        <f t="shared" si="1"/>
        <v>1</v>
      </c>
      <c r="I82" s="21">
        <f t="shared" si="2"/>
        <v>1.4254197243041111</v>
      </c>
      <c r="J82" s="21">
        <f t="shared" si="3"/>
        <v>0</v>
      </c>
      <c r="K82" s="13" t="s">
        <v>13</v>
      </c>
      <c r="L82" s="39">
        <f>L84+(L84*0.05)</f>
        <v>682.5</v>
      </c>
      <c r="M82" s="17" t="s">
        <v>1144</v>
      </c>
      <c r="N82" s="13" t="s">
        <v>13</v>
      </c>
      <c r="O82" s="39">
        <f>O84+O84*0.05</f>
        <v>785.05</v>
      </c>
      <c r="P82" s="17" t="s">
        <v>1146</v>
      </c>
    </row>
    <row r="83" spans="2:16" ht="15.75" customHeight="1" x14ac:dyDescent="0.25">
      <c r="B83" s="9" t="s">
        <v>26</v>
      </c>
      <c r="C83" s="300"/>
      <c r="D83" s="47">
        <v>69.921999999999997</v>
      </c>
      <c r="E83" s="11">
        <v>30</v>
      </c>
      <c r="F83" s="11">
        <v>72</v>
      </c>
      <c r="G83" s="123">
        <f t="shared" si="0"/>
        <v>57.095048768627898</v>
      </c>
      <c r="H83" s="21">
        <f t="shared" si="1"/>
        <v>1</v>
      </c>
      <c r="I83" s="21">
        <f t="shared" si="2"/>
        <v>2.9718829552930481</v>
      </c>
      <c r="J83" s="21">
        <f t="shared" si="3"/>
        <v>0</v>
      </c>
      <c r="K83" s="13" t="s">
        <v>19</v>
      </c>
      <c r="L83" s="40">
        <f>L84-(L84*0.05)</f>
        <v>617.5</v>
      </c>
      <c r="M83" s="17" t="s">
        <v>1151</v>
      </c>
      <c r="N83" s="13" t="s">
        <v>19</v>
      </c>
      <c r="O83" s="40">
        <f>O84-O84*0.05</f>
        <v>710.2833333333333</v>
      </c>
      <c r="P83" s="17" t="s">
        <v>1153</v>
      </c>
    </row>
    <row r="84" spans="2:16" ht="15.75" customHeight="1" x14ac:dyDescent="0.25">
      <c r="B84" s="9" t="s">
        <v>32</v>
      </c>
      <c r="C84" s="300"/>
      <c r="D84" s="47">
        <v>96.744</v>
      </c>
      <c r="E84" s="11">
        <v>57</v>
      </c>
      <c r="F84" s="11">
        <v>96</v>
      </c>
      <c r="G84" s="123">
        <f t="shared" si="0"/>
        <v>41.081617464648964</v>
      </c>
      <c r="H84" s="21">
        <f t="shared" si="1"/>
        <v>1</v>
      </c>
      <c r="I84" s="21">
        <f t="shared" si="2"/>
        <v>0.76903994046142454</v>
      </c>
      <c r="J84" s="21">
        <f t="shared" si="3"/>
        <v>0</v>
      </c>
      <c r="K84" s="13" t="s">
        <v>27</v>
      </c>
      <c r="L84" s="20">
        <v>650</v>
      </c>
      <c r="M84" s="17" t="s">
        <v>1155</v>
      </c>
      <c r="N84" s="13" t="s">
        <v>27</v>
      </c>
      <c r="O84" s="20">
        <f>+(N89+N90+N91)/3</f>
        <v>747.66666666666663</v>
      </c>
      <c r="P84" s="17" t="s">
        <v>1156</v>
      </c>
    </row>
    <row r="85" spans="2:16" ht="15.75" customHeight="1" x14ac:dyDescent="0.25">
      <c r="B85" s="9" t="s">
        <v>33</v>
      </c>
      <c r="C85" s="301"/>
      <c r="D85" s="47">
        <v>128.11000000000001</v>
      </c>
      <c r="E85" s="11">
        <v>116</v>
      </c>
      <c r="F85" s="11">
        <v>124</v>
      </c>
      <c r="G85" s="123">
        <f t="shared" si="0"/>
        <v>9.4528139879790913</v>
      </c>
      <c r="H85" s="21">
        <f t="shared" si="1"/>
        <v>0</v>
      </c>
      <c r="I85" s="21">
        <f t="shared" si="2"/>
        <v>3.2081804699086836</v>
      </c>
      <c r="J85" s="21">
        <f t="shared" si="3"/>
        <v>0</v>
      </c>
      <c r="K85" s="13" t="s">
        <v>121</v>
      </c>
      <c r="L85" s="20">
        <v>643</v>
      </c>
      <c r="M85" s="17" t="s">
        <v>1157</v>
      </c>
      <c r="N85" s="13" t="s">
        <v>121</v>
      </c>
      <c r="O85" s="20">
        <v>745</v>
      </c>
      <c r="P85" s="17" t="s">
        <v>1158</v>
      </c>
    </row>
    <row r="86" spans="2:16" ht="15.75" customHeight="1" x14ac:dyDescent="0.25">
      <c r="B86" s="296"/>
      <c r="C86" s="297"/>
      <c r="D86" s="297"/>
      <c r="E86" s="297"/>
      <c r="F86" s="11"/>
      <c r="G86" s="123"/>
    </row>
    <row r="87" spans="2:16" ht="15.75" customHeight="1" x14ac:dyDescent="0.25">
      <c r="B87" s="9" t="s">
        <v>35</v>
      </c>
      <c r="C87" s="302" t="s">
        <v>36</v>
      </c>
      <c r="D87" s="47">
        <v>207.78</v>
      </c>
      <c r="E87" s="11">
        <v>170</v>
      </c>
      <c r="F87" s="11">
        <v>205</v>
      </c>
      <c r="G87" s="123">
        <f t="shared" ref="G87:G91" si="4">ABS((1-E87/D87)*100)</f>
        <v>18.182693233227454</v>
      </c>
      <c r="H87" s="21">
        <f t="shared" ref="H87:H91" si="5">+IF(G87&gt;10,1,0)</f>
        <v>1</v>
      </c>
      <c r="I87" s="21">
        <f t="shared" ref="I87:I91" si="6">ABS((1-F87/D87)*100)</f>
        <v>1.3379536047742779</v>
      </c>
      <c r="J87" s="21">
        <f t="shared" ref="J87:J91" si="7">+IF(I87&gt;10,1,0)</f>
        <v>0</v>
      </c>
    </row>
    <row r="88" spans="2:16" ht="15.75" customHeight="1" x14ac:dyDescent="0.25">
      <c r="B88" s="9" t="s">
        <v>37</v>
      </c>
      <c r="C88" s="300"/>
      <c r="D88" s="47">
        <v>444.11</v>
      </c>
      <c r="E88" s="11">
        <v>207</v>
      </c>
      <c r="F88" s="11">
        <v>427</v>
      </c>
      <c r="G88" s="123">
        <f t="shared" si="4"/>
        <v>53.389925919254246</v>
      </c>
      <c r="H88" s="21">
        <f t="shared" si="5"/>
        <v>1</v>
      </c>
      <c r="I88" s="21">
        <f t="shared" si="6"/>
        <v>3.8526491184616485</v>
      </c>
      <c r="J88" s="21">
        <f t="shared" si="7"/>
        <v>0</v>
      </c>
    </row>
    <row r="89" spans="2:16" ht="15.75" customHeight="1" x14ac:dyDescent="0.25">
      <c r="B89" s="9" t="s">
        <v>38</v>
      </c>
      <c r="C89" s="300"/>
      <c r="D89" s="47">
        <v>579.55999999999995</v>
      </c>
      <c r="E89" s="11">
        <v>470</v>
      </c>
      <c r="F89" s="11">
        <v>580</v>
      </c>
      <c r="G89" s="123">
        <f t="shared" si="4"/>
        <v>18.903996134998955</v>
      </c>
      <c r="H89" s="21">
        <f t="shared" si="5"/>
        <v>1</v>
      </c>
      <c r="I89" s="21">
        <f t="shared" si="6"/>
        <v>7.591966319278054E-2</v>
      </c>
      <c r="J89" s="21">
        <f t="shared" si="7"/>
        <v>0</v>
      </c>
      <c r="N89" s="21">
        <v>747</v>
      </c>
    </row>
    <row r="90" spans="2:16" ht="15.75" customHeight="1" x14ac:dyDescent="0.25">
      <c r="B90" s="9" t="s">
        <v>39</v>
      </c>
      <c r="C90" s="300"/>
      <c r="D90" s="47">
        <v>746.22</v>
      </c>
      <c r="E90" s="11">
        <v>528</v>
      </c>
      <c r="F90" s="11">
        <v>756</v>
      </c>
      <c r="G90" s="123">
        <f t="shared" si="4"/>
        <v>29.24338666881081</v>
      </c>
      <c r="H90" s="21">
        <f t="shared" si="5"/>
        <v>1</v>
      </c>
      <c r="I90" s="21">
        <f t="shared" si="6"/>
        <v>1.3106054514754328</v>
      </c>
      <c r="J90" s="21">
        <f t="shared" si="7"/>
        <v>0</v>
      </c>
      <c r="N90" s="21">
        <v>758</v>
      </c>
    </row>
    <row r="91" spans="2:16" ht="15.75" customHeight="1" x14ac:dyDescent="0.25">
      <c r="B91" s="49" t="s">
        <v>41</v>
      </c>
      <c r="C91" s="300"/>
      <c r="D91" s="50">
        <v>869.5</v>
      </c>
      <c r="E91" s="51">
        <v>651</v>
      </c>
      <c r="F91" s="51">
        <v>867</v>
      </c>
      <c r="G91" s="123">
        <f t="shared" si="4"/>
        <v>25.129384703852786</v>
      </c>
      <c r="H91" s="21">
        <f t="shared" si="5"/>
        <v>1</v>
      </c>
      <c r="I91" s="21">
        <f t="shared" si="6"/>
        <v>0.28752156411731011</v>
      </c>
      <c r="J91" s="21">
        <f t="shared" si="7"/>
        <v>0</v>
      </c>
      <c r="N91" s="21">
        <v>738</v>
      </c>
    </row>
    <row r="92" spans="2:16" ht="15.75" customHeight="1" x14ac:dyDescent="0.25">
      <c r="B92" s="308"/>
      <c r="C92" s="297"/>
      <c r="D92" s="297"/>
      <c r="E92" s="297"/>
      <c r="F92" s="306"/>
      <c r="G92" s="123"/>
    </row>
    <row r="93" spans="2:16" ht="15.75" customHeight="1" x14ac:dyDescent="0.25">
      <c r="B93" s="9" t="s">
        <v>46</v>
      </c>
      <c r="C93" s="299" t="s">
        <v>47</v>
      </c>
      <c r="D93" s="47">
        <v>88.4</v>
      </c>
      <c r="E93" s="11">
        <v>71</v>
      </c>
      <c r="F93" s="11">
        <v>87</v>
      </c>
      <c r="G93" s="123">
        <f t="shared" ref="G93:G94" si="8">ABS((1-E93/D93)*100)</f>
        <v>19.683257918552044</v>
      </c>
      <c r="H93" s="21">
        <f t="shared" ref="H93:H94" si="9">+IF(G93&gt;10,1,0)</f>
        <v>1</v>
      </c>
      <c r="I93" s="21">
        <f t="shared" ref="I93:I94" si="10">ABS((1-F93/D93)*100)</f>
        <v>1.5837104072398245</v>
      </c>
      <c r="J93" s="21">
        <f t="shared" ref="J93:J94" si="11">+IF(I93&gt;10,1,0)</f>
        <v>0</v>
      </c>
    </row>
    <row r="94" spans="2:16" ht="15.75" customHeight="1" x14ac:dyDescent="0.25">
      <c r="B94" s="9" t="s">
        <v>48</v>
      </c>
      <c r="C94" s="300"/>
      <c r="D94" s="47">
        <v>94.6</v>
      </c>
      <c r="E94" s="11">
        <v>77</v>
      </c>
      <c r="F94" s="11">
        <v>95</v>
      </c>
      <c r="G94" s="123">
        <f t="shared" si="8"/>
        <v>18.604651162790699</v>
      </c>
      <c r="H94" s="21">
        <f t="shared" si="9"/>
        <v>1</v>
      </c>
      <c r="I94" s="21">
        <f t="shared" si="10"/>
        <v>0.42283298097252064</v>
      </c>
      <c r="J94" s="21">
        <f t="shared" si="11"/>
        <v>0</v>
      </c>
    </row>
    <row r="95" spans="2:16" ht="15.75" customHeight="1" x14ac:dyDescent="0.25">
      <c r="B95" s="296"/>
      <c r="C95" s="297"/>
      <c r="D95" s="297"/>
      <c r="E95" s="297"/>
      <c r="F95" s="11"/>
      <c r="G95" s="123"/>
    </row>
    <row r="96" spans="2:16" ht="15.75" customHeight="1" x14ac:dyDescent="0.25">
      <c r="B96" s="9" t="s">
        <v>50</v>
      </c>
      <c r="C96" s="302" t="s">
        <v>51</v>
      </c>
      <c r="D96" s="47">
        <v>271.44400000000002</v>
      </c>
      <c r="E96" s="11">
        <v>266</v>
      </c>
      <c r="F96" s="11">
        <v>379</v>
      </c>
      <c r="G96" s="123">
        <f t="shared" ref="G96:G100" si="12">ABS((1-E96/D96)*100)</f>
        <v>2.0055702096933525</v>
      </c>
      <c r="H96" s="21">
        <f t="shared" ref="H96:H100" si="13">+IF(G96&gt;10,1,0)</f>
        <v>0</v>
      </c>
      <c r="I96" s="21">
        <f t="shared" ref="I96:I100" si="14">ABS((1-F96/D96)*100)</f>
        <v>39.623642445587294</v>
      </c>
      <c r="J96" s="21">
        <f t="shared" ref="J96:J100" si="15">+IF(I96&gt;10,1,0)</f>
        <v>1</v>
      </c>
    </row>
    <row r="97" spans="2:10" ht="15.75" customHeight="1" x14ac:dyDescent="0.25">
      <c r="B97" s="9" t="s">
        <v>54</v>
      </c>
      <c r="C97" s="300"/>
      <c r="D97" s="47">
        <v>550.22199999999998</v>
      </c>
      <c r="E97" s="11">
        <v>600</v>
      </c>
      <c r="F97" s="11">
        <v>526</v>
      </c>
      <c r="G97" s="123">
        <f t="shared" si="12"/>
        <v>9.046893799230137</v>
      </c>
      <c r="H97" s="21">
        <f t="shared" si="13"/>
        <v>0</v>
      </c>
      <c r="I97" s="21">
        <f t="shared" si="14"/>
        <v>4.4022231026749186</v>
      </c>
      <c r="J97" s="21">
        <f t="shared" si="15"/>
        <v>0</v>
      </c>
    </row>
    <row r="98" spans="2:10" ht="15.75" customHeight="1" x14ac:dyDescent="0.25">
      <c r="B98" s="9" t="s">
        <v>55</v>
      </c>
      <c r="C98" s="300"/>
      <c r="D98" s="47">
        <v>609</v>
      </c>
      <c r="E98" s="11">
        <v>568</v>
      </c>
      <c r="F98" s="11">
        <v>596</v>
      </c>
      <c r="G98" s="123">
        <f t="shared" si="12"/>
        <v>6.7323481116584594</v>
      </c>
      <c r="H98" s="21">
        <f t="shared" si="13"/>
        <v>0</v>
      </c>
      <c r="I98" s="21">
        <f t="shared" si="14"/>
        <v>2.1346469622331665</v>
      </c>
      <c r="J98" s="21">
        <f t="shared" si="15"/>
        <v>0</v>
      </c>
    </row>
    <row r="99" spans="2:10" ht="15.75" customHeight="1" x14ac:dyDescent="0.25">
      <c r="B99" s="9" t="s">
        <v>56</v>
      </c>
      <c r="C99" s="300"/>
      <c r="D99" s="47">
        <v>739.11099999999999</v>
      </c>
      <c r="E99" s="11">
        <v>733</v>
      </c>
      <c r="F99" s="11">
        <v>744</v>
      </c>
      <c r="G99" s="123">
        <f t="shared" si="12"/>
        <v>0.82680409302526847</v>
      </c>
      <c r="H99" s="21">
        <f t="shared" si="13"/>
        <v>0</v>
      </c>
      <c r="I99" s="21">
        <f t="shared" si="14"/>
        <v>0.66147033395524968</v>
      </c>
      <c r="J99" s="21">
        <f t="shared" si="15"/>
        <v>0</v>
      </c>
    </row>
    <row r="100" spans="2:10" ht="15.75" customHeight="1" x14ac:dyDescent="0.25">
      <c r="B100" s="49" t="s">
        <v>57</v>
      </c>
      <c r="C100" s="300"/>
      <c r="D100" s="50">
        <v>746.88900000000001</v>
      </c>
      <c r="E100" s="51">
        <v>589</v>
      </c>
      <c r="F100" s="51">
        <v>785</v>
      </c>
      <c r="G100" s="123">
        <f t="shared" si="12"/>
        <v>21.139553534728726</v>
      </c>
      <c r="H100" s="21">
        <f t="shared" si="13"/>
        <v>1</v>
      </c>
      <c r="I100" s="21">
        <f t="shared" si="14"/>
        <v>5.1026323858029743</v>
      </c>
      <c r="J100" s="21">
        <f t="shared" si="15"/>
        <v>0</v>
      </c>
    </row>
    <row r="101" spans="2:10" ht="15.75" customHeight="1" x14ac:dyDescent="0.25">
      <c r="B101" s="308"/>
      <c r="C101" s="297"/>
      <c r="D101" s="297"/>
      <c r="E101" s="297"/>
      <c r="F101" s="306"/>
      <c r="G101" s="123"/>
    </row>
    <row r="102" spans="2:10" ht="15.75" customHeight="1" x14ac:dyDescent="0.25">
      <c r="B102" s="9" t="s">
        <v>60</v>
      </c>
      <c r="C102" s="299" t="s">
        <v>62</v>
      </c>
      <c r="D102" s="47">
        <v>19.36</v>
      </c>
      <c r="E102" s="11">
        <v>14</v>
      </c>
      <c r="F102" s="11">
        <v>19</v>
      </c>
      <c r="G102" s="123">
        <f t="shared" ref="G102:G104" si="16">ABS((1-E102/D102)*100)</f>
        <v>27.685950413223136</v>
      </c>
      <c r="H102" s="21">
        <f t="shared" ref="H102:H104" si="17">+IF(G102&gt;10,1,0)</f>
        <v>1</v>
      </c>
      <c r="I102" s="21">
        <f t="shared" ref="I102:I104" si="18">ABS((1-F102/D102)*100)</f>
        <v>1.8595041322314043</v>
      </c>
      <c r="J102" s="21">
        <f t="shared" ref="J102:J104" si="19">+IF(I102&gt;10,1,0)</f>
        <v>0</v>
      </c>
    </row>
    <row r="103" spans="2:10" ht="15.75" customHeight="1" x14ac:dyDescent="0.25">
      <c r="B103" s="9" t="s">
        <v>64</v>
      </c>
      <c r="C103" s="300"/>
      <c r="D103" s="47">
        <v>33.31</v>
      </c>
      <c r="E103" s="11">
        <v>17</v>
      </c>
      <c r="F103" s="11">
        <v>30</v>
      </c>
      <c r="G103" s="123">
        <f t="shared" si="16"/>
        <v>48.964274992494751</v>
      </c>
      <c r="H103" s="21">
        <f t="shared" si="17"/>
        <v>1</v>
      </c>
      <c r="I103" s="21">
        <f t="shared" si="18"/>
        <v>9.9369558691083775</v>
      </c>
      <c r="J103" s="21">
        <f t="shared" si="19"/>
        <v>0</v>
      </c>
    </row>
    <row r="104" spans="2:10" ht="15.75" customHeight="1" x14ac:dyDescent="0.25">
      <c r="B104" s="9" t="s">
        <v>65</v>
      </c>
      <c r="C104" s="301"/>
      <c r="D104" s="47">
        <v>41.74</v>
      </c>
      <c r="E104" s="11">
        <v>22</v>
      </c>
      <c r="F104" s="11">
        <v>41</v>
      </c>
      <c r="G104" s="123">
        <f t="shared" si="16"/>
        <v>47.292764734068037</v>
      </c>
      <c r="H104" s="21">
        <f t="shared" si="17"/>
        <v>1</v>
      </c>
      <c r="I104" s="21">
        <f t="shared" si="18"/>
        <v>1.7728797316722611</v>
      </c>
      <c r="J104" s="21">
        <f t="shared" si="19"/>
        <v>0</v>
      </c>
    </row>
    <row r="105" spans="2:10" ht="15.75" customHeight="1" x14ac:dyDescent="0.25">
      <c r="B105" s="296"/>
      <c r="C105" s="297"/>
      <c r="D105" s="297"/>
      <c r="E105" s="297"/>
      <c r="F105" s="11"/>
      <c r="G105" s="123"/>
    </row>
    <row r="106" spans="2:10" ht="15.75" customHeight="1" x14ac:dyDescent="0.25">
      <c r="B106" s="9" t="s">
        <v>66</v>
      </c>
      <c r="C106" s="302" t="s">
        <v>68</v>
      </c>
      <c r="D106" s="47">
        <v>204.5</v>
      </c>
      <c r="E106" s="11">
        <v>200</v>
      </c>
      <c r="F106" s="11">
        <v>206</v>
      </c>
      <c r="G106" s="123">
        <f t="shared" ref="G106:G107" si="20">ABS((1-E106/D106)*100)</f>
        <v>2.2004889975550168</v>
      </c>
      <c r="H106" s="21">
        <f t="shared" ref="H106:H107" si="21">+IF(G106&gt;10,1,0)</f>
        <v>0</v>
      </c>
      <c r="I106" s="21">
        <f t="shared" ref="I106:I107" si="22">ABS((1-F106/D106)*100)</f>
        <v>0.73349633251833524</v>
      </c>
      <c r="J106" s="21">
        <f t="shared" ref="J106:J107" si="23">+IF(I106&gt;10,1,0)</f>
        <v>0</v>
      </c>
    </row>
    <row r="107" spans="2:10" ht="15.75" customHeight="1" x14ac:dyDescent="0.25">
      <c r="B107" s="49" t="s">
        <v>69</v>
      </c>
      <c r="C107" s="300"/>
      <c r="D107" s="50">
        <v>277.7</v>
      </c>
      <c r="E107" s="51">
        <v>251</v>
      </c>
      <c r="F107" s="51">
        <v>269</v>
      </c>
      <c r="G107" s="123">
        <f t="shared" si="20"/>
        <v>9.6146921137918557</v>
      </c>
      <c r="H107" s="21">
        <f t="shared" si="21"/>
        <v>0</v>
      </c>
      <c r="I107" s="21">
        <f t="shared" si="22"/>
        <v>3.132877205617568</v>
      </c>
      <c r="J107" s="21">
        <f t="shared" si="23"/>
        <v>0</v>
      </c>
    </row>
    <row r="108" spans="2:10" ht="15.75" customHeight="1" x14ac:dyDescent="0.25">
      <c r="B108" s="305"/>
      <c r="C108" s="297"/>
      <c r="D108" s="297"/>
      <c r="E108" s="297"/>
      <c r="F108" s="306"/>
      <c r="G108" s="123"/>
    </row>
    <row r="109" spans="2:10" ht="15.75" customHeight="1" x14ac:dyDescent="0.25">
      <c r="B109" s="9" t="s">
        <v>69</v>
      </c>
      <c r="C109" s="299" t="s">
        <v>71</v>
      </c>
      <c r="D109" s="47">
        <v>10.283300000000001</v>
      </c>
      <c r="E109" s="11">
        <v>7</v>
      </c>
      <c r="F109" s="11">
        <v>10</v>
      </c>
      <c r="G109" s="123">
        <f t="shared" ref="G109:G111" si="24">ABS((1-E109/D109)*100)</f>
        <v>31.928466542841306</v>
      </c>
      <c r="H109" s="21">
        <f t="shared" ref="H109:H111" si="25">+IF(G109&gt;10,1,0)</f>
        <v>1</v>
      </c>
      <c r="I109" s="21">
        <f t="shared" ref="I109:I111" si="26">ABS((1-F109/D109)*100)</f>
        <v>2.7549522040590135</v>
      </c>
      <c r="J109" s="21">
        <f t="shared" ref="J109:J111" si="27">+IF(I109&gt;10,1,0)</f>
        <v>0</v>
      </c>
    </row>
    <row r="110" spans="2:10" ht="15.75" customHeight="1" x14ac:dyDescent="0.25">
      <c r="B110" s="9" t="s">
        <v>72</v>
      </c>
      <c r="C110" s="300"/>
      <c r="D110" s="47">
        <v>11.8833</v>
      </c>
      <c r="E110" s="11">
        <v>4</v>
      </c>
      <c r="F110" s="11">
        <v>12</v>
      </c>
      <c r="G110" s="123">
        <f t="shared" si="24"/>
        <v>66.339316519821935</v>
      </c>
      <c r="H110" s="21">
        <f t="shared" si="25"/>
        <v>1</v>
      </c>
      <c r="I110" s="21">
        <f t="shared" si="26"/>
        <v>0.98205044053418789</v>
      </c>
      <c r="J110" s="21">
        <f t="shared" si="27"/>
        <v>0</v>
      </c>
    </row>
    <row r="111" spans="2:10" ht="15.75" customHeight="1" x14ac:dyDescent="0.25">
      <c r="B111" s="9" t="s">
        <v>73</v>
      </c>
      <c r="C111" s="301"/>
      <c r="D111" s="47">
        <v>17.433299999999999</v>
      </c>
      <c r="E111" s="11">
        <v>7</v>
      </c>
      <c r="F111" s="11">
        <v>17</v>
      </c>
      <c r="G111" s="123">
        <f t="shared" si="24"/>
        <v>59.846959554415967</v>
      </c>
      <c r="H111" s="21">
        <f t="shared" si="25"/>
        <v>1</v>
      </c>
      <c r="I111" s="21">
        <f t="shared" si="26"/>
        <v>2.4854732035816451</v>
      </c>
      <c r="J111" s="21">
        <f t="shared" si="27"/>
        <v>0</v>
      </c>
    </row>
    <row r="112" spans="2:10" ht="15.75" customHeight="1" x14ac:dyDescent="0.25">
      <c r="B112" s="296"/>
      <c r="C112" s="297"/>
      <c r="D112" s="297"/>
      <c r="E112" s="297"/>
      <c r="F112" s="11"/>
      <c r="G112" s="123"/>
    </row>
    <row r="113" spans="2:10" ht="15.75" customHeight="1" x14ac:dyDescent="0.25">
      <c r="B113" s="9" t="s">
        <v>1023</v>
      </c>
      <c r="C113" s="302" t="s">
        <v>77</v>
      </c>
      <c r="D113" s="47">
        <v>117.467</v>
      </c>
      <c r="E113" s="11">
        <v>96</v>
      </c>
      <c r="F113" s="11">
        <v>114</v>
      </c>
      <c r="G113" s="123">
        <f t="shared" ref="G113:G116" si="28">ABS((1-E113/D113)*100)</f>
        <v>18.27491976469987</v>
      </c>
      <c r="H113" s="21">
        <f t="shared" ref="H113:H116" si="29">+IF(G113&gt;10,1,0)</f>
        <v>1</v>
      </c>
      <c r="I113" s="21">
        <f t="shared" ref="I113:I116" si="30">ABS((1-F113/D113)*100)</f>
        <v>2.9514672205810943</v>
      </c>
      <c r="J113" s="21">
        <f t="shared" ref="J113:J116" si="31">+IF(I113&gt;10,1,0)</f>
        <v>0</v>
      </c>
    </row>
    <row r="114" spans="2:10" ht="15.75" customHeight="1" x14ac:dyDescent="0.25">
      <c r="B114" s="9" t="s">
        <v>78</v>
      </c>
      <c r="C114" s="300"/>
      <c r="D114" s="47">
        <v>187.833</v>
      </c>
      <c r="E114" s="11">
        <v>121</v>
      </c>
      <c r="F114" s="11">
        <v>190</v>
      </c>
      <c r="G114" s="123">
        <f t="shared" si="28"/>
        <v>35.581074678038469</v>
      </c>
      <c r="H114" s="21">
        <f t="shared" si="29"/>
        <v>1</v>
      </c>
      <c r="I114" s="21">
        <f t="shared" si="30"/>
        <v>1.153684389856946</v>
      </c>
      <c r="J114" s="21">
        <f t="shared" si="31"/>
        <v>0</v>
      </c>
    </row>
    <row r="115" spans="2:10" ht="15.75" customHeight="1" x14ac:dyDescent="0.25">
      <c r="B115" s="9" t="s">
        <v>1025</v>
      </c>
      <c r="C115" s="300"/>
      <c r="D115" s="47">
        <v>218.333</v>
      </c>
      <c r="E115" s="11">
        <v>154</v>
      </c>
      <c r="F115" s="11">
        <v>218</v>
      </c>
      <c r="G115" s="123">
        <f t="shared" si="28"/>
        <v>29.465541168765142</v>
      </c>
      <c r="H115" s="21">
        <f t="shared" si="29"/>
        <v>1</v>
      </c>
      <c r="I115" s="21">
        <f t="shared" si="30"/>
        <v>0.15251931682338515</v>
      </c>
      <c r="J115" s="21">
        <f t="shared" si="31"/>
        <v>0</v>
      </c>
    </row>
    <row r="116" spans="2:10" ht="15.75" customHeight="1" x14ac:dyDescent="0.25">
      <c r="B116" s="49" t="s">
        <v>1177</v>
      </c>
      <c r="C116" s="300"/>
      <c r="D116" s="50">
        <v>238.5</v>
      </c>
      <c r="E116" s="51">
        <v>201</v>
      </c>
      <c r="F116" s="51">
        <v>238</v>
      </c>
      <c r="G116" s="123">
        <f t="shared" si="28"/>
        <v>15.723270440251568</v>
      </c>
      <c r="H116" s="21">
        <f t="shared" si="29"/>
        <v>1</v>
      </c>
      <c r="I116" s="21">
        <f t="shared" si="30"/>
        <v>0.20964360587002462</v>
      </c>
      <c r="J116" s="21">
        <f t="shared" si="31"/>
        <v>0</v>
      </c>
    </row>
    <row r="117" spans="2:10" ht="15.75" customHeight="1" x14ac:dyDescent="0.25">
      <c r="B117" s="305"/>
      <c r="C117" s="297"/>
      <c r="D117" s="297"/>
      <c r="E117" s="297"/>
      <c r="F117" s="306"/>
      <c r="G117" s="123"/>
    </row>
    <row r="118" spans="2:10" ht="15.75" customHeight="1" x14ac:dyDescent="0.25">
      <c r="B118" s="9" t="s">
        <v>81</v>
      </c>
      <c r="C118" s="299" t="s">
        <v>82</v>
      </c>
      <c r="D118" s="47">
        <v>2</v>
      </c>
      <c r="E118" s="11">
        <v>2</v>
      </c>
      <c r="F118" s="11">
        <v>2</v>
      </c>
      <c r="G118" s="123">
        <f t="shared" ref="G118:G120" si="32">ABS((1-E118/D118)*100)</f>
        <v>0</v>
      </c>
      <c r="H118" s="21">
        <f t="shared" ref="H118:H120" si="33">+IF(G118&gt;10,1,0)</f>
        <v>0</v>
      </c>
      <c r="I118" s="21">
        <f t="shared" ref="I118:I120" si="34">ABS((1-F118/D118)*100)</f>
        <v>0</v>
      </c>
      <c r="J118" s="21">
        <f t="shared" ref="J118:J120" si="35">+IF(I118&gt;10,1,0)</f>
        <v>0</v>
      </c>
    </row>
    <row r="119" spans="2:10" ht="15.75" customHeight="1" x14ac:dyDescent="0.25">
      <c r="B119" s="9" t="s">
        <v>83</v>
      </c>
      <c r="C119" s="300"/>
      <c r="D119" s="47">
        <v>7.133</v>
      </c>
      <c r="E119" s="11">
        <v>7</v>
      </c>
      <c r="F119" s="11">
        <v>9</v>
      </c>
      <c r="G119" s="123">
        <f t="shared" si="32"/>
        <v>1.8645731108930308</v>
      </c>
      <c r="H119" s="21">
        <f t="shared" si="33"/>
        <v>0</v>
      </c>
      <c r="I119" s="21">
        <f t="shared" si="34"/>
        <v>26.174120285994661</v>
      </c>
      <c r="J119" s="21">
        <f t="shared" si="35"/>
        <v>1</v>
      </c>
    </row>
    <row r="120" spans="2:10" ht="15.75" customHeight="1" x14ac:dyDescent="0.25">
      <c r="B120" s="9" t="s">
        <v>84</v>
      </c>
      <c r="C120" s="301"/>
      <c r="D120" s="47">
        <v>10.72</v>
      </c>
      <c r="E120" s="11">
        <v>2</v>
      </c>
      <c r="F120" s="11">
        <v>9</v>
      </c>
      <c r="G120" s="123">
        <f t="shared" si="32"/>
        <v>81.343283582089555</v>
      </c>
      <c r="H120" s="21">
        <f t="shared" si="33"/>
        <v>1</v>
      </c>
      <c r="I120" s="21">
        <f t="shared" si="34"/>
        <v>16.044776119402993</v>
      </c>
      <c r="J120" s="21">
        <f t="shared" si="35"/>
        <v>1</v>
      </c>
    </row>
    <row r="121" spans="2:10" ht="15.75" customHeight="1" x14ac:dyDescent="0.25">
      <c r="B121" s="296"/>
      <c r="C121" s="297"/>
      <c r="D121" s="297"/>
      <c r="E121" s="297"/>
      <c r="F121" s="11"/>
      <c r="G121" s="123"/>
    </row>
    <row r="122" spans="2:10" ht="15.75" customHeight="1" x14ac:dyDescent="0.25">
      <c r="B122" s="9" t="s">
        <v>86</v>
      </c>
      <c r="C122" s="302" t="s">
        <v>87</v>
      </c>
      <c r="D122" s="47">
        <v>20.466999999999999</v>
      </c>
      <c r="E122" s="11">
        <v>10</v>
      </c>
      <c r="F122" s="11">
        <v>20</v>
      </c>
      <c r="G122" s="123">
        <f t="shared" ref="G122:G123" si="36">ABS((1-E122/D122)*100)</f>
        <v>51.140860898030979</v>
      </c>
      <c r="H122" s="21">
        <f t="shared" ref="H122:H123" si="37">+IF(G122&gt;10,1,0)</f>
        <v>1</v>
      </c>
      <c r="I122" s="21">
        <f t="shared" ref="I122:I132" si="38">ABS((1-F122/D122)*100)</f>
        <v>2.2817217960619529</v>
      </c>
      <c r="J122" s="21">
        <f t="shared" ref="J122:J123" si="39">+IF(I122&gt;10,1,0)</f>
        <v>0</v>
      </c>
    </row>
    <row r="123" spans="2:10" ht="15.75" customHeight="1" x14ac:dyDescent="0.25">
      <c r="B123" s="49" t="s">
        <v>88</v>
      </c>
      <c r="C123" s="300"/>
      <c r="D123" s="50">
        <v>20.367000000000001</v>
      </c>
      <c r="E123" s="51">
        <v>11</v>
      </c>
      <c r="F123" s="51">
        <v>20</v>
      </c>
      <c r="G123" s="123">
        <f t="shared" si="36"/>
        <v>45.991063976039669</v>
      </c>
      <c r="H123" s="21">
        <f t="shared" si="37"/>
        <v>1</v>
      </c>
      <c r="I123" s="21">
        <f t="shared" si="38"/>
        <v>1.8019345018903121</v>
      </c>
      <c r="J123" s="21">
        <f t="shared" si="39"/>
        <v>0</v>
      </c>
    </row>
    <row r="124" spans="2:10" ht="15.75" customHeight="1" x14ac:dyDescent="0.25">
      <c r="B124" s="305"/>
      <c r="C124" s="297"/>
      <c r="D124" s="297"/>
      <c r="E124" s="297"/>
      <c r="F124" s="306"/>
      <c r="G124" s="123"/>
      <c r="I124" s="21" t="e">
        <f t="shared" si="38"/>
        <v>#DIV/0!</v>
      </c>
    </row>
    <row r="125" spans="2:10" ht="15.75" customHeight="1" x14ac:dyDescent="0.25">
      <c r="B125" s="9" t="s">
        <v>89</v>
      </c>
      <c r="C125" s="299" t="s">
        <v>90</v>
      </c>
      <c r="D125" s="47">
        <v>5.15</v>
      </c>
      <c r="E125" s="11">
        <v>6</v>
      </c>
      <c r="F125" s="11">
        <v>5</v>
      </c>
      <c r="G125" s="123">
        <f t="shared" ref="G125:G126" si="40">ABS((1-E125/D125)*100)</f>
        <v>16.50485436893203</v>
      </c>
      <c r="H125" s="21">
        <f t="shared" ref="H125:H126" si="41">+IF(G125&gt;10,1,0)</f>
        <v>1</v>
      </c>
      <c r="I125" s="21">
        <f t="shared" si="38"/>
        <v>2.9126213592233108</v>
      </c>
      <c r="J125" s="21">
        <f t="shared" ref="J125:J126" si="42">+IF(I125&gt;10,1,0)</f>
        <v>0</v>
      </c>
    </row>
    <row r="126" spans="2:10" ht="15.75" customHeight="1" x14ac:dyDescent="0.25">
      <c r="B126" s="49" t="s">
        <v>91</v>
      </c>
      <c r="C126" s="300"/>
      <c r="D126" s="50">
        <v>16.2</v>
      </c>
      <c r="E126" s="51">
        <v>7</v>
      </c>
      <c r="F126" s="51">
        <v>16</v>
      </c>
      <c r="G126" s="123">
        <f t="shared" si="40"/>
        <v>56.79012345679012</v>
      </c>
      <c r="H126" s="21">
        <f t="shared" si="41"/>
        <v>1</v>
      </c>
      <c r="I126" s="21">
        <f t="shared" si="38"/>
        <v>1.2345679012345623</v>
      </c>
      <c r="J126" s="21">
        <f t="shared" si="42"/>
        <v>0</v>
      </c>
    </row>
    <row r="127" spans="2:10" ht="15.75" customHeight="1" x14ac:dyDescent="0.25">
      <c r="B127" s="296"/>
      <c r="C127" s="297"/>
      <c r="D127" s="297"/>
      <c r="E127" s="297"/>
      <c r="F127" s="298"/>
      <c r="G127" s="123"/>
      <c r="I127" s="21" t="e">
        <f t="shared" si="38"/>
        <v>#DIV/0!</v>
      </c>
    </row>
    <row r="128" spans="2:10" ht="15.75" customHeight="1" x14ac:dyDescent="0.25">
      <c r="B128" s="9" t="s">
        <v>94</v>
      </c>
      <c r="C128" s="299" t="s">
        <v>95</v>
      </c>
      <c r="D128" s="47">
        <v>50.082999999999998</v>
      </c>
      <c r="E128" s="11">
        <v>48</v>
      </c>
      <c r="F128" s="11">
        <v>60</v>
      </c>
      <c r="G128" s="123">
        <f t="shared" ref="G128:G132" si="43">ABS((1-E128/D128)*100)</f>
        <v>4.1590959008046653</v>
      </c>
      <c r="H128" s="21">
        <f t="shared" ref="H128:H132" si="44">+IF(G128&gt;10,1,0)</f>
        <v>0</v>
      </c>
      <c r="I128" s="21">
        <f t="shared" si="38"/>
        <v>19.801130123994181</v>
      </c>
      <c r="J128" s="21">
        <f t="shared" ref="J128:J132" si="45">+IF(I128&gt;10,1,0)</f>
        <v>1</v>
      </c>
    </row>
    <row r="129" spans="1:13" ht="15.75" customHeight="1" x14ac:dyDescent="0.25">
      <c r="A129" s="21">
        <v>122</v>
      </c>
      <c r="B129" s="9" t="s">
        <v>96</v>
      </c>
      <c r="C129" s="300"/>
      <c r="D129" s="47">
        <v>93.992999999999995</v>
      </c>
      <c r="E129" s="11">
        <v>56</v>
      </c>
      <c r="F129" s="11">
        <v>131</v>
      </c>
      <c r="G129" s="123">
        <f t="shared" si="43"/>
        <v>40.421095187939528</v>
      </c>
      <c r="H129" s="21">
        <f t="shared" si="44"/>
        <v>1</v>
      </c>
      <c r="I129" s="21">
        <f t="shared" si="38"/>
        <v>39.37208089964146</v>
      </c>
      <c r="J129" s="21">
        <f t="shared" si="45"/>
        <v>1</v>
      </c>
    </row>
    <row r="130" spans="1:13" ht="15.75" customHeight="1" x14ac:dyDescent="0.25">
      <c r="A130" s="21">
        <v>130</v>
      </c>
      <c r="B130" s="9" t="s">
        <v>97</v>
      </c>
      <c r="C130" s="300"/>
      <c r="D130" s="47">
        <v>95.516999999999996</v>
      </c>
      <c r="E130" s="11">
        <v>51</v>
      </c>
      <c r="F130" s="11">
        <v>130</v>
      </c>
      <c r="G130" s="123">
        <f t="shared" si="43"/>
        <v>46.606363265177919</v>
      </c>
      <c r="H130" s="21">
        <f t="shared" si="44"/>
        <v>1</v>
      </c>
      <c r="I130" s="21">
        <f t="shared" si="38"/>
        <v>36.101426971115089</v>
      </c>
      <c r="J130" s="21">
        <f t="shared" si="45"/>
        <v>1</v>
      </c>
    </row>
    <row r="131" spans="1:13" ht="15.75" customHeight="1" x14ac:dyDescent="0.25">
      <c r="A131" s="21">
        <v>142</v>
      </c>
      <c r="B131" s="9" t="s">
        <v>98</v>
      </c>
      <c r="C131" s="300"/>
      <c r="D131" s="47">
        <v>100.92</v>
      </c>
      <c r="E131" s="11">
        <v>58</v>
      </c>
      <c r="F131" s="11">
        <v>138</v>
      </c>
      <c r="G131" s="123">
        <f t="shared" si="43"/>
        <v>42.52873563218391</v>
      </c>
      <c r="H131" s="21">
        <f t="shared" si="44"/>
        <v>1</v>
      </c>
      <c r="I131" s="21">
        <f t="shared" si="38"/>
        <v>36.741973840665864</v>
      </c>
      <c r="J131" s="21">
        <f t="shared" si="45"/>
        <v>1</v>
      </c>
    </row>
    <row r="132" spans="1:13" ht="15.75" customHeight="1" x14ac:dyDescent="0.25">
      <c r="A132" s="21">
        <v>146</v>
      </c>
      <c r="B132" s="9" t="s">
        <v>99</v>
      </c>
      <c r="C132" s="301"/>
      <c r="D132" s="47">
        <v>115.37</v>
      </c>
      <c r="E132" s="11">
        <v>107</v>
      </c>
      <c r="F132" s="11">
        <v>143</v>
      </c>
      <c r="G132" s="123">
        <f t="shared" si="43"/>
        <v>7.2549189564011467</v>
      </c>
      <c r="H132" s="21">
        <f t="shared" si="44"/>
        <v>0</v>
      </c>
      <c r="I132" s="21">
        <f t="shared" si="38"/>
        <v>23.949033544248934</v>
      </c>
      <c r="J132" s="21">
        <f t="shared" si="45"/>
        <v>1</v>
      </c>
    </row>
    <row r="133" spans="1:13" ht="15.75" customHeight="1" x14ac:dyDescent="0.25">
      <c r="B133" s="1"/>
      <c r="C133" s="1"/>
      <c r="D133" s="189"/>
      <c r="E133" s="2"/>
      <c r="F133" s="146"/>
      <c r="H133" s="21">
        <f>SUM(H81:H132)</f>
        <v>30</v>
      </c>
      <c r="J133" s="3">
        <f>SUM(J82:J132)</f>
        <v>8</v>
      </c>
    </row>
    <row r="134" spans="1:13" ht="15.75" customHeight="1" x14ac:dyDescent="0.25">
      <c r="D134" s="184"/>
      <c r="H134" s="21">
        <f>+H133/42*100</f>
        <v>71.428571428571431</v>
      </c>
      <c r="I134" s="21" t="s">
        <v>1190</v>
      </c>
    </row>
    <row r="135" spans="1:13" ht="15.75" customHeight="1" x14ac:dyDescent="0.25">
      <c r="D135" s="184"/>
      <c r="H135" s="21" t="s">
        <v>540</v>
      </c>
    </row>
    <row r="136" spans="1:13" ht="15.75" customHeight="1" x14ac:dyDescent="0.25">
      <c r="D136" s="184"/>
    </row>
    <row r="137" spans="1:13" ht="15.75" customHeight="1" x14ac:dyDescent="0.25">
      <c r="D137" s="184"/>
    </row>
    <row r="138" spans="1:13" ht="15.75" customHeight="1" x14ac:dyDescent="0.25">
      <c r="B138" s="28" t="s">
        <v>1104</v>
      </c>
      <c r="C138" s="28"/>
      <c r="D138" s="184"/>
      <c r="E138" s="28"/>
      <c r="F138" s="28"/>
      <c r="G138" s="28"/>
      <c r="H138" s="28"/>
      <c r="I138" s="28"/>
      <c r="J138" s="28"/>
      <c r="K138" s="28"/>
      <c r="L138" s="28"/>
      <c r="M138" s="28"/>
    </row>
    <row r="139" spans="1:13" ht="15.75" customHeight="1" x14ac:dyDescent="0.25">
      <c r="B139" s="28"/>
      <c r="C139" s="23"/>
      <c r="D139" s="185"/>
      <c r="E139" s="23"/>
      <c r="F139" s="23"/>
      <c r="G139" s="23"/>
      <c r="H139" s="28"/>
      <c r="I139" s="28"/>
      <c r="J139" s="28"/>
      <c r="K139" s="28"/>
      <c r="L139" s="28"/>
      <c r="M139" s="28"/>
    </row>
    <row r="140" spans="1:13" ht="15.75" customHeight="1" x14ac:dyDescent="0.25">
      <c r="B140" s="332" t="s">
        <v>851</v>
      </c>
      <c r="C140" s="297"/>
      <c r="D140" s="297"/>
      <c r="E140" s="297"/>
      <c r="F140" s="297"/>
      <c r="G140" s="298"/>
    </row>
    <row r="141" spans="1:13" ht="15.75" customHeight="1" x14ac:dyDescent="0.2">
      <c r="B141" s="4" t="s">
        <v>0</v>
      </c>
      <c r="C141" s="5" t="s">
        <v>1</v>
      </c>
      <c r="D141" s="186" t="s">
        <v>42</v>
      </c>
      <c r="E141" s="5" t="s">
        <v>43</v>
      </c>
      <c r="F141" s="5" t="s">
        <v>44</v>
      </c>
      <c r="G141" s="7" t="s">
        <v>206</v>
      </c>
      <c r="J141" s="296" t="s">
        <v>45</v>
      </c>
      <c r="K141" s="297"/>
      <c r="L141" s="297"/>
      <c r="M141" s="298"/>
    </row>
    <row r="142" spans="1:13" ht="15.75" customHeight="1" x14ac:dyDescent="0.2">
      <c r="B142" s="310" t="s">
        <v>275</v>
      </c>
      <c r="C142" s="297"/>
      <c r="D142" s="297"/>
      <c r="E142" s="297"/>
      <c r="F142" s="297"/>
      <c r="G142" s="298"/>
      <c r="J142" s="305" t="s">
        <v>275</v>
      </c>
      <c r="K142" s="297"/>
      <c r="L142" s="297"/>
      <c r="M142" s="298"/>
    </row>
    <row r="143" spans="1:13" ht="15.75" customHeight="1" x14ac:dyDescent="0.2">
      <c r="B143" s="9" t="s">
        <v>11</v>
      </c>
      <c r="C143" s="12" t="s">
        <v>12</v>
      </c>
      <c r="D143" s="187"/>
      <c r="E143" s="22">
        <v>520</v>
      </c>
      <c r="F143" s="11">
        <v>550</v>
      </c>
      <c r="G143" s="110"/>
      <c r="J143" s="12"/>
      <c r="K143" s="12" t="s">
        <v>52</v>
      </c>
      <c r="L143" s="12" t="s">
        <v>53</v>
      </c>
      <c r="M143" s="12"/>
    </row>
    <row r="144" spans="1:13" ht="15.75" customHeight="1" x14ac:dyDescent="0.2">
      <c r="B144" s="9" t="s">
        <v>11</v>
      </c>
      <c r="C144" s="12" t="s">
        <v>18</v>
      </c>
      <c r="D144" s="187">
        <v>0</v>
      </c>
      <c r="E144" s="22">
        <v>0</v>
      </c>
      <c r="F144" s="11">
        <v>0</v>
      </c>
      <c r="G144" s="110"/>
      <c r="J144" s="12" t="s">
        <v>12</v>
      </c>
      <c r="K144" s="17">
        <v>520</v>
      </c>
      <c r="L144" s="11">
        <v>550</v>
      </c>
      <c r="M144" s="17" t="s">
        <v>1191</v>
      </c>
    </row>
    <row r="145" spans="1:26" ht="15.75" customHeight="1" x14ac:dyDescent="0.2">
      <c r="B145" s="9" t="s">
        <v>21</v>
      </c>
      <c r="C145" s="12" t="s">
        <v>59</v>
      </c>
      <c r="D145" s="187">
        <v>440</v>
      </c>
      <c r="E145" s="22">
        <v>417</v>
      </c>
      <c r="F145" s="11">
        <v>442</v>
      </c>
      <c r="G145" s="110"/>
      <c r="J145" s="12" t="s">
        <v>18</v>
      </c>
      <c r="K145" s="24">
        <v>0</v>
      </c>
      <c r="L145" s="25">
        <v>0</v>
      </c>
      <c r="M145" s="24" t="s">
        <v>1192</v>
      </c>
    </row>
    <row r="146" spans="1:26" ht="15.75" customHeight="1" x14ac:dyDescent="0.2">
      <c r="B146" s="12" t="s">
        <v>21</v>
      </c>
      <c r="C146" s="12" t="s">
        <v>63</v>
      </c>
      <c r="D146" s="227">
        <v>160</v>
      </c>
      <c r="E146" s="26">
        <v>153</v>
      </c>
      <c r="F146" s="25">
        <v>172</v>
      </c>
      <c r="G146" s="148"/>
      <c r="J146" s="330"/>
      <c r="K146" s="315"/>
      <c r="L146" s="315"/>
      <c r="M146" s="315"/>
    </row>
    <row r="147" spans="1:26" ht="15.75" customHeight="1" x14ac:dyDescent="0.25">
      <c r="D147" s="184"/>
    </row>
    <row r="148" spans="1:26" ht="15.75" customHeight="1" x14ac:dyDescent="0.25">
      <c r="D148" s="184"/>
    </row>
    <row r="149" spans="1:26" ht="15.75" customHeight="1" x14ac:dyDescent="0.25">
      <c r="A149" s="29"/>
      <c r="B149" s="29"/>
      <c r="C149" s="29"/>
      <c r="D149" s="196"/>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5.75" customHeight="1" x14ac:dyDescent="0.25">
      <c r="D150" s="184"/>
    </row>
    <row r="151" spans="1:26" ht="15.75" customHeight="1" x14ac:dyDescent="0.25">
      <c r="D151" s="184"/>
    </row>
    <row r="152" spans="1:26" ht="15.75" customHeight="1" x14ac:dyDescent="0.25">
      <c r="A152" s="28" t="s">
        <v>1112</v>
      </c>
      <c r="B152" s="28"/>
      <c r="C152" s="28"/>
      <c r="D152" s="184"/>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5.75" customHeight="1" x14ac:dyDescent="0.25">
      <c r="A153" s="28"/>
      <c r="B153" s="28"/>
      <c r="C153" s="28"/>
      <c r="D153" s="184"/>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5.75" customHeight="1" x14ac:dyDescent="0.25">
      <c r="A154" s="28"/>
      <c r="B154" s="28"/>
      <c r="C154" s="28"/>
      <c r="D154" s="184"/>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5.75" customHeight="1" x14ac:dyDescent="0.25">
      <c r="A155" s="28"/>
      <c r="B155" s="28"/>
      <c r="C155" s="28"/>
      <c r="D155" s="184"/>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5.75" customHeight="1" x14ac:dyDescent="0.25">
      <c r="A156" s="28"/>
      <c r="B156" s="304" t="s">
        <v>662</v>
      </c>
      <c r="C156" s="297"/>
      <c r="D156" s="297"/>
      <c r="E156" s="297"/>
      <c r="F156" s="154"/>
      <c r="G156" s="28"/>
      <c r="H156" s="28"/>
      <c r="I156" s="28"/>
      <c r="J156" s="3"/>
      <c r="K156" s="28"/>
      <c r="L156" s="28"/>
      <c r="M156" s="28"/>
      <c r="N156" s="28"/>
      <c r="O156" s="28"/>
      <c r="P156" s="28"/>
      <c r="Q156" s="28"/>
      <c r="R156" s="28"/>
      <c r="S156" s="28"/>
      <c r="T156" s="28"/>
      <c r="U156" s="28"/>
      <c r="V156" s="28"/>
      <c r="W156" s="28"/>
      <c r="X156" s="28"/>
      <c r="Y156" s="28"/>
      <c r="Z156" s="28"/>
    </row>
    <row r="157" spans="1:26" ht="24.75" customHeight="1" x14ac:dyDescent="0.25">
      <c r="A157" s="28"/>
      <c r="B157" s="4" t="s">
        <v>0</v>
      </c>
      <c r="C157" s="5" t="s">
        <v>1</v>
      </c>
      <c r="D157" s="186" t="s">
        <v>2</v>
      </c>
      <c r="E157" s="5" t="s">
        <v>43</v>
      </c>
      <c r="F157" s="45" t="s">
        <v>125</v>
      </c>
      <c r="G157" s="123"/>
      <c r="H157" s="28"/>
      <c r="I157" s="28"/>
      <c r="J157" s="28"/>
      <c r="K157" s="296" t="s">
        <v>6</v>
      </c>
      <c r="L157" s="297"/>
      <c r="M157" s="297"/>
      <c r="N157" s="297"/>
      <c r="O157" s="297"/>
      <c r="P157" s="298"/>
      <c r="Q157" s="28"/>
      <c r="R157" s="28"/>
      <c r="S157" s="28"/>
      <c r="T157" s="28"/>
      <c r="U157" s="28"/>
      <c r="V157" s="28"/>
      <c r="W157" s="28"/>
      <c r="X157" s="28"/>
      <c r="Y157" s="28"/>
      <c r="Z157" s="28"/>
    </row>
    <row r="158" spans="1:26" ht="15.75" customHeight="1" x14ac:dyDescent="0.25">
      <c r="A158" s="28"/>
      <c r="B158" s="9" t="s">
        <v>7</v>
      </c>
      <c r="C158" s="302" t="s">
        <v>9</v>
      </c>
      <c r="D158" s="47">
        <v>28.1</v>
      </c>
      <c r="E158" s="11">
        <v>27</v>
      </c>
      <c r="F158" s="11">
        <v>49</v>
      </c>
      <c r="G158" s="123">
        <f t="shared" ref="G158:G162" si="46">ABS((1-E158/D158)*100)</f>
        <v>3.9145907473309705</v>
      </c>
      <c r="H158" s="28">
        <f t="shared" ref="H158:H162" si="47">+IF(G158&gt;10,1,0)</f>
        <v>0</v>
      </c>
      <c r="I158" s="28">
        <f t="shared" ref="I158:I162" si="48">ABS((1-F158/D158)*100)</f>
        <v>74.37722419928825</v>
      </c>
      <c r="J158" s="28">
        <f t="shared" ref="J158:J162" si="49">+IF(I158&gt;10,1,0)</f>
        <v>1</v>
      </c>
      <c r="K158" s="8" t="s">
        <v>106</v>
      </c>
      <c r="L158" s="181"/>
      <c r="M158" s="24"/>
      <c r="N158" s="8" t="s">
        <v>107</v>
      </c>
      <c r="O158" s="181"/>
      <c r="P158" s="24"/>
      <c r="Q158" s="28"/>
      <c r="R158" s="28"/>
      <c r="S158" s="28"/>
      <c r="T158" s="28"/>
      <c r="U158" s="28"/>
      <c r="V158" s="28"/>
      <c r="W158" s="28"/>
      <c r="X158" s="28"/>
      <c r="Y158" s="28"/>
      <c r="Z158" s="28"/>
    </row>
    <row r="159" spans="1:26" ht="15.75" customHeight="1" x14ac:dyDescent="0.25">
      <c r="A159" s="28"/>
      <c r="B159" s="9" t="s">
        <v>17</v>
      </c>
      <c r="C159" s="300"/>
      <c r="D159" s="47">
        <v>63.911000000000001</v>
      </c>
      <c r="E159" s="11">
        <v>63</v>
      </c>
      <c r="F159" s="11">
        <v>88</v>
      </c>
      <c r="G159" s="123">
        <f t="shared" si="46"/>
        <v>1.4254197243041111</v>
      </c>
      <c r="H159" s="28">
        <f t="shared" si="47"/>
        <v>0</v>
      </c>
      <c r="I159" s="28">
        <f t="shared" si="48"/>
        <v>37.69147721049584</v>
      </c>
      <c r="J159" s="28">
        <f t="shared" si="49"/>
        <v>1</v>
      </c>
      <c r="K159" s="13" t="s">
        <v>13</v>
      </c>
      <c r="L159" s="39">
        <f>L161+(L161*0.05)</f>
        <v>782.25</v>
      </c>
      <c r="M159" s="17" t="s">
        <v>1193</v>
      </c>
      <c r="N159" s="13" t="s">
        <v>13</v>
      </c>
      <c r="O159" s="39">
        <f>O161+O161*0.05</f>
        <v>803.25</v>
      </c>
      <c r="P159" s="17" t="s">
        <v>1194</v>
      </c>
      <c r="Q159" s="28"/>
      <c r="R159" s="28"/>
      <c r="S159" s="28"/>
      <c r="T159" s="28"/>
      <c r="U159" s="28"/>
      <c r="V159" s="28"/>
      <c r="W159" s="28"/>
      <c r="X159" s="28"/>
      <c r="Y159" s="28"/>
      <c r="Z159" s="28"/>
    </row>
    <row r="160" spans="1:26" ht="15.75" customHeight="1" x14ac:dyDescent="0.25">
      <c r="A160" s="28"/>
      <c r="B160" s="9" t="s">
        <v>26</v>
      </c>
      <c r="C160" s="300"/>
      <c r="D160" s="47">
        <v>69.921999999999997</v>
      </c>
      <c r="E160" s="11">
        <v>72</v>
      </c>
      <c r="F160" s="11">
        <v>94</v>
      </c>
      <c r="G160" s="123">
        <f t="shared" si="46"/>
        <v>2.9718829552930481</v>
      </c>
      <c r="H160" s="28">
        <f t="shared" si="47"/>
        <v>0</v>
      </c>
      <c r="I160" s="28">
        <f t="shared" si="48"/>
        <v>34.435513858299259</v>
      </c>
      <c r="J160" s="28">
        <f t="shared" si="49"/>
        <v>1</v>
      </c>
      <c r="K160" s="13" t="s">
        <v>19</v>
      </c>
      <c r="L160" s="40">
        <f>L161-(L161*0.05)</f>
        <v>707.75</v>
      </c>
      <c r="M160" s="17" t="s">
        <v>1195</v>
      </c>
      <c r="N160" s="13" t="s">
        <v>19</v>
      </c>
      <c r="O160" s="40">
        <f>O161-O161*0.05</f>
        <v>726.75</v>
      </c>
      <c r="P160" s="17" t="s">
        <v>1196</v>
      </c>
      <c r="Q160" s="28"/>
      <c r="R160" s="28"/>
      <c r="S160" s="28"/>
      <c r="T160" s="28"/>
      <c r="U160" s="28"/>
      <c r="V160" s="28"/>
      <c r="W160" s="28"/>
      <c r="X160" s="28"/>
      <c r="Y160" s="28"/>
      <c r="Z160" s="28"/>
    </row>
    <row r="161" spans="1:26" ht="15.75" customHeight="1" x14ac:dyDescent="0.25">
      <c r="A161" s="28"/>
      <c r="B161" s="9" t="s">
        <v>32</v>
      </c>
      <c r="C161" s="300"/>
      <c r="D161" s="47">
        <v>96.744</v>
      </c>
      <c r="E161" s="11">
        <v>96</v>
      </c>
      <c r="F161" s="11">
        <v>100</v>
      </c>
      <c r="G161" s="123">
        <f t="shared" si="46"/>
        <v>0.76903994046142454</v>
      </c>
      <c r="H161" s="28">
        <f t="shared" si="47"/>
        <v>0</v>
      </c>
      <c r="I161" s="28">
        <f t="shared" si="48"/>
        <v>3.3655833953526892</v>
      </c>
      <c r="J161" s="28">
        <f t="shared" si="49"/>
        <v>0</v>
      </c>
      <c r="K161" s="13" t="s">
        <v>27</v>
      </c>
      <c r="L161" s="20">
        <v>745</v>
      </c>
      <c r="M161" s="17" t="s">
        <v>1197</v>
      </c>
      <c r="N161" s="13" t="s">
        <v>27</v>
      </c>
      <c r="O161" s="20">
        <v>765</v>
      </c>
      <c r="P161" s="17" t="s">
        <v>1198</v>
      </c>
      <c r="Q161" s="28"/>
      <c r="R161" s="28"/>
      <c r="S161" s="28"/>
      <c r="T161" s="28"/>
      <c r="U161" s="28"/>
      <c r="V161" s="28"/>
      <c r="W161" s="28"/>
      <c r="X161" s="28"/>
      <c r="Y161" s="28"/>
      <c r="Z161" s="28"/>
    </row>
    <row r="162" spans="1:26" ht="15.75" customHeight="1" x14ac:dyDescent="0.25">
      <c r="A162" s="28"/>
      <c r="B162" s="9" t="s">
        <v>33</v>
      </c>
      <c r="C162" s="301"/>
      <c r="D162" s="47">
        <v>128.11000000000001</v>
      </c>
      <c r="E162" s="11">
        <v>124</v>
      </c>
      <c r="F162" s="11">
        <v>131</v>
      </c>
      <c r="G162" s="123">
        <f t="shared" si="46"/>
        <v>3.2081804699086836</v>
      </c>
      <c r="H162" s="28">
        <f t="shared" si="47"/>
        <v>0</v>
      </c>
      <c r="I162" s="28">
        <f t="shared" si="48"/>
        <v>2.2558738584029348</v>
      </c>
      <c r="J162" s="28">
        <f t="shared" si="49"/>
        <v>0</v>
      </c>
      <c r="K162" s="13" t="s">
        <v>121</v>
      </c>
      <c r="L162" s="20">
        <v>745</v>
      </c>
      <c r="M162" s="17" t="s">
        <v>1199</v>
      </c>
      <c r="N162" s="13" t="s">
        <v>121</v>
      </c>
      <c r="O162" s="20">
        <v>760</v>
      </c>
      <c r="P162" s="17" t="s">
        <v>1200</v>
      </c>
      <c r="Q162" s="28"/>
      <c r="R162" s="28"/>
      <c r="S162" s="28"/>
      <c r="T162" s="28"/>
      <c r="U162" s="28"/>
      <c r="V162" s="28"/>
      <c r="W162" s="28"/>
      <c r="X162" s="28"/>
      <c r="Y162" s="28"/>
      <c r="Z162" s="28"/>
    </row>
    <row r="163" spans="1:26" ht="15.75" customHeight="1" x14ac:dyDescent="0.25">
      <c r="A163" s="28"/>
      <c r="B163" s="41"/>
      <c r="C163" s="42"/>
      <c r="D163" s="69"/>
      <c r="E163" s="11"/>
      <c r="F163" s="11"/>
      <c r="G163" s="123"/>
      <c r="H163" s="28"/>
      <c r="I163" s="28"/>
      <c r="J163" s="28"/>
      <c r="K163" s="28"/>
      <c r="L163" s="28"/>
      <c r="M163" s="28"/>
      <c r="N163" s="28"/>
      <c r="O163" s="28"/>
      <c r="P163" s="28"/>
      <c r="Q163" s="28"/>
      <c r="R163" s="28"/>
      <c r="S163" s="28"/>
      <c r="T163" s="28"/>
      <c r="U163" s="28"/>
      <c r="V163" s="28"/>
      <c r="W163" s="28"/>
      <c r="X163" s="28"/>
      <c r="Y163" s="28"/>
      <c r="Z163" s="28"/>
    </row>
    <row r="164" spans="1:26" ht="15.75" customHeight="1" x14ac:dyDescent="0.25">
      <c r="A164" s="28"/>
      <c r="B164" s="9" t="s">
        <v>35</v>
      </c>
      <c r="C164" s="302" t="s">
        <v>36</v>
      </c>
      <c r="D164" s="47">
        <v>207.78</v>
      </c>
      <c r="E164" s="11">
        <v>205</v>
      </c>
      <c r="F164" s="11">
        <v>280</v>
      </c>
      <c r="G164" s="123">
        <f t="shared" ref="G164:G168" si="50">ABS((1-E164/D164)*100)</f>
        <v>1.3379536047742779</v>
      </c>
      <c r="H164" s="28">
        <f t="shared" ref="H164:H168" si="51">+IF(G164&gt;10,1,0)</f>
        <v>0</v>
      </c>
      <c r="I164" s="28">
        <f t="shared" ref="I164:I168" si="52">ABS((1-F164/D164)*100)</f>
        <v>34.757917027625361</v>
      </c>
      <c r="J164" s="28">
        <f t="shared" ref="J164:J168" si="53">+IF(I164&gt;10,1,0)</f>
        <v>1</v>
      </c>
      <c r="K164" s="28"/>
      <c r="L164" s="28"/>
      <c r="M164" s="28"/>
      <c r="N164" s="28"/>
      <c r="O164" s="28"/>
      <c r="P164" s="28"/>
      <c r="Q164" s="28"/>
      <c r="R164" s="28"/>
      <c r="S164" s="28"/>
      <c r="T164" s="28"/>
      <c r="U164" s="28"/>
      <c r="V164" s="28"/>
      <c r="W164" s="28"/>
      <c r="X164" s="28"/>
      <c r="Y164" s="28"/>
      <c r="Z164" s="28"/>
    </row>
    <row r="165" spans="1:26" ht="15.75" customHeight="1" x14ac:dyDescent="0.25">
      <c r="A165" s="28"/>
      <c r="B165" s="9" t="s">
        <v>37</v>
      </c>
      <c r="C165" s="300"/>
      <c r="D165" s="47">
        <v>444.11</v>
      </c>
      <c r="E165" s="11">
        <v>427</v>
      </c>
      <c r="F165" s="11">
        <v>400</v>
      </c>
      <c r="G165" s="123">
        <f t="shared" si="50"/>
        <v>3.8526491184616485</v>
      </c>
      <c r="H165" s="28">
        <f t="shared" si="51"/>
        <v>0</v>
      </c>
      <c r="I165" s="28">
        <f t="shared" si="52"/>
        <v>9.9322239985589196</v>
      </c>
      <c r="J165" s="28">
        <f t="shared" si="53"/>
        <v>0</v>
      </c>
      <c r="K165" s="28"/>
      <c r="L165" s="28"/>
      <c r="M165" s="28"/>
      <c r="N165" s="28"/>
      <c r="O165" s="28"/>
      <c r="P165" s="28"/>
      <c r="Q165" s="28"/>
      <c r="R165" s="28"/>
      <c r="S165" s="28"/>
      <c r="T165" s="28"/>
      <c r="U165" s="28"/>
      <c r="V165" s="28"/>
      <c r="W165" s="28"/>
      <c r="X165" s="28"/>
      <c r="Y165" s="28"/>
      <c r="Z165" s="28"/>
    </row>
    <row r="166" spans="1:26" ht="15.75" customHeight="1" x14ac:dyDescent="0.25">
      <c r="A166" s="28"/>
      <c r="B166" s="9" t="s">
        <v>38</v>
      </c>
      <c r="C166" s="300"/>
      <c r="D166" s="47">
        <v>579.55999999999995</v>
      </c>
      <c r="E166" s="11">
        <v>580</v>
      </c>
      <c r="F166" s="11">
        <v>598</v>
      </c>
      <c r="G166" s="123">
        <f t="shared" si="50"/>
        <v>7.591966319278054E-2</v>
      </c>
      <c r="H166" s="28">
        <f t="shared" si="51"/>
        <v>0</v>
      </c>
      <c r="I166" s="28">
        <f t="shared" si="52"/>
        <v>3.1817240665332314</v>
      </c>
      <c r="J166" s="28">
        <f t="shared" si="53"/>
        <v>0</v>
      </c>
      <c r="K166" s="28"/>
      <c r="L166" s="28"/>
      <c r="M166" s="28"/>
      <c r="N166" s="28">
        <v>747</v>
      </c>
      <c r="O166" s="28"/>
      <c r="P166" s="28"/>
      <c r="Q166" s="28"/>
      <c r="R166" s="28"/>
      <c r="S166" s="28"/>
      <c r="T166" s="28"/>
      <c r="U166" s="28"/>
      <c r="V166" s="28"/>
      <c r="W166" s="28"/>
      <c r="X166" s="28"/>
      <c r="Y166" s="28"/>
      <c r="Z166" s="28"/>
    </row>
    <row r="167" spans="1:26" ht="15.75" customHeight="1" x14ac:dyDescent="0.25">
      <c r="A167" s="28"/>
      <c r="B167" s="9" t="s">
        <v>39</v>
      </c>
      <c r="C167" s="300"/>
      <c r="D167" s="47">
        <v>746.22</v>
      </c>
      <c r="E167" s="11">
        <v>756</v>
      </c>
      <c r="F167" s="11">
        <v>743</v>
      </c>
      <c r="G167" s="123">
        <f t="shared" si="50"/>
        <v>1.3106054514754328</v>
      </c>
      <c r="H167" s="28">
        <f t="shared" si="51"/>
        <v>0</v>
      </c>
      <c r="I167" s="28">
        <f t="shared" si="52"/>
        <v>0.43150813433036062</v>
      </c>
      <c r="J167" s="28">
        <f t="shared" si="53"/>
        <v>0</v>
      </c>
      <c r="K167" s="28"/>
      <c r="L167" s="28"/>
      <c r="M167" s="28"/>
      <c r="N167" s="28">
        <v>758</v>
      </c>
      <c r="O167" s="28"/>
      <c r="P167" s="28"/>
      <c r="Q167" s="28"/>
      <c r="R167" s="28"/>
      <c r="S167" s="28"/>
      <c r="T167" s="28"/>
      <c r="U167" s="28"/>
      <c r="V167" s="28"/>
      <c r="W167" s="28"/>
      <c r="X167" s="28"/>
      <c r="Y167" s="28"/>
      <c r="Z167" s="28"/>
    </row>
    <row r="168" spans="1:26" ht="15.75" customHeight="1" x14ac:dyDescent="0.25">
      <c r="A168" s="28"/>
      <c r="B168" s="49" t="s">
        <v>41</v>
      </c>
      <c r="C168" s="300"/>
      <c r="D168" s="50">
        <v>869.5</v>
      </c>
      <c r="E168" s="51">
        <v>867</v>
      </c>
      <c r="F168" s="51">
        <v>824</v>
      </c>
      <c r="G168" s="123">
        <f t="shared" si="50"/>
        <v>0.28752156411731011</v>
      </c>
      <c r="H168" s="28">
        <f t="shared" si="51"/>
        <v>0</v>
      </c>
      <c r="I168" s="28">
        <f t="shared" si="52"/>
        <v>5.2328924669350236</v>
      </c>
      <c r="J168" s="28">
        <f t="shared" si="53"/>
        <v>0</v>
      </c>
      <c r="K168" s="28"/>
      <c r="L168" s="28"/>
      <c r="M168" s="28"/>
      <c r="N168" s="28">
        <v>738</v>
      </c>
      <c r="O168" s="28"/>
      <c r="P168" s="28"/>
      <c r="Q168" s="28"/>
      <c r="R168" s="28"/>
      <c r="S168" s="28"/>
      <c r="T168" s="28"/>
      <c r="U168" s="28"/>
      <c r="V168" s="28"/>
      <c r="W168" s="28"/>
      <c r="X168" s="28"/>
      <c r="Y168" s="28"/>
      <c r="Z168" s="28"/>
    </row>
    <row r="169" spans="1:26" ht="15.75" customHeight="1" x14ac:dyDescent="0.25">
      <c r="A169" s="28"/>
      <c r="B169" s="79"/>
      <c r="C169" s="81"/>
      <c r="D169" s="83"/>
      <c r="E169" s="81"/>
      <c r="F169" s="81"/>
      <c r="G169" s="123"/>
      <c r="H169" s="28"/>
      <c r="I169" s="28"/>
      <c r="J169" s="28"/>
      <c r="K169" s="28"/>
      <c r="L169" s="28"/>
      <c r="M169" s="28"/>
      <c r="N169" s="28"/>
      <c r="O169" s="28"/>
      <c r="P169" s="28"/>
      <c r="Q169" s="28"/>
      <c r="R169" s="28"/>
      <c r="S169" s="28"/>
      <c r="T169" s="28"/>
      <c r="U169" s="28"/>
      <c r="V169" s="28"/>
      <c r="W169" s="28"/>
      <c r="X169" s="28"/>
      <c r="Y169" s="28"/>
      <c r="Z169" s="28"/>
    </row>
    <row r="170" spans="1:26" ht="15.75" customHeight="1" x14ac:dyDescent="0.25">
      <c r="A170" s="28"/>
      <c r="B170" s="9" t="s">
        <v>46</v>
      </c>
      <c r="C170" s="299" t="s">
        <v>47</v>
      </c>
      <c r="D170" s="47">
        <v>88.4</v>
      </c>
      <c r="E170" s="11">
        <v>87</v>
      </c>
      <c r="F170" s="11">
        <v>90</v>
      </c>
      <c r="G170" s="123">
        <f t="shared" ref="G170:G171" si="54">ABS((1-E170/D170)*100)</f>
        <v>1.5837104072398245</v>
      </c>
      <c r="H170" s="28">
        <f t="shared" ref="H170:H171" si="55">+IF(G170&gt;10,1,0)</f>
        <v>0</v>
      </c>
      <c r="I170" s="28">
        <f t="shared" ref="I170:I171" si="56">ABS((1-F170/D170)*100)</f>
        <v>1.8099547511312153</v>
      </c>
      <c r="J170" s="28">
        <f t="shared" ref="J170:J171" si="57">+IF(I170&gt;10,1,0)</f>
        <v>0</v>
      </c>
      <c r="K170" s="28"/>
      <c r="L170" s="28"/>
      <c r="M170" s="28"/>
      <c r="N170" s="28"/>
      <c r="O170" s="28"/>
      <c r="P170" s="28"/>
      <c r="Q170" s="28"/>
      <c r="R170" s="28"/>
      <c r="S170" s="28"/>
      <c r="T170" s="28"/>
      <c r="U170" s="28"/>
      <c r="V170" s="28"/>
      <c r="W170" s="28"/>
      <c r="X170" s="28"/>
      <c r="Y170" s="28"/>
      <c r="Z170" s="28"/>
    </row>
    <row r="171" spans="1:26" ht="15.75" customHeight="1" x14ac:dyDescent="0.25">
      <c r="A171" s="28"/>
      <c r="B171" s="9" t="s">
        <v>48</v>
      </c>
      <c r="C171" s="300"/>
      <c r="D171" s="47">
        <v>94.6</v>
      </c>
      <c r="E171" s="11">
        <v>95</v>
      </c>
      <c r="F171" s="11">
        <v>103</v>
      </c>
      <c r="G171" s="123">
        <f t="shared" si="54"/>
        <v>0.42283298097252064</v>
      </c>
      <c r="H171" s="28">
        <f t="shared" si="55"/>
        <v>0</v>
      </c>
      <c r="I171" s="28">
        <f t="shared" si="56"/>
        <v>8.8794926004228447</v>
      </c>
      <c r="J171" s="28">
        <f t="shared" si="57"/>
        <v>0</v>
      </c>
      <c r="K171" s="28"/>
      <c r="L171" s="28"/>
      <c r="M171" s="28"/>
      <c r="N171" s="28"/>
      <c r="O171" s="28"/>
      <c r="P171" s="28"/>
      <c r="Q171" s="28"/>
      <c r="R171" s="28"/>
      <c r="S171" s="28"/>
      <c r="T171" s="28"/>
      <c r="U171" s="28"/>
      <c r="V171" s="28"/>
      <c r="W171" s="28"/>
      <c r="X171" s="28"/>
      <c r="Y171" s="28"/>
      <c r="Z171" s="28"/>
    </row>
    <row r="172" spans="1:26" ht="15.75" customHeight="1" x14ac:dyDescent="0.25">
      <c r="A172" s="28"/>
      <c r="B172" s="41"/>
      <c r="C172" s="42"/>
      <c r="D172" s="69"/>
      <c r="E172" s="11"/>
      <c r="F172" s="11"/>
      <c r="G172" s="123"/>
      <c r="H172" s="28"/>
      <c r="I172" s="28"/>
      <c r="J172" s="28"/>
      <c r="K172" s="28"/>
      <c r="L172" s="28"/>
      <c r="M172" s="28"/>
      <c r="N172" s="28"/>
      <c r="O172" s="28"/>
      <c r="P172" s="28"/>
      <c r="Q172" s="28"/>
      <c r="R172" s="28"/>
      <c r="S172" s="28"/>
      <c r="T172" s="28"/>
      <c r="U172" s="28"/>
      <c r="V172" s="28"/>
      <c r="W172" s="28"/>
      <c r="X172" s="28"/>
      <c r="Y172" s="28"/>
      <c r="Z172" s="28"/>
    </row>
    <row r="173" spans="1:26" ht="15.75" customHeight="1" x14ac:dyDescent="0.25">
      <c r="A173" s="28"/>
      <c r="B173" s="9" t="s">
        <v>50</v>
      </c>
      <c r="C173" s="302" t="s">
        <v>51</v>
      </c>
      <c r="D173" s="47">
        <v>271.44400000000002</v>
      </c>
      <c r="E173" s="11">
        <v>379</v>
      </c>
      <c r="F173" s="11">
        <v>439</v>
      </c>
      <c r="G173" s="123">
        <f t="shared" ref="G173:G177" si="58">ABS((1-E173/D173)*100)</f>
        <v>39.623642445587294</v>
      </c>
      <c r="H173" s="28">
        <f t="shared" ref="H173:H177" si="59">+IF(G173&gt;10,1,0)</f>
        <v>1</v>
      </c>
      <c r="I173" s="28">
        <f t="shared" ref="I173:I177" si="60">ABS((1-F173/D173)*100)</f>
        <v>61.727649165205342</v>
      </c>
      <c r="J173" s="28">
        <f t="shared" ref="J173:J177" si="61">+IF(I173&gt;10,1,0)</f>
        <v>1</v>
      </c>
      <c r="K173" s="28"/>
      <c r="L173" s="28"/>
      <c r="M173" s="28"/>
      <c r="N173" s="28"/>
      <c r="O173" s="28"/>
      <c r="P173" s="28"/>
      <c r="Q173" s="28"/>
      <c r="R173" s="28"/>
      <c r="S173" s="28"/>
      <c r="T173" s="28"/>
      <c r="U173" s="28"/>
      <c r="V173" s="28"/>
      <c r="W173" s="28"/>
      <c r="X173" s="28"/>
      <c r="Y173" s="28"/>
      <c r="Z173" s="28"/>
    </row>
    <row r="174" spans="1:26" ht="15.75" customHeight="1" x14ac:dyDescent="0.25">
      <c r="A174" s="28"/>
      <c r="B174" s="9" t="s">
        <v>54</v>
      </c>
      <c r="C174" s="300"/>
      <c r="D174" s="47">
        <v>550.22199999999998</v>
      </c>
      <c r="E174" s="11">
        <v>526</v>
      </c>
      <c r="F174" s="11">
        <v>476</v>
      </c>
      <c r="G174" s="123">
        <f t="shared" si="58"/>
        <v>4.4022231026749186</v>
      </c>
      <c r="H174" s="28">
        <f t="shared" si="59"/>
        <v>0</v>
      </c>
      <c r="I174" s="28">
        <f t="shared" si="60"/>
        <v>13.489464252610761</v>
      </c>
      <c r="J174" s="28">
        <f t="shared" si="61"/>
        <v>1</v>
      </c>
      <c r="K174" s="28"/>
      <c r="L174" s="28"/>
      <c r="M174" s="28"/>
      <c r="N174" s="28"/>
      <c r="O174" s="28"/>
      <c r="P174" s="28"/>
      <c r="Q174" s="28"/>
      <c r="R174" s="28"/>
      <c r="S174" s="28"/>
      <c r="T174" s="28"/>
      <c r="U174" s="28"/>
      <c r="V174" s="28"/>
      <c r="W174" s="28"/>
      <c r="X174" s="28"/>
      <c r="Y174" s="28"/>
      <c r="Z174" s="28"/>
    </row>
    <row r="175" spans="1:26" ht="15.75" customHeight="1" x14ac:dyDescent="0.25">
      <c r="A175" s="28"/>
      <c r="B175" s="9" t="s">
        <v>55</v>
      </c>
      <c r="C175" s="300"/>
      <c r="D175" s="47">
        <v>609</v>
      </c>
      <c r="E175" s="11">
        <v>596</v>
      </c>
      <c r="F175" s="11">
        <v>622</v>
      </c>
      <c r="G175" s="123">
        <f t="shared" si="58"/>
        <v>2.1346469622331665</v>
      </c>
      <c r="H175" s="28">
        <f t="shared" si="59"/>
        <v>0</v>
      </c>
      <c r="I175" s="28">
        <f t="shared" si="60"/>
        <v>2.1346469622331776</v>
      </c>
      <c r="J175" s="28">
        <f t="shared" si="61"/>
        <v>0</v>
      </c>
      <c r="K175" s="28"/>
      <c r="L175" s="28"/>
      <c r="M175" s="28"/>
      <c r="N175" s="28"/>
      <c r="O175" s="28"/>
      <c r="P175" s="28"/>
      <c r="Q175" s="28"/>
      <c r="R175" s="28"/>
      <c r="S175" s="28"/>
      <c r="T175" s="28"/>
      <c r="U175" s="28"/>
      <c r="V175" s="28"/>
      <c r="W175" s="28"/>
      <c r="X175" s="28"/>
      <c r="Y175" s="28"/>
      <c r="Z175" s="28"/>
    </row>
    <row r="176" spans="1:26" ht="15.75" customHeight="1" x14ac:dyDescent="0.25">
      <c r="A176" s="28"/>
      <c r="B176" s="9" t="s">
        <v>56</v>
      </c>
      <c r="C176" s="300"/>
      <c r="D176" s="47">
        <v>739.11099999999999</v>
      </c>
      <c r="E176" s="11">
        <v>744</v>
      </c>
      <c r="F176" s="11">
        <v>772</v>
      </c>
      <c r="G176" s="123">
        <f t="shared" si="58"/>
        <v>0.66147033395524968</v>
      </c>
      <c r="H176" s="28">
        <f t="shared" si="59"/>
        <v>0</v>
      </c>
      <c r="I176" s="28">
        <f t="shared" si="60"/>
        <v>4.4498052389965848</v>
      </c>
      <c r="J176" s="28">
        <f t="shared" si="61"/>
        <v>0</v>
      </c>
      <c r="K176" s="28"/>
      <c r="L176" s="28"/>
      <c r="M176" s="28"/>
      <c r="N176" s="28"/>
      <c r="O176" s="28"/>
      <c r="P176" s="28"/>
      <c r="Q176" s="28"/>
      <c r="R176" s="28"/>
      <c r="S176" s="28"/>
      <c r="T176" s="28"/>
      <c r="U176" s="28"/>
      <c r="V176" s="28"/>
      <c r="W176" s="28"/>
      <c r="X176" s="28"/>
      <c r="Y176" s="28"/>
      <c r="Z176" s="28"/>
    </row>
    <row r="177" spans="1:26" ht="15.75" customHeight="1" x14ac:dyDescent="0.25">
      <c r="A177" s="28"/>
      <c r="B177" s="49" t="s">
        <v>57</v>
      </c>
      <c r="C177" s="300"/>
      <c r="D177" s="50">
        <v>746.88900000000001</v>
      </c>
      <c r="E177" s="51">
        <v>785</v>
      </c>
      <c r="F177" s="51">
        <v>746</v>
      </c>
      <c r="G177" s="123">
        <f t="shared" si="58"/>
        <v>5.1026323858029743</v>
      </c>
      <c r="H177" s="28">
        <f t="shared" si="59"/>
        <v>0</v>
      </c>
      <c r="I177" s="28">
        <f t="shared" si="60"/>
        <v>0.11902705756812182</v>
      </c>
      <c r="J177" s="28">
        <f t="shared" si="61"/>
        <v>0</v>
      </c>
      <c r="K177" s="28"/>
      <c r="L177" s="28"/>
      <c r="M177" s="28"/>
      <c r="N177" s="28"/>
      <c r="O177" s="28"/>
      <c r="P177" s="28"/>
      <c r="Q177" s="28"/>
      <c r="R177" s="28"/>
      <c r="S177" s="28"/>
      <c r="T177" s="28"/>
      <c r="U177" s="28"/>
      <c r="V177" s="28"/>
      <c r="W177" s="28"/>
      <c r="X177" s="28"/>
      <c r="Y177" s="28"/>
      <c r="Z177" s="28"/>
    </row>
    <row r="178" spans="1:26" ht="15.75" customHeight="1" x14ac:dyDescent="0.25">
      <c r="A178" s="28"/>
      <c r="B178" s="79"/>
      <c r="C178" s="81"/>
      <c r="D178" s="83"/>
      <c r="E178" s="81"/>
      <c r="F178" s="81"/>
      <c r="G178" s="123"/>
      <c r="H178" s="28"/>
      <c r="I178" s="28"/>
      <c r="J178" s="28"/>
      <c r="K178" s="28"/>
      <c r="L178" s="28"/>
      <c r="M178" s="28"/>
      <c r="N178" s="28"/>
      <c r="O178" s="28"/>
      <c r="P178" s="28"/>
      <c r="Q178" s="28"/>
      <c r="R178" s="28"/>
      <c r="S178" s="28"/>
      <c r="T178" s="28"/>
      <c r="U178" s="28"/>
      <c r="V178" s="28"/>
      <c r="W178" s="28"/>
      <c r="X178" s="28"/>
      <c r="Y178" s="28"/>
      <c r="Z178" s="28"/>
    </row>
    <row r="179" spans="1:26" ht="15.75" customHeight="1" x14ac:dyDescent="0.25">
      <c r="A179" s="28"/>
      <c r="B179" s="9" t="s">
        <v>60</v>
      </c>
      <c r="C179" s="299" t="s">
        <v>62</v>
      </c>
      <c r="D179" s="47">
        <v>19.36</v>
      </c>
      <c r="E179" s="11">
        <v>19</v>
      </c>
      <c r="F179" s="11">
        <v>21</v>
      </c>
      <c r="G179" s="123">
        <f t="shared" ref="G179:G181" si="62">ABS((1-E179/D179)*100)</f>
        <v>1.8595041322314043</v>
      </c>
      <c r="H179" s="28">
        <f t="shared" ref="H179:H181" si="63">+IF(G179&gt;10,1,0)</f>
        <v>0</v>
      </c>
      <c r="I179" s="28">
        <f t="shared" ref="I179:I181" si="64">ABS((1-F179/D179)*100)</f>
        <v>8.4710743801652999</v>
      </c>
      <c r="J179" s="28">
        <f t="shared" ref="J179:J181" si="65">+IF(I179&gt;10,1,0)</f>
        <v>0</v>
      </c>
      <c r="K179" s="28"/>
      <c r="L179" s="28"/>
      <c r="M179" s="28"/>
      <c r="N179" s="28"/>
      <c r="O179" s="28"/>
      <c r="P179" s="28"/>
      <c r="Q179" s="28"/>
      <c r="R179" s="28"/>
      <c r="S179" s="28"/>
      <c r="T179" s="28"/>
      <c r="U179" s="28"/>
      <c r="V179" s="28"/>
      <c r="W179" s="28"/>
      <c r="X179" s="28"/>
      <c r="Y179" s="28"/>
      <c r="Z179" s="28"/>
    </row>
    <row r="180" spans="1:26" ht="15.75" customHeight="1" x14ac:dyDescent="0.25">
      <c r="A180" s="28"/>
      <c r="B180" s="9" t="s">
        <v>64</v>
      </c>
      <c r="C180" s="300"/>
      <c r="D180" s="47">
        <v>33.31</v>
      </c>
      <c r="E180" s="11">
        <v>30</v>
      </c>
      <c r="F180" s="11">
        <v>28</v>
      </c>
      <c r="G180" s="123">
        <f t="shared" si="62"/>
        <v>9.9369558691083775</v>
      </c>
      <c r="H180" s="28">
        <f t="shared" si="63"/>
        <v>0</v>
      </c>
      <c r="I180" s="28">
        <f t="shared" si="64"/>
        <v>15.941158811167821</v>
      </c>
      <c r="J180" s="28">
        <f t="shared" si="65"/>
        <v>1</v>
      </c>
      <c r="K180" s="28"/>
      <c r="L180" s="28"/>
      <c r="M180" s="28"/>
      <c r="N180" s="28"/>
      <c r="O180" s="28"/>
      <c r="P180" s="28"/>
      <c r="Q180" s="28"/>
      <c r="R180" s="28"/>
      <c r="S180" s="28"/>
      <c r="T180" s="28"/>
      <c r="U180" s="28"/>
      <c r="V180" s="28"/>
      <c r="W180" s="28"/>
      <c r="X180" s="28"/>
      <c r="Y180" s="28"/>
      <c r="Z180" s="28"/>
    </row>
    <row r="181" spans="1:26" ht="15.75" customHeight="1" x14ac:dyDescent="0.25">
      <c r="A181" s="28"/>
      <c r="B181" s="9" t="s">
        <v>65</v>
      </c>
      <c r="C181" s="301"/>
      <c r="D181" s="47">
        <v>41.74</v>
      </c>
      <c r="E181" s="11">
        <v>41</v>
      </c>
      <c r="F181" s="11">
        <v>39</v>
      </c>
      <c r="G181" s="123">
        <f t="shared" si="62"/>
        <v>1.7728797316722611</v>
      </c>
      <c r="H181" s="28">
        <f t="shared" si="63"/>
        <v>0</v>
      </c>
      <c r="I181" s="28">
        <f t="shared" si="64"/>
        <v>6.5644465740297147</v>
      </c>
      <c r="J181" s="28">
        <f t="shared" si="65"/>
        <v>0</v>
      </c>
      <c r="K181" s="28"/>
      <c r="L181" s="28"/>
      <c r="M181" s="28"/>
      <c r="N181" s="28"/>
      <c r="O181" s="28"/>
      <c r="P181" s="28"/>
      <c r="Q181" s="28"/>
      <c r="R181" s="28"/>
      <c r="S181" s="28"/>
      <c r="T181" s="28"/>
      <c r="U181" s="28"/>
      <c r="V181" s="28"/>
      <c r="W181" s="28"/>
      <c r="X181" s="28"/>
      <c r="Y181" s="28"/>
      <c r="Z181" s="28"/>
    </row>
    <row r="182" spans="1:26" ht="15.75" customHeight="1" x14ac:dyDescent="0.25">
      <c r="A182" s="28"/>
      <c r="B182" s="41"/>
      <c r="C182" s="42"/>
      <c r="D182" s="69"/>
      <c r="E182" s="11"/>
      <c r="F182" s="11"/>
      <c r="G182" s="123"/>
      <c r="H182" s="28"/>
      <c r="I182" s="28"/>
      <c r="J182" s="28"/>
      <c r="K182" s="28"/>
      <c r="L182" s="28"/>
      <c r="M182" s="28"/>
      <c r="N182" s="28"/>
      <c r="O182" s="28"/>
      <c r="P182" s="28"/>
      <c r="Q182" s="28"/>
      <c r="R182" s="28"/>
      <c r="S182" s="28"/>
      <c r="T182" s="28"/>
      <c r="U182" s="28"/>
      <c r="V182" s="28"/>
      <c r="W182" s="28"/>
      <c r="X182" s="28"/>
      <c r="Y182" s="28"/>
      <c r="Z182" s="28"/>
    </row>
    <row r="183" spans="1:26" ht="15.75" customHeight="1" x14ac:dyDescent="0.25">
      <c r="A183" s="28"/>
      <c r="B183" s="9" t="s">
        <v>66</v>
      </c>
      <c r="C183" s="302" t="s">
        <v>68</v>
      </c>
      <c r="D183" s="47">
        <v>204.5</v>
      </c>
      <c r="E183" s="11">
        <v>206</v>
      </c>
      <c r="F183" s="11">
        <v>200</v>
      </c>
      <c r="G183" s="123">
        <f t="shared" ref="G183:G184" si="66">ABS((1-E183/D183)*100)</f>
        <v>0.73349633251833524</v>
      </c>
      <c r="H183" s="28">
        <f t="shared" ref="H183:H184" si="67">+IF(G183&gt;10,1,0)</f>
        <v>0</v>
      </c>
      <c r="I183" s="28">
        <f t="shared" ref="I183:I184" si="68">ABS((1-F183/D183)*100)</f>
        <v>2.2004889975550168</v>
      </c>
      <c r="J183" s="28">
        <f t="shared" ref="J183:J184" si="69">+IF(I183&gt;10,1,0)</f>
        <v>0</v>
      </c>
      <c r="K183" s="28"/>
      <c r="L183" s="28"/>
      <c r="M183" s="28"/>
      <c r="N183" s="28"/>
      <c r="O183" s="28"/>
      <c r="P183" s="28"/>
      <c r="Q183" s="28"/>
      <c r="R183" s="28"/>
      <c r="S183" s="28"/>
      <c r="T183" s="28"/>
      <c r="U183" s="28"/>
      <c r="V183" s="28"/>
      <c r="W183" s="28"/>
      <c r="X183" s="28"/>
      <c r="Y183" s="28"/>
      <c r="Z183" s="28"/>
    </row>
    <row r="184" spans="1:26" ht="15.75" customHeight="1" x14ac:dyDescent="0.25">
      <c r="A184" s="28"/>
      <c r="B184" s="49" t="s">
        <v>69</v>
      </c>
      <c r="C184" s="300"/>
      <c r="D184" s="50">
        <v>277.7</v>
      </c>
      <c r="E184" s="51">
        <v>269</v>
      </c>
      <c r="F184" s="51">
        <v>275</v>
      </c>
      <c r="G184" s="123">
        <f t="shared" si="66"/>
        <v>3.132877205617568</v>
      </c>
      <c r="H184" s="28">
        <f t="shared" si="67"/>
        <v>0</v>
      </c>
      <c r="I184" s="28">
        <f t="shared" si="68"/>
        <v>0.9722722362261349</v>
      </c>
      <c r="J184" s="28">
        <f t="shared" si="69"/>
        <v>0</v>
      </c>
      <c r="K184" s="28"/>
      <c r="L184" s="28"/>
      <c r="M184" s="28"/>
      <c r="N184" s="28"/>
      <c r="O184" s="28"/>
      <c r="P184" s="28"/>
      <c r="Q184" s="28"/>
      <c r="R184" s="28"/>
      <c r="S184" s="28"/>
      <c r="T184" s="28"/>
      <c r="U184" s="28"/>
      <c r="V184" s="28"/>
      <c r="W184" s="28"/>
      <c r="X184" s="28"/>
      <c r="Y184" s="28"/>
      <c r="Z184" s="28"/>
    </row>
    <row r="185" spans="1:26" ht="15.75" customHeight="1" x14ac:dyDescent="0.25">
      <c r="A185" s="28"/>
      <c r="B185" s="44"/>
      <c r="C185" s="46"/>
      <c r="D185" s="83"/>
      <c r="E185" s="46"/>
      <c r="F185" s="46"/>
      <c r="G185" s="123"/>
      <c r="H185" s="28"/>
      <c r="I185" s="28"/>
      <c r="J185" s="28"/>
      <c r="K185" s="28"/>
      <c r="L185" s="28"/>
      <c r="M185" s="28"/>
      <c r="N185" s="28"/>
      <c r="O185" s="28"/>
      <c r="P185" s="28"/>
      <c r="Q185" s="28"/>
      <c r="R185" s="28"/>
      <c r="S185" s="28"/>
      <c r="T185" s="28"/>
      <c r="U185" s="28"/>
      <c r="V185" s="28"/>
      <c r="W185" s="28"/>
      <c r="X185" s="28"/>
      <c r="Y185" s="28"/>
      <c r="Z185" s="28"/>
    </row>
    <row r="186" spans="1:26" ht="15.75" customHeight="1" x14ac:dyDescent="0.25">
      <c r="A186" s="28"/>
      <c r="B186" s="9" t="s">
        <v>69</v>
      </c>
      <c r="C186" s="299" t="s">
        <v>71</v>
      </c>
      <c r="D186" s="47">
        <v>10.283300000000001</v>
      </c>
      <c r="E186" s="11">
        <v>10</v>
      </c>
      <c r="F186" s="11">
        <v>13</v>
      </c>
      <c r="G186" s="123">
        <f t="shared" ref="G186:G188" si="70">ABS((1-E186/D186)*100)</f>
        <v>2.7549522040590135</v>
      </c>
      <c r="H186" s="28">
        <f t="shared" ref="H186:H188" si="71">+IF(G186&gt;10,1,0)</f>
        <v>0</v>
      </c>
      <c r="I186" s="28">
        <f t="shared" ref="I186:I188" si="72">ABS((1-F186/D186)*100)</f>
        <v>26.418562134723288</v>
      </c>
      <c r="J186" s="28">
        <f t="shared" ref="J186:J188" si="73">+IF(I186&gt;10,1,0)</f>
        <v>1</v>
      </c>
      <c r="K186" s="28"/>
      <c r="L186" s="28"/>
      <c r="M186" s="28"/>
      <c r="N186" s="28"/>
      <c r="O186" s="28"/>
      <c r="P186" s="28"/>
      <c r="Q186" s="28"/>
      <c r="R186" s="28"/>
      <c r="S186" s="28"/>
      <c r="T186" s="28"/>
      <c r="U186" s="28"/>
      <c r="V186" s="28"/>
      <c r="W186" s="28"/>
      <c r="X186" s="28"/>
      <c r="Y186" s="28"/>
      <c r="Z186" s="28"/>
    </row>
    <row r="187" spans="1:26" ht="15.75" customHeight="1" x14ac:dyDescent="0.25">
      <c r="A187" s="28"/>
      <c r="B187" s="9" t="s">
        <v>72</v>
      </c>
      <c r="C187" s="300"/>
      <c r="D187" s="47">
        <v>11.8833</v>
      </c>
      <c r="E187" s="11">
        <v>12</v>
      </c>
      <c r="F187" s="11">
        <v>15</v>
      </c>
      <c r="G187" s="123">
        <f t="shared" si="70"/>
        <v>0.98205044053418789</v>
      </c>
      <c r="H187" s="28">
        <f t="shared" si="71"/>
        <v>0</v>
      </c>
      <c r="I187" s="28">
        <f t="shared" si="72"/>
        <v>26.227563050667733</v>
      </c>
      <c r="J187" s="28">
        <f t="shared" si="73"/>
        <v>1</v>
      </c>
      <c r="K187" s="28"/>
      <c r="L187" s="28"/>
      <c r="M187" s="28"/>
      <c r="N187" s="28"/>
      <c r="O187" s="28"/>
      <c r="P187" s="28"/>
      <c r="Q187" s="28"/>
      <c r="R187" s="28"/>
      <c r="S187" s="28"/>
      <c r="T187" s="28"/>
      <c r="U187" s="28"/>
      <c r="V187" s="28"/>
      <c r="W187" s="28"/>
      <c r="X187" s="28"/>
      <c r="Y187" s="28"/>
      <c r="Z187" s="28"/>
    </row>
    <row r="188" spans="1:26" ht="15.75" customHeight="1" x14ac:dyDescent="0.25">
      <c r="A188" s="28"/>
      <c r="B188" s="9" t="s">
        <v>73</v>
      </c>
      <c r="C188" s="301"/>
      <c r="D188" s="47">
        <v>17.433299999999999</v>
      </c>
      <c r="E188" s="11">
        <v>17</v>
      </c>
      <c r="F188" s="11">
        <v>18</v>
      </c>
      <c r="G188" s="123">
        <f t="shared" si="70"/>
        <v>2.4854732035816451</v>
      </c>
      <c r="H188" s="28">
        <f t="shared" si="71"/>
        <v>0</v>
      </c>
      <c r="I188" s="28">
        <f t="shared" si="72"/>
        <v>3.2506754315017927</v>
      </c>
      <c r="J188" s="28">
        <f t="shared" si="73"/>
        <v>0</v>
      </c>
      <c r="K188" s="28"/>
      <c r="L188" s="28"/>
      <c r="M188" s="28"/>
      <c r="N188" s="28"/>
      <c r="O188" s="28"/>
      <c r="P188" s="28"/>
      <c r="Q188" s="28"/>
      <c r="R188" s="28"/>
      <c r="S188" s="28"/>
      <c r="T188" s="28"/>
      <c r="U188" s="28"/>
      <c r="V188" s="28"/>
      <c r="W188" s="28"/>
      <c r="X188" s="28"/>
      <c r="Y188" s="28"/>
      <c r="Z188" s="28"/>
    </row>
    <row r="189" spans="1:26" ht="15.75" customHeight="1" x14ac:dyDescent="0.25">
      <c r="A189" s="28"/>
      <c r="B189" s="41"/>
      <c r="C189" s="42"/>
      <c r="D189" s="69"/>
      <c r="E189" s="11"/>
      <c r="F189" s="11"/>
      <c r="G189" s="123"/>
      <c r="H189" s="28"/>
      <c r="I189" s="28"/>
      <c r="J189" s="28"/>
      <c r="K189" s="28"/>
      <c r="L189" s="28"/>
      <c r="M189" s="28"/>
      <c r="N189" s="28"/>
      <c r="O189" s="28"/>
      <c r="P189" s="28"/>
      <c r="Q189" s="28"/>
      <c r="R189" s="28"/>
      <c r="S189" s="28"/>
      <c r="T189" s="28"/>
      <c r="U189" s="28"/>
      <c r="V189" s="28"/>
      <c r="W189" s="28"/>
      <c r="X189" s="28"/>
      <c r="Y189" s="28"/>
      <c r="Z189" s="28"/>
    </row>
    <row r="190" spans="1:26" ht="15.75" customHeight="1" x14ac:dyDescent="0.25">
      <c r="A190" s="28"/>
      <c r="B190" s="9" t="s">
        <v>1023</v>
      </c>
      <c r="C190" s="302" t="s">
        <v>77</v>
      </c>
      <c r="D190" s="47">
        <v>117.467</v>
      </c>
      <c r="E190" s="11">
        <v>114</v>
      </c>
      <c r="F190" s="11">
        <v>136</v>
      </c>
      <c r="G190" s="123">
        <f t="shared" ref="G190:G193" si="74">ABS((1-E190/D190)*100)</f>
        <v>2.9514672205810943</v>
      </c>
      <c r="H190" s="28">
        <f t="shared" ref="H190:H193" si="75">+IF(G190&gt;10,1,0)</f>
        <v>0</v>
      </c>
      <c r="I190" s="28">
        <f t="shared" ref="I190:I193" si="76">ABS((1-F190/D190)*100)</f>
        <v>15.777197000008524</v>
      </c>
      <c r="J190" s="28">
        <f t="shared" ref="J190:J193" si="77">+IF(I190&gt;10,1,0)</f>
        <v>1</v>
      </c>
      <c r="K190" s="28"/>
      <c r="L190" s="28"/>
      <c r="M190" s="28"/>
      <c r="N190" s="28"/>
      <c r="O190" s="28"/>
      <c r="P190" s="28"/>
      <c r="Q190" s="28"/>
      <c r="R190" s="28"/>
      <c r="S190" s="28"/>
      <c r="T190" s="28"/>
      <c r="U190" s="28"/>
      <c r="V190" s="28"/>
      <c r="W190" s="28"/>
      <c r="X190" s="28"/>
      <c r="Y190" s="28"/>
      <c r="Z190" s="28"/>
    </row>
    <row r="191" spans="1:26" ht="15.75" customHeight="1" x14ac:dyDescent="0.25">
      <c r="A191" s="28"/>
      <c r="B191" s="9" t="s">
        <v>78</v>
      </c>
      <c r="C191" s="300"/>
      <c r="D191" s="47">
        <v>187.833</v>
      </c>
      <c r="E191" s="11">
        <v>190</v>
      </c>
      <c r="F191" s="11">
        <v>200</v>
      </c>
      <c r="G191" s="123">
        <f t="shared" si="74"/>
        <v>1.153684389856946</v>
      </c>
      <c r="H191" s="28">
        <f t="shared" si="75"/>
        <v>0</v>
      </c>
      <c r="I191" s="28">
        <f t="shared" si="76"/>
        <v>6.4775625156388905</v>
      </c>
      <c r="J191" s="28">
        <f t="shared" si="77"/>
        <v>0</v>
      </c>
      <c r="K191" s="28"/>
      <c r="L191" s="28"/>
      <c r="M191" s="28"/>
      <c r="N191" s="28"/>
      <c r="O191" s="28"/>
      <c r="P191" s="28"/>
      <c r="Q191" s="28"/>
      <c r="R191" s="28"/>
      <c r="S191" s="28"/>
      <c r="T191" s="28"/>
      <c r="U191" s="28"/>
      <c r="V191" s="28"/>
      <c r="W191" s="28"/>
      <c r="X191" s="28"/>
      <c r="Y191" s="28"/>
      <c r="Z191" s="28"/>
    </row>
    <row r="192" spans="1:26" ht="15.75" customHeight="1" x14ac:dyDescent="0.25">
      <c r="A192" s="28"/>
      <c r="B192" s="9" t="s">
        <v>1025</v>
      </c>
      <c r="C192" s="300"/>
      <c r="D192" s="47">
        <v>218.333</v>
      </c>
      <c r="E192" s="11">
        <v>218</v>
      </c>
      <c r="F192" s="11">
        <v>219</v>
      </c>
      <c r="G192" s="123">
        <f t="shared" si="74"/>
        <v>0.15251931682338515</v>
      </c>
      <c r="H192" s="28">
        <f t="shared" si="75"/>
        <v>0</v>
      </c>
      <c r="I192" s="28">
        <f t="shared" si="76"/>
        <v>0.30549664961321277</v>
      </c>
      <c r="J192" s="28">
        <f t="shared" si="77"/>
        <v>0</v>
      </c>
      <c r="K192" s="28"/>
      <c r="L192" s="28"/>
      <c r="M192" s="28"/>
      <c r="N192" s="28"/>
      <c r="O192" s="28"/>
      <c r="P192" s="28"/>
      <c r="Q192" s="28"/>
      <c r="R192" s="28"/>
      <c r="S192" s="28"/>
      <c r="T192" s="28"/>
      <c r="U192" s="28"/>
      <c r="V192" s="28"/>
      <c r="W192" s="28"/>
      <c r="X192" s="28"/>
      <c r="Y192" s="28"/>
      <c r="Z192" s="28"/>
    </row>
    <row r="193" spans="1:26" ht="15.75" customHeight="1" x14ac:dyDescent="0.25">
      <c r="A193" s="28"/>
      <c r="B193" s="49" t="s">
        <v>1177</v>
      </c>
      <c r="C193" s="300"/>
      <c r="D193" s="50">
        <v>238.5</v>
      </c>
      <c r="E193" s="51">
        <v>238</v>
      </c>
      <c r="F193" s="51">
        <v>239</v>
      </c>
      <c r="G193" s="123">
        <f t="shared" si="74"/>
        <v>0.20964360587002462</v>
      </c>
      <c r="H193" s="28">
        <f t="shared" si="75"/>
        <v>0</v>
      </c>
      <c r="I193" s="28">
        <f t="shared" si="76"/>
        <v>0.20964360587001352</v>
      </c>
      <c r="J193" s="28">
        <f t="shared" si="77"/>
        <v>0</v>
      </c>
      <c r="K193" s="28"/>
      <c r="L193" s="28"/>
      <c r="M193" s="28"/>
      <c r="N193" s="28"/>
      <c r="O193" s="28"/>
      <c r="P193" s="28"/>
      <c r="Q193" s="28"/>
      <c r="R193" s="28"/>
      <c r="S193" s="28"/>
      <c r="T193" s="28"/>
      <c r="U193" s="28"/>
      <c r="V193" s="28"/>
      <c r="W193" s="28"/>
      <c r="X193" s="28"/>
      <c r="Y193" s="28"/>
      <c r="Z193" s="28"/>
    </row>
    <row r="194" spans="1:26" ht="15.75" customHeight="1" x14ac:dyDescent="0.25">
      <c r="A194" s="28"/>
      <c r="B194" s="44"/>
      <c r="C194" s="46"/>
      <c r="D194" s="83"/>
      <c r="E194" s="46"/>
      <c r="F194" s="46"/>
      <c r="G194" s="123"/>
      <c r="H194" s="28"/>
      <c r="I194" s="28"/>
      <c r="J194" s="28"/>
      <c r="K194" s="28"/>
      <c r="L194" s="28"/>
      <c r="M194" s="28"/>
      <c r="N194" s="28"/>
      <c r="O194" s="28"/>
      <c r="P194" s="28"/>
      <c r="Q194" s="28"/>
      <c r="R194" s="28"/>
      <c r="S194" s="28"/>
      <c r="T194" s="28"/>
      <c r="U194" s="28"/>
      <c r="V194" s="28"/>
      <c r="W194" s="28"/>
      <c r="X194" s="28"/>
      <c r="Y194" s="28"/>
      <c r="Z194" s="28"/>
    </row>
    <row r="195" spans="1:26" ht="15.75" customHeight="1" x14ac:dyDescent="0.25">
      <c r="A195" s="28"/>
      <c r="B195" s="9" t="s">
        <v>81</v>
      </c>
      <c r="C195" s="299" t="s">
        <v>82</v>
      </c>
      <c r="D195" s="47">
        <v>2</v>
      </c>
      <c r="E195" s="11">
        <v>2</v>
      </c>
      <c r="F195" s="11">
        <v>1</v>
      </c>
      <c r="G195" s="123">
        <f t="shared" ref="G195:G197" si="78">ABS((1-E195/D195)*100)</f>
        <v>0</v>
      </c>
      <c r="H195" s="28">
        <f t="shared" ref="H195:H197" si="79">+IF(G195&gt;10,1,0)</f>
        <v>0</v>
      </c>
      <c r="I195" s="28">
        <f t="shared" ref="I195:I197" si="80">ABS((1-F195/D195)*100)</f>
        <v>50</v>
      </c>
      <c r="J195" s="28">
        <f t="shared" ref="J195:J197" si="81">+IF(I195&gt;10,1,0)</f>
        <v>1</v>
      </c>
      <c r="K195" s="28"/>
      <c r="L195" s="28"/>
      <c r="M195" s="28"/>
      <c r="N195" s="28"/>
      <c r="O195" s="28"/>
      <c r="P195" s="28"/>
      <c r="Q195" s="28"/>
      <c r="R195" s="28"/>
      <c r="S195" s="28"/>
      <c r="T195" s="28"/>
      <c r="U195" s="28"/>
      <c r="V195" s="28"/>
      <c r="W195" s="28"/>
      <c r="X195" s="28"/>
      <c r="Y195" s="28"/>
      <c r="Z195" s="28"/>
    </row>
    <row r="196" spans="1:26" ht="15.75" customHeight="1" x14ac:dyDescent="0.25">
      <c r="A196" s="28"/>
      <c r="B196" s="9" t="s">
        <v>83</v>
      </c>
      <c r="C196" s="300"/>
      <c r="D196" s="47">
        <v>7.133</v>
      </c>
      <c r="E196" s="11">
        <v>9</v>
      </c>
      <c r="F196" s="11">
        <v>13</v>
      </c>
      <c r="G196" s="123">
        <f t="shared" si="78"/>
        <v>26.174120285994661</v>
      </c>
      <c r="H196" s="28">
        <f t="shared" si="79"/>
        <v>1</v>
      </c>
      <c r="I196" s="28">
        <f t="shared" si="80"/>
        <v>82.251507079770093</v>
      </c>
      <c r="J196" s="28">
        <f t="shared" si="81"/>
        <v>1</v>
      </c>
      <c r="K196" s="28"/>
      <c r="L196" s="28"/>
      <c r="M196" s="28"/>
      <c r="N196" s="28"/>
      <c r="O196" s="28"/>
      <c r="P196" s="28"/>
      <c r="Q196" s="28"/>
      <c r="R196" s="28"/>
      <c r="S196" s="28"/>
      <c r="T196" s="28"/>
      <c r="U196" s="28"/>
      <c r="V196" s="28"/>
      <c r="W196" s="28"/>
      <c r="X196" s="28"/>
      <c r="Y196" s="28"/>
      <c r="Z196" s="28"/>
    </row>
    <row r="197" spans="1:26" ht="15.75" customHeight="1" x14ac:dyDescent="0.25">
      <c r="A197" s="28"/>
      <c r="B197" s="9" t="s">
        <v>84</v>
      </c>
      <c r="C197" s="301"/>
      <c r="D197" s="47">
        <v>10.72</v>
      </c>
      <c r="E197" s="11">
        <v>9</v>
      </c>
      <c r="F197" s="11">
        <v>9</v>
      </c>
      <c r="G197" s="123">
        <f t="shared" si="78"/>
        <v>16.044776119402993</v>
      </c>
      <c r="H197" s="28">
        <f t="shared" si="79"/>
        <v>1</v>
      </c>
      <c r="I197" s="28">
        <f t="shared" si="80"/>
        <v>16.044776119402993</v>
      </c>
      <c r="J197" s="28">
        <f t="shared" si="81"/>
        <v>1</v>
      </c>
      <c r="K197" s="28"/>
      <c r="L197" s="28"/>
      <c r="M197" s="28"/>
      <c r="N197" s="28"/>
      <c r="O197" s="28"/>
      <c r="P197" s="28"/>
      <c r="Q197" s="28"/>
      <c r="R197" s="28"/>
      <c r="S197" s="28"/>
      <c r="T197" s="28"/>
      <c r="U197" s="28"/>
      <c r="V197" s="28"/>
      <c r="W197" s="28"/>
      <c r="X197" s="28"/>
      <c r="Y197" s="28"/>
      <c r="Z197" s="28"/>
    </row>
    <row r="198" spans="1:26" ht="15.75" customHeight="1" x14ac:dyDescent="0.25">
      <c r="A198" s="28"/>
      <c r="B198" s="41"/>
      <c r="C198" s="42"/>
      <c r="D198" s="69"/>
      <c r="E198" s="11"/>
      <c r="F198" s="11"/>
      <c r="G198" s="123"/>
      <c r="H198" s="28"/>
      <c r="I198" s="28"/>
      <c r="J198" s="28"/>
      <c r="K198" s="28"/>
      <c r="L198" s="28"/>
      <c r="M198" s="28"/>
      <c r="N198" s="28"/>
      <c r="O198" s="28"/>
      <c r="P198" s="28"/>
      <c r="Q198" s="28"/>
      <c r="R198" s="28"/>
      <c r="S198" s="28"/>
      <c r="T198" s="28"/>
      <c r="U198" s="28"/>
      <c r="V198" s="28"/>
      <c r="W198" s="28"/>
      <c r="X198" s="28"/>
      <c r="Y198" s="28"/>
      <c r="Z198" s="28"/>
    </row>
    <row r="199" spans="1:26" ht="15.75" customHeight="1" x14ac:dyDescent="0.25">
      <c r="A199" s="28"/>
      <c r="B199" s="9" t="s">
        <v>86</v>
      </c>
      <c r="C199" s="302" t="s">
        <v>87</v>
      </c>
      <c r="D199" s="47">
        <v>20.466999999999999</v>
      </c>
      <c r="E199" s="11">
        <v>20</v>
      </c>
      <c r="F199" s="11">
        <v>21</v>
      </c>
      <c r="G199" s="123">
        <f t="shared" ref="G199:G200" si="82">ABS((1-E199/D199)*100)</f>
        <v>2.2817217960619529</v>
      </c>
      <c r="H199" s="28">
        <f t="shared" ref="H199:H200" si="83">+IF(G199&gt;10,1,0)</f>
        <v>0</v>
      </c>
      <c r="I199" s="28">
        <f t="shared" ref="I199:I209" si="84">ABS((1-F199/D199)*100)</f>
        <v>2.6041921141349622</v>
      </c>
      <c r="J199" s="28">
        <f t="shared" ref="J199:J200" si="85">+IF(I199&gt;10,1,0)</f>
        <v>0</v>
      </c>
      <c r="K199" s="28"/>
      <c r="L199" s="28"/>
      <c r="M199" s="28"/>
      <c r="N199" s="28"/>
      <c r="O199" s="28"/>
      <c r="P199" s="28"/>
      <c r="Q199" s="28"/>
      <c r="R199" s="28"/>
      <c r="S199" s="28"/>
      <c r="T199" s="28"/>
      <c r="U199" s="28"/>
      <c r="V199" s="28"/>
      <c r="W199" s="28"/>
      <c r="X199" s="28"/>
      <c r="Y199" s="28"/>
      <c r="Z199" s="28"/>
    </row>
    <row r="200" spans="1:26" ht="15.75" customHeight="1" x14ac:dyDescent="0.25">
      <c r="A200" s="28"/>
      <c r="B200" s="49" t="s">
        <v>88</v>
      </c>
      <c r="C200" s="300"/>
      <c r="D200" s="50">
        <v>20.367000000000001</v>
      </c>
      <c r="E200" s="51">
        <v>20</v>
      </c>
      <c r="F200" s="51">
        <v>21</v>
      </c>
      <c r="G200" s="123">
        <f t="shared" si="82"/>
        <v>1.8019345018903121</v>
      </c>
      <c r="H200" s="28">
        <f t="shared" si="83"/>
        <v>0</v>
      </c>
      <c r="I200" s="28">
        <f t="shared" si="84"/>
        <v>3.1079687730151573</v>
      </c>
      <c r="J200" s="28">
        <f t="shared" si="85"/>
        <v>0</v>
      </c>
      <c r="K200" s="28"/>
      <c r="L200" s="28"/>
      <c r="M200" s="28"/>
      <c r="N200" s="28"/>
      <c r="O200" s="28"/>
      <c r="P200" s="28"/>
      <c r="Q200" s="28"/>
      <c r="R200" s="28"/>
      <c r="S200" s="28"/>
      <c r="T200" s="28"/>
      <c r="U200" s="28"/>
      <c r="V200" s="28"/>
      <c r="W200" s="28"/>
      <c r="X200" s="28"/>
      <c r="Y200" s="28"/>
      <c r="Z200" s="28"/>
    </row>
    <row r="201" spans="1:26" ht="15.75" customHeight="1" x14ac:dyDescent="0.25">
      <c r="A201" s="28"/>
      <c r="B201" s="44"/>
      <c r="C201" s="46"/>
      <c r="D201" s="83"/>
      <c r="E201" s="46"/>
      <c r="F201" s="46"/>
      <c r="G201" s="123"/>
      <c r="H201" s="28"/>
      <c r="I201" s="28" t="e">
        <f t="shared" si="84"/>
        <v>#DIV/0!</v>
      </c>
      <c r="J201" s="28"/>
      <c r="K201" s="28"/>
      <c r="L201" s="28"/>
      <c r="M201" s="28"/>
      <c r="N201" s="28"/>
      <c r="O201" s="28"/>
      <c r="P201" s="28"/>
      <c r="Q201" s="28"/>
      <c r="R201" s="28"/>
      <c r="S201" s="28"/>
      <c r="T201" s="28"/>
      <c r="U201" s="28"/>
      <c r="V201" s="28"/>
      <c r="W201" s="28"/>
      <c r="X201" s="28"/>
      <c r="Y201" s="28"/>
      <c r="Z201" s="28"/>
    </row>
    <row r="202" spans="1:26" ht="15.75" customHeight="1" x14ac:dyDescent="0.25">
      <c r="A202" s="28"/>
      <c r="B202" s="9" t="s">
        <v>89</v>
      </c>
      <c r="C202" s="299" t="s">
        <v>90</v>
      </c>
      <c r="D202" s="47">
        <v>5.15</v>
      </c>
      <c r="E202" s="11">
        <v>5</v>
      </c>
      <c r="F202" s="11">
        <v>14</v>
      </c>
      <c r="G202" s="123">
        <f t="shared" ref="G202:G203" si="86">ABS((1-E202/D202)*100)</f>
        <v>2.9126213592233108</v>
      </c>
      <c r="H202" s="28">
        <f t="shared" ref="H202:H203" si="87">+IF(G202&gt;10,1,0)</f>
        <v>0</v>
      </c>
      <c r="I202" s="28">
        <f t="shared" si="84"/>
        <v>171.84466019417474</v>
      </c>
      <c r="J202" s="28">
        <f t="shared" ref="J202:J203" si="88">+IF(I202&gt;10,1,0)</f>
        <v>1</v>
      </c>
      <c r="K202" s="28"/>
      <c r="L202" s="28"/>
      <c r="M202" s="28"/>
      <c r="N202" s="28"/>
      <c r="O202" s="28"/>
      <c r="P202" s="28"/>
      <c r="Q202" s="28"/>
      <c r="R202" s="28"/>
      <c r="S202" s="28"/>
      <c r="T202" s="28"/>
      <c r="U202" s="28"/>
      <c r="V202" s="28"/>
      <c r="W202" s="28"/>
      <c r="X202" s="28"/>
      <c r="Y202" s="28"/>
      <c r="Z202" s="28"/>
    </row>
    <row r="203" spans="1:26" ht="15.75" customHeight="1" x14ac:dyDescent="0.25">
      <c r="A203" s="28"/>
      <c r="B203" s="49" t="s">
        <v>91</v>
      </c>
      <c r="C203" s="300"/>
      <c r="D203" s="50">
        <v>16.2</v>
      </c>
      <c r="E203" s="51">
        <v>16</v>
      </c>
      <c r="F203" s="51">
        <v>24</v>
      </c>
      <c r="G203" s="123">
        <f t="shared" si="86"/>
        <v>1.2345679012345623</v>
      </c>
      <c r="H203" s="28">
        <f t="shared" si="87"/>
        <v>0</v>
      </c>
      <c r="I203" s="28">
        <f t="shared" si="84"/>
        <v>48.148148148148159</v>
      </c>
      <c r="J203" s="28">
        <f t="shared" si="88"/>
        <v>1</v>
      </c>
      <c r="K203" s="28"/>
      <c r="L203" s="28"/>
      <c r="M203" s="28"/>
      <c r="N203" s="28"/>
      <c r="O203" s="28"/>
      <c r="P203" s="28"/>
      <c r="Q203" s="28"/>
      <c r="R203" s="28"/>
      <c r="S203" s="28"/>
      <c r="T203" s="28"/>
      <c r="U203" s="28"/>
      <c r="V203" s="28"/>
      <c r="W203" s="28"/>
      <c r="X203" s="28"/>
      <c r="Y203" s="28"/>
      <c r="Z203" s="28"/>
    </row>
    <row r="204" spans="1:26" ht="15.75" customHeight="1" x14ac:dyDescent="0.25">
      <c r="A204" s="28"/>
      <c r="B204" s="41"/>
      <c r="C204" s="42"/>
      <c r="D204" s="69"/>
      <c r="E204" s="201"/>
      <c r="F204" s="201"/>
      <c r="G204" s="123"/>
      <c r="H204" s="28"/>
      <c r="I204" s="28" t="e">
        <f t="shared" si="84"/>
        <v>#DIV/0!</v>
      </c>
      <c r="J204" s="28"/>
      <c r="K204" s="28"/>
      <c r="L204" s="28"/>
      <c r="M204" s="28"/>
      <c r="N204" s="28"/>
      <c r="O204" s="28"/>
      <c r="P204" s="28"/>
      <c r="Q204" s="28"/>
      <c r="R204" s="28"/>
      <c r="S204" s="28"/>
      <c r="T204" s="28"/>
      <c r="U204" s="28"/>
      <c r="V204" s="28"/>
      <c r="W204" s="28"/>
      <c r="X204" s="28"/>
      <c r="Y204" s="28"/>
      <c r="Z204" s="28"/>
    </row>
    <row r="205" spans="1:26" ht="15.75" customHeight="1" x14ac:dyDescent="0.25">
      <c r="A205" s="28"/>
      <c r="B205" s="9" t="s">
        <v>94</v>
      </c>
      <c r="C205" s="299" t="s">
        <v>95</v>
      </c>
      <c r="D205" s="47">
        <v>50.082999999999998</v>
      </c>
      <c r="E205" s="11">
        <v>60</v>
      </c>
      <c r="F205" s="11">
        <v>77</v>
      </c>
      <c r="G205" s="123">
        <f t="shared" ref="G205:G209" si="89">ABS((1-E205/D205)*100)</f>
        <v>19.801130123994181</v>
      </c>
      <c r="H205" s="28">
        <f t="shared" ref="H205:H209" si="90">+IF(G205&gt;10,1,0)</f>
        <v>1</v>
      </c>
      <c r="I205" s="28">
        <f t="shared" si="84"/>
        <v>53.744783659125851</v>
      </c>
      <c r="J205" s="28">
        <f t="shared" ref="J205:J209" si="91">+IF(I205&gt;10,1,0)</f>
        <v>1</v>
      </c>
      <c r="K205" s="28"/>
      <c r="L205" s="28"/>
      <c r="M205" s="28"/>
      <c r="N205" s="28"/>
      <c r="O205" s="28"/>
      <c r="P205" s="28"/>
      <c r="Q205" s="28"/>
      <c r="R205" s="28"/>
      <c r="S205" s="28"/>
      <c r="T205" s="28"/>
      <c r="U205" s="28"/>
      <c r="V205" s="28"/>
      <c r="W205" s="28"/>
      <c r="X205" s="28"/>
      <c r="Y205" s="28"/>
      <c r="Z205" s="28"/>
    </row>
    <row r="206" spans="1:26" ht="15.75" customHeight="1" x14ac:dyDescent="0.25">
      <c r="A206" s="28">
        <v>122</v>
      </c>
      <c r="B206" s="9" t="s">
        <v>96</v>
      </c>
      <c r="C206" s="300"/>
      <c r="D206" s="47">
        <v>93.992999999999995</v>
      </c>
      <c r="E206" s="11">
        <v>131</v>
      </c>
      <c r="F206" s="11">
        <v>137</v>
      </c>
      <c r="G206" s="123">
        <f t="shared" si="89"/>
        <v>39.37208089964146</v>
      </c>
      <c r="H206" s="28">
        <f t="shared" si="90"/>
        <v>1</v>
      </c>
      <c r="I206" s="28">
        <f t="shared" si="84"/>
        <v>45.755534986647952</v>
      </c>
      <c r="J206" s="28">
        <f t="shared" si="91"/>
        <v>1</v>
      </c>
      <c r="K206" s="28"/>
      <c r="L206" s="28"/>
      <c r="M206" s="28"/>
      <c r="N206" s="28"/>
      <c r="O206" s="28"/>
      <c r="P206" s="28"/>
      <c r="Q206" s="28"/>
      <c r="R206" s="28"/>
      <c r="S206" s="28"/>
      <c r="T206" s="28"/>
      <c r="U206" s="28"/>
      <c r="V206" s="28"/>
      <c r="W206" s="28"/>
      <c r="X206" s="28"/>
      <c r="Y206" s="28"/>
      <c r="Z206" s="28"/>
    </row>
    <row r="207" spans="1:26" ht="15.75" customHeight="1" x14ac:dyDescent="0.25">
      <c r="A207" s="28">
        <v>130</v>
      </c>
      <c r="B207" s="9" t="s">
        <v>97</v>
      </c>
      <c r="C207" s="300"/>
      <c r="D207" s="47">
        <v>95.516999999999996</v>
      </c>
      <c r="E207" s="11">
        <v>130</v>
      </c>
      <c r="F207" s="11">
        <v>126</v>
      </c>
      <c r="G207" s="123">
        <f t="shared" si="89"/>
        <v>36.101426971115089</v>
      </c>
      <c r="H207" s="28">
        <f t="shared" si="90"/>
        <v>1</v>
      </c>
      <c r="I207" s="28">
        <f t="shared" si="84"/>
        <v>31.91369075661925</v>
      </c>
      <c r="J207" s="28">
        <f t="shared" si="91"/>
        <v>1</v>
      </c>
      <c r="K207" s="28"/>
      <c r="L207" s="28"/>
      <c r="M207" s="28"/>
      <c r="N207" s="28"/>
      <c r="O207" s="28"/>
      <c r="P207" s="28"/>
      <c r="Q207" s="28"/>
      <c r="R207" s="28"/>
      <c r="S207" s="28"/>
      <c r="T207" s="28"/>
      <c r="U207" s="28"/>
      <c r="V207" s="28"/>
      <c r="W207" s="28"/>
      <c r="X207" s="28"/>
      <c r="Y207" s="28"/>
      <c r="Z207" s="28"/>
    </row>
    <row r="208" spans="1:26" ht="15.75" customHeight="1" x14ac:dyDescent="0.25">
      <c r="A208" s="28">
        <v>142</v>
      </c>
      <c r="B208" s="9" t="s">
        <v>98</v>
      </c>
      <c r="C208" s="300"/>
      <c r="D208" s="47">
        <v>100.92</v>
      </c>
      <c r="E208" s="11">
        <v>138</v>
      </c>
      <c r="F208" s="11">
        <v>142</v>
      </c>
      <c r="G208" s="123">
        <f t="shared" si="89"/>
        <v>36.741973840665864</v>
      </c>
      <c r="H208" s="28">
        <f t="shared" si="90"/>
        <v>1</v>
      </c>
      <c r="I208" s="28">
        <f t="shared" si="84"/>
        <v>40.705509314308365</v>
      </c>
      <c r="J208" s="28">
        <f t="shared" si="91"/>
        <v>1</v>
      </c>
      <c r="K208" s="28"/>
      <c r="L208" s="28"/>
      <c r="M208" s="28"/>
      <c r="N208" s="28"/>
      <c r="O208" s="28"/>
      <c r="P208" s="28"/>
      <c r="Q208" s="28"/>
      <c r="R208" s="28"/>
      <c r="S208" s="28"/>
      <c r="T208" s="28"/>
      <c r="U208" s="28"/>
      <c r="V208" s="28"/>
      <c r="W208" s="28"/>
      <c r="X208" s="28"/>
      <c r="Y208" s="28"/>
      <c r="Z208" s="28"/>
    </row>
    <row r="209" spans="1:26" ht="15.75" customHeight="1" x14ac:dyDescent="0.25">
      <c r="A209" s="28">
        <v>146</v>
      </c>
      <c r="B209" s="9" t="s">
        <v>99</v>
      </c>
      <c r="C209" s="301"/>
      <c r="D209" s="47">
        <v>115.37</v>
      </c>
      <c r="E209" s="11">
        <v>143</v>
      </c>
      <c r="F209" s="11">
        <v>152</v>
      </c>
      <c r="G209" s="123">
        <f t="shared" si="89"/>
        <v>23.949033544248934</v>
      </c>
      <c r="H209" s="28">
        <f t="shared" si="90"/>
        <v>1</v>
      </c>
      <c r="I209" s="28">
        <f t="shared" si="84"/>
        <v>31.750021669411453</v>
      </c>
      <c r="J209" s="28">
        <f t="shared" si="91"/>
        <v>1</v>
      </c>
      <c r="K209" s="28"/>
      <c r="L209" s="28"/>
      <c r="M209" s="28"/>
      <c r="N209" s="28"/>
      <c r="O209" s="28"/>
      <c r="P209" s="28"/>
      <c r="Q209" s="28"/>
      <c r="R209" s="28"/>
      <c r="S209" s="28"/>
      <c r="T209" s="28"/>
      <c r="U209" s="28"/>
      <c r="V209" s="28"/>
      <c r="W209" s="28"/>
      <c r="X209" s="28"/>
      <c r="Y209" s="28"/>
      <c r="Z209" s="28"/>
    </row>
    <row r="210" spans="1:26" ht="15.75" customHeight="1" x14ac:dyDescent="0.25">
      <c r="A210" s="28"/>
      <c r="B210" s="1"/>
      <c r="C210" s="1"/>
      <c r="D210" s="189"/>
      <c r="E210" s="2"/>
      <c r="F210" s="146"/>
      <c r="G210" s="28"/>
      <c r="H210" s="28">
        <f>SUM(H158:H209)</f>
        <v>8</v>
      </c>
      <c r="I210" s="28"/>
      <c r="J210" s="3">
        <f>SUM(J159:J209)</f>
        <v>19</v>
      </c>
      <c r="K210" s="28"/>
      <c r="L210" s="28"/>
      <c r="M210" s="28"/>
      <c r="N210" s="28"/>
      <c r="O210" s="28"/>
      <c r="P210" s="28"/>
      <c r="Q210" s="28"/>
      <c r="R210" s="28"/>
      <c r="S210" s="28"/>
      <c r="T210" s="28"/>
      <c r="U210" s="28"/>
      <c r="V210" s="28"/>
      <c r="W210" s="28"/>
      <c r="X210" s="28"/>
      <c r="Y210" s="28"/>
      <c r="Z210" s="28"/>
    </row>
    <row r="211" spans="1:26" ht="15.75" customHeight="1" x14ac:dyDescent="0.25">
      <c r="A211" s="28"/>
      <c r="B211" s="28"/>
      <c r="C211" s="28"/>
      <c r="D211" s="184"/>
      <c r="E211" s="28"/>
      <c r="F211" s="28"/>
      <c r="G211" s="28"/>
      <c r="H211" s="28">
        <f>+H210/42*100</f>
        <v>19.047619047619047</v>
      </c>
      <c r="I211" s="28" t="s">
        <v>1190</v>
      </c>
      <c r="J211" s="28"/>
      <c r="K211" s="28"/>
      <c r="L211" s="28"/>
      <c r="M211" s="28"/>
      <c r="N211" s="28"/>
      <c r="O211" s="28"/>
      <c r="P211" s="28"/>
      <c r="Q211" s="28"/>
      <c r="R211" s="28"/>
      <c r="S211" s="28"/>
      <c r="T211" s="28"/>
      <c r="U211" s="28"/>
      <c r="V211" s="28"/>
      <c r="W211" s="28"/>
      <c r="X211" s="28"/>
      <c r="Y211" s="28"/>
      <c r="Z211" s="28"/>
    </row>
    <row r="212" spans="1:26" ht="15.75" customHeight="1" x14ac:dyDescent="0.25">
      <c r="D212" s="184"/>
    </row>
    <row r="213" spans="1:26" ht="15.75" customHeight="1" x14ac:dyDescent="0.25">
      <c r="D213" s="184"/>
    </row>
    <row r="214" spans="1:26" ht="15.75" customHeight="1" x14ac:dyDescent="0.25">
      <c r="D214" s="184"/>
    </row>
    <row r="215" spans="1:26" ht="15.75" customHeight="1" x14ac:dyDescent="0.25">
      <c r="A215" s="28"/>
      <c r="B215" s="28" t="s">
        <v>1104</v>
      </c>
      <c r="C215" s="28"/>
      <c r="D215" s="184"/>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5.75" customHeight="1" x14ac:dyDescent="0.25">
      <c r="A216" s="28"/>
      <c r="B216" s="28"/>
      <c r="C216" s="23"/>
      <c r="D216" s="185"/>
      <c r="E216" s="23"/>
      <c r="F216" s="23"/>
      <c r="G216" s="23"/>
      <c r="H216" s="28"/>
      <c r="I216" s="28"/>
      <c r="J216" s="28"/>
      <c r="K216" s="28"/>
      <c r="L216" s="28"/>
      <c r="M216" s="28"/>
      <c r="N216" s="28"/>
      <c r="O216" s="28"/>
      <c r="P216" s="28"/>
      <c r="Q216" s="28"/>
      <c r="R216" s="28"/>
      <c r="S216" s="28"/>
      <c r="T216" s="28"/>
      <c r="U216" s="28"/>
      <c r="V216" s="28"/>
      <c r="W216" s="28"/>
      <c r="X216" s="28"/>
      <c r="Y216" s="28"/>
      <c r="Z216" s="28"/>
    </row>
    <row r="217" spans="1:26" ht="15.75" customHeight="1" x14ac:dyDescent="0.25">
      <c r="A217" s="28"/>
      <c r="B217" s="332" t="s">
        <v>851</v>
      </c>
      <c r="C217" s="297"/>
      <c r="D217" s="297"/>
      <c r="E217" s="297"/>
      <c r="F217" s="297"/>
      <c r="G217" s="298"/>
      <c r="H217" s="28"/>
      <c r="I217" s="28"/>
      <c r="J217" s="28"/>
      <c r="K217" s="28"/>
      <c r="L217" s="28"/>
      <c r="M217" s="28"/>
      <c r="N217" s="28"/>
      <c r="O217" s="28"/>
      <c r="P217" s="28"/>
      <c r="Q217" s="28"/>
      <c r="R217" s="28"/>
      <c r="S217" s="28"/>
      <c r="T217" s="28"/>
      <c r="U217" s="28"/>
      <c r="V217" s="28"/>
      <c r="W217" s="28"/>
      <c r="X217" s="28"/>
      <c r="Y217" s="28"/>
      <c r="Z217" s="28"/>
    </row>
    <row r="218" spans="1:26" ht="15.75" customHeight="1" x14ac:dyDescent="0.25">
      <c r="A218" s="28"/>
      <c r="B218" s="4" t="s">
        <v>0</v>
      </c>
      <c r="C218" s="5" t="s">
        <v>1</v>
      </c>
      <c r="D218" s="186" t="s">
        <v>42</v>
      </c>
      <c r="E218" s="5" t="s">
        <v>43</v>
      </c>
      <c r="F218" s="5" t="s">
        <v>44</v>
      </c>
      <c r="G218" s="7" t="s">
        <v>206</v>
      </c>
      <c r="H218" s="28"/>
      <c r="I218" s="28"/>
      <c r="J218" s="296" t="s">
        <v>45</v>
      </c>
      <c r="K218" s="297"/>
      <c r="L218" s="297"/>
      <c r="M218" s="298"/>
      <c r="N218" s="28"/>
      <c r="O218" s="28"/>
      <c r="P218" s="28"/>
      <c r="Q218" s="28"/>
      <c r="R218" s="28"/>
      <c r="S218" s="28"/>
      <c r="T218" s="28"/>
      <c r="U218" s="28"/>
      <c r="V218" s="28"/>
      <c r="W218" s="28"/>
      <c r="X218" s="28"/>
      <c r="Y218" s="28"/>
      <c r="Z218" s="28"/>
    </row>
    <row r="219" spans="1:26" ht="15.75" customHeight="1" x14ac:dyDescent="0.25">
      <c r="A219" s="28"/>
      <c r="B219" s="310" t="s">
        <v>275</v>
      </c>
      <c r="C219" s="297"/>
      <c r="D219" s="297"/>
      <c r="E219" s="297"/>
      <c r="F219" s="297"/>
      <c r="G219" s="298"/>
      <c r="H219" s="28"/>
      <c r="I219" s="28"/>
      <c r="J219" s="305" t="s">
        <v>275</v>
      </c>
      <c r="K219" s="297"/>
      <c r="L219" s="297"/>
      <c r="M219" s="298"/>
      <c r="N219" s="28"/>
      <c r="O219" s="28"/>
      <c r="P219" s="28"/>
      <c r="Q219" s="28"/>
      <c r="R219" s="28"/>
      <c r="S219" s="28"/>
      <c r="T219" s="28"/>
      <c r="U219" s="28"/>
      <c r="V219" s="28"/>
      <c r="W219" s="28"/>
      <c r="X219" s="28"/>
      <c r="Y219" s="28"/>
      <c r="Z219" s="28"/>
    </row>
    <row r="220" spans="1:26" ht="15.75" customHeight="1" x14ac:dyDescent="0.25">
      <c r="A220" s="28"/>
      <c r="B220" s="9" t="s">
        <v>11</v>
      </c>
      <c r="C220" s="12" t="s">
        <v>12</v>
      </c>
      <c r="D220" s="187"/>
      <c r="E220" s="22">
        <v>550</v>
      </c>
      <c r="F220" s="11">
        <v>560</v>
      </c>
      <c r="G220" s="110">
        <v>560</v>
      </c>
      <c r="H220" s="28"/>
      <c r="I220" s="28"/>
      <c r="J220" s="12"/>
      <c r="K220" s="12" t="s">
        <v>52</v>
      </c>
      <c r="L220" s="12" t="s">
        <v>53</v>
      </c>
      <c r="M220" s="12"/>
      <c r="N220" s="28"/>
      <c r="O220" s="28"/>
      <c r="P220" s="28"/>
      <c r="Q220" s="28"/>
      <c r="R220" s="28"/>
      <c r="S220" s="28"/>
      <c r="T220" s="28"/>
      <c r="U220" s="28"/>
      <c r="V220" s="28"/>
      <c r="W220" s="28"/>
      <c r="X220" s="28"/>
      <c r="Y220" s="28"/>
      <c r="Z220" s="28"/>
    </row>
    <row r="221" spans="1:26" ht="15.75" customHeight="1" x14ac:dyDescent="0.25">
      <c r="A221" s="28"/>
      <c r="B221" s="9" t="s">
        <v>11</v>
      </c>
      <c r="C221" s="12" t="s">
        <v>18</v>
      </c>
      <c r="D221" s="187">
        <v>0</v>
      </c>
      <c r="E221" s="22">
        <v>0</v>
      </c>
      <c r="F221" s="11">
        <v>0</v>
      </c>
      <c r="G221" s="110">
        <v>0</v>
      </c>
      <c r="H221" s="28"/>
      <c r="I221" s="28"/>
      <c r="J221" s="12" t="s">
        <v>12</v>
      </c>
      <c r="K221" s="17">
        <v>550</v>
      </c>
      <c r="L221" s="11">
        <v>560</v>
      </c>
      <c r="M221" s="17" t="s">
        <v>1258</v>
      </c>
      <c r="N221" s="28"/>
      <c r="O221" s="28"/>
      <c r="P221" s="28"/>
      <c r="Q221" s="28"/>
      <c r="R221" s="28"/>
      <c r="S221" s="28"/>
      <c r="T221" s="28"/>
      <c r="U221" s="28"/>
      <c r="V221" s="28"/>
      <c r="W221" s="28"/>
      <c r="X221" s="28"/>
      <c r="Y221" s="28"/>
      <c r="Z221" s="28"/>
    </row>
    <row r="222" spans="1:26" ht="15.75" customHeight="1" x14ac:dyDescent="0.25">
      <c r="A222" s="28"/>
      <c r="B222" s="9" t="s">
        <v>21</v>
      </c>
      <c r="C222" s="12" t="s">
        <v>59</v>
      </c>
      <c r="D222" s="187">
        <v>440</v>
      </c>
      <c r="E222" s="22">
        <v>417</v>
      </c>
      <c r="F222" s="11">
        <v>444</v>
      </c>
      <c r="G222" s="110">
        <v>444</v>
      </c>
      <c r="H222" s="28"/>
      <c r="I222" s="28"/>
      <c r="J222" s="12" t="s">
        <v>18</v>
      </c>
      <c r="K222" s="24">
        <v>0</v>
      </c>
      <c r="L222" s="25">
        <v>0</v>
      </c>
      <c r="M222" s="24" t="s">
        <v>1261</v>
      </c>
      <c r="N222" s="28"/>
      <c r="O222" s="28"/>
      <c r="P222" s="28"/>
      <c r="Q222" s="28"/>
      <c r="R222" s="28"/>
      <c r="S222" s="28"/>
      <c r="T222" s="28"/>
      <c r="U222" s="28"/>
      <c r="V222" s="28"/>
      <c r="W222" s="28"/>
      <c r="X222" s="28"/>
      <c r="Y222" s="28"/>
      <c r="Z222" s="28"/>
    </row>
    <row r="223" spans="1:26" ht="15.75" customHeight="1" x14ac:dyDescent="0.25">
      <c r="A223" s="28"/>
      <c r="B223" s="12" t="s">
        <v>21</v>
      </c>
      <c r="C223" s="12" t="s">
        <v>63</v>
      </c>
      <c r="D223" s="227">
        <v>160</v>
      </c>
      <c r="E223" s="26">
        <v>153</v>
      </c>
      <c r="F223" s="25">
        <v>173</v>
      </c>
      <c r="G223" s="148">
        <v>173</v>
      </c>
      <c r="H223" s="28"/>
      <c r="I223" s="28"/>
      <c r="J223" s="330"/>
      <c r="K223" s="315"/>
      <c r="L223" s="315"/>
      <c r="M223" s="315"/>
      <c r="N223" s="28"/>
      <c r="O223" s="28"/>
      <c r="P223" s="28"/>
      <c r="Q223" s="28"/>
      <c r="R223" s="28"/>
      <c r="S223" s="28"/>
      <c r="T223" s="28"/>
      <c r="U223" s="28"/>
      <c r="V223" s="28"/>
      <c r="W223" s="28"/>
      <c r="X223" s="28"/>
      <c r="Y223" s="28"/>
      <c r="Z223" s="28"/>
    </row>
    <row r="224" spans="1:26" ht="15.75" customHeight="1" x14ac:dyDescent="0.2">
      <c r="B224" s="12" t="s">
        <v>21</v>
      </c>
      <c r="C224" s="12" t="s">
        <v>218</v>
      </c>
      <c r="D224" s="227">
        <v>0</v>
      </c>
      <c r="E224" s="26">
        <v>0</v>
      </c>
      <c r="F224" s="25">
        <v>0</v>
      </c>
      <c r="G224" s="148">
        <v>0</v>
      </c>
    </row>
    <row r="225" spans="4:4" ht="15.75" customHeight="1" x14ac:dyDescent="0.25">
      <c r="D225" s="184"/>
    </row>
    <row r="226" spans="4:4" ht="15.75" customHeight="1" x14ac:dyDescent="0.25">
      <c r="D226" s="184"/>
    </row>
    <row r="227" spans="4:4" ht="15.75" customHeight="1" x14ac:dyDescent="0.25">
      <c r="D227" s="184"/>
    </row>
    <row r="228" spans="4:4" ht="15.75" customHeight="1" x14ac:dyDescent="0.25">
      <c r="D228" s="184"/>
    </row>
    <row r="229" spans="4:4" ht="15.75" customHeight="1" x14ac:dyDescent="0.25">
      <c r="D229" s="184"/>
    </row>
    <row r="230" spans="4:4" ht="15.75" customHeight="1" x14ac:dyDescent="0.25">
      <c r="D230" s="184"/>
    </row>
    <row r="231" spans="4:4" ht="15.75" customHeight="1" x14ac:dyDescent="0.25">
      <c r="D231" s="184"/>
    </row>
    <row r="232" spans="4:4" ht="15.75" customHeight="1" x14ac:dyDescent="0.25">
      <c r="D232" s="184"/>
    </row>
    <row r="233" spans="4:4" ht="15.75" customHeight="1" x14ac:dyDescent="0.25">
      <c r="D233" s="184"/>
    </row>
    <row r="234" spans="4:4" ht="15.75" customHeight="1" x14ac:dyDescent="0.25">
      <c r="D234" s="184"/>
    </row>
    <row r="235" spans="4:4" ht="15.75" customHeight="1" x14ac:dyDescent="0.25">
      <c r="D235" s="184"/>
    </row>
    <row r="236" spans="4:4" ht="15.75" customHeight="1" x14ac:dyDescent="0.25">
      <c r="D236" s="184"/>
    </row>
    <row r="237" spans="4:4" ht="15.75" customHeight="1" x14ac:dyDescent="0.25">
      <c r="D237" s="184"/>
    </row>
    <row r="238" spans="4:4" ht="15.75" customHeight="1" x14ac:dyDescent="0.25">
      <c r="D238" s="184"/>
    </row>
    <row r="239" spans="4:4" ht="15.75" customHeight="1" x14ac:dyDescent="0.25">
      <c r="D239" s="184"/>
    </row>
    <row r="240" spans="4:4" ht="15.75" customHeight="1" x14ac:dyDescent="0.25">
      <c r="D240" s="184"/>
    </row>
    <row r="241" spans="4:4" ht="15.75" customHeight="1" x14ac:dyDescent="0.25">
      <c r="D241" s="184"/>
    </row>
    <row r="242" spans="4:4" ht="15.75" customHeight="1" x14ac:dyDescent="0.25">
      <c r="D242" s="184"/>
    </row>
    <row r="243" spans="4:4" ht="15.75" customHeight="1" x14ac:dyDescent="0.25">
      <c r="D243" s="184"/>
    </row>
    <row r="244" spans="4:4" ht="15.75" customHeight="1" x14ac:dyDescent="0.25">
      <c r="D244" s="184"/>
    </row>
    <row r="245" spans="4:4" ht="15.75" customHeight="1" x14ac:dyDescent="0.25">
      <c r="D245" s="184"/>
    </row>
    <row r="246" spans="4:4" ht="15.75" customHeight="1" x14ac:dyDescent="0.25">
      <c r="D246" s="184"/>
    </row>
    <row r="247" spans="4:4" ht="15.75" customHeight="1" x14ac:dyDescent="0.25">
      <c r="D247" s="184"/>
    </row>
    <row r="248" spans="4:4" ht="15.75" customHeight="1" x14ac:dyDescent="0.25">
      <c r="D248" s="184"/>
    </row>
    <row r="249" spans="4:4" ht="15.75" customHeight="1" x14ac:dyDescent="0.25">
      <c r="D249" s="184"/>
    </row>
    <row r="250" spans="4:4" ht="15.75" customHeight="1" x14ac:dyDescent="0.25">
      <c r="D250" s="184"/>
    </row>
    <row r="251" spans="4:4" ht="15.75" customHeight="1" x14ac:dyDescent="0.25">
      <c r="D251" s="184"/>
    </row>
    <row r="252" spans="4:4" ht="15.75" customHeight="1" x14ac:dyDescent="0.25">
      <c r="D252" s="184"/>
    </row>
    <row r="253" spans="4:4" ht="15.75" customHeight="1" x14ac:dyDescent="0.25">
      <c r="D253" s="184"/>
    </row>
    <row r="254" spans="4:4" ht="15.75" customHeight="1" x14ac:dyDescent="0.25">
      <c r="D254" s="184"/>
    </row>
    <row r="255" spans="4:4" ht="15.75" customHeight="1" x14ac:dyDescent="0.25">
      <c r="D255" s="184"/>
    </row>
    <row r="256" spans="4:4" ht="15.75" customHeight="1" x14ac:dyDescent="0.25">
      <c r="D256" s="184"/>
    </row>
    <row r="257" spans="4:4" ht="15.75" customHeight="1" x14ac:dyDescent="0.25">
      <c r="D257" s="184"/>
    </row>
    <row r="258" spans="4:4" ht="15.75" customHeight="1" x14ac:dyDescent="0.25">
      <c r="D258" s="184"/>
    </row>
    <row r="259" spans="4:4" ht="15.75" customHeight="1" x14ac:dyDescent="0.25">
      <c r="D259" s="184"/>
    </row>
    <row r="260" spans="4:4" ht="15.75" customHeight="1" x14ac:dyDescent="0.25">
      <c r="D260" s="184"/>
    </row>
    <row r="261" spans="4:4" ht="15.75" customHeight="1" x14ac:dyDescent="0.25">
      <c r="D261" s="184"/>
    </row>
    <row r="262" spans="4:4" ht="15.75" customHeight="1" x14ac:dyDescent="0.25">
      <c r="D262" s="184"/>
    </row>
    <row r="263" spans="4:4" ht="15.75" customHeight="1" x14ac:dyDescent="0.25">
      <c r="D263" s="184"/>
    </row>
    <row r="264" spans="4:4" ht="15.75" customHeight="1" x14ac:dyDescent="0.25">
      <c r="D264" s="184"/>
    </row>
    <row r="265" spans="4:4" ht="15.75" customHeight="1" x14ac:dyDescent="0.25">
      <c r="D265" s="184"/>
    </row>
    <row r="266" spans="4:4" ht="15.75" customHeight="1" x14ac:dyDescent="0.25">
      <c r="D266" s="184"/>
    </row>
    <row r="267" spans="4:4" ht="15.75" customHeight="1" x14ac:dyDescent="0.25">
      <c r="D267" s="184"/>
    </row>
    <row r="268" spans="4:4" ht="15.75" customHeight="1" x14ac:dyDescent="0.25">
      <c r="D268" s="184"/>
    </row>
    <row r="269" spans="4:4" ht="15.75" customHeight="1" x14ac:dyDescent="0.25">
      <c r="D269" s="184"/>
    </row>
    <row r="270" spans="4:4" ht="15.75" customHeight="1" x14ac:dyDescent="0.25">
      <c r="D270" s="184"/>
    </row>
    <row r="271" spans="4:4" ht="15.75" customHeight="1" x14ac:dyDescent="0.25">
      <c r="D271" s="184"/>
    </row>
    <row r="272" spans="4:4" ht="15.75" customHeight="1" x14ac:dyDescent="0.25">
      <c r="D272" s="184"/>
    </row>
    <row r="273" spans="4:4" ht="15.75" customHeight="1" x14ac:dyDescent="0.25">
      <c r="D273" s="184"/>
    </row>
    <row r="274" spans="4:4" ht="15.75" customHeight="1" x14ac:dyDescent="0.25">
      <c r="D274" s="184"/>
    </row>
    <row r="275" spans="4:4" ht="15.75" customHeight="1" x14ac:dyDescent="0.25">
      <c r="D275" s="184"/>
    </row>
    <row r="276" spans="4:4" ht="15.75" customHeight="1" x14ac:dyDescent="0.25">
      <c r="D276" s="184"/>
    </row>
    <row r="277" spans="4:4" ht="15.75" customHeight="1" x14ac:dyDescent="0.25">
      <c r="D277" s="184"/>
    </row>
    <row r="278" spans="4:4" ht="15.75" customHeight="1" x14ac:dyDescent="0.25">
      <c r="D278" s="184"/>
    </row>
    <row r="279" spans="4:4" ht="15.75" customHeight="1" x14ac:dyDescent="0.25">
      <c r="D279" s="184"/>
    </row>
    <row r="280" spans="4:4" ht="15.75" customHeight="1" x14ac:dyDescent="0.25">
      <c r="D280" s="184"/>
    </row>
    <row r="281" spans="4:4" ht="15.75" customHeight="1" x14ac:dyDescent="0.25">
      <c r="D281" s="184"/>
    </row>
    <row r="282" spans="4:4" ht="15.75" customHeight="1" x14ac:dyDescent="0.25">
      <c r="D282" s="184"/>
    </row>
    <row r="283" spans="4:4" ht="15.75" customHeight="1" x14ac:dyDescent="0.25">
      <c r="D283" s="184"/>
    </row>
    <row r="284" spans="4:4" ht="15.75" customHeight="1" x14ac:dyDescent="0.25">
      <c r="D284" s="184"/>
    </row>
    <row r="285" spans="4:4" ht="15.75" customHeight="1" x14ac:dyDescent="0.25">
      <c r="D285" s="184"/>
    </row>
    <row r="286" spans="4:4" ht="15.75" customHeight="1" x14ac:dyDescent="0.25">
      <c r="D286" s="184"/>
    </row>
    <row r="287" spans="4:4" ht="15.75" customHeight="1" x14ac:dyDescent="0.25">
      <c r="D287" s="184"/>
    </row>
    <row r="288" spans="4:4" ht="15.75" customHeight="1" x14ac:dyDescent="0.25">
      <c r="D288" s="184"/>
    </row>
    <row r="289" spans="4:4" ht="15.75" customHeight="1" x14ac:dyDescent="0.25">
      <c r="D289" s="184"/>
    </row>
    <row r="290" spans="4:4" ht="15.75" customHeight="1" x14ac:dyDescent="0.25">
      <c r="D290" s="184"/>
    </row>
    <row r="291" spans="4:4" ht="15.75" customHeight="1" x14ac:dyDescent="0.25">
      <c r="D291" s="184"/>
    </row>
    <row r="292" spans="4:4" ht="15.75" customHeight="1" x14ac:dyDescent="0.25">
      <c r="D292" s="184"/>
    </row>
    <row r="293" spans="4:4" ht="15.75" customHeight="1" x14ac:dyDescent="0.25">
      <c r="D293" s="184"/>
    </row>
    <row r="294" spans="4:4" ht="15.75" customHeight="1" x14ac:dyDescent="0.25">
      <c r="D294" s="184"/>
    </row>
    <row r="295" spans="4:4" ht="15.75" customHeight="1" x14ac:dyDescent="0.25">
      <c r="D295" s="184"/>
    </row>
    <row r="296" spans="4:4" ht="15.75" customHeight="1" x14ac:dyDescent="0.25">
      <c r="D296" s="184"/>
    </row>
    <row r="297" spans="4:4" ht="15.75" customHeight="1" x14ac:dyDescent="0.25">
      <c r="D297" s="184"/>
    </row>
    <row r="298" spans="4:4" ht="15.75" customHeight="1" x14ac:dyDescent="0.25">
      <c r="D298" s="184"/>
    </row>
    <row r="299" spans="4:4" ht="15.75" customHeight="1" x14ac:dyDescent="0.25">
      <c r="D299" s="184"/>
    </row>
    <row r="300" spans="4:4" ht="15.75" customHeight="1" x14ac:dyDescent="0.25">
      <c r="D300" s="184"/>
    </row>
    <row r="301" spans="4:4" ht="15.75" customHeight="1" x14ac:dyDescent="0.25">
      <c r="D301" s="184"/>
    </row>
    <row r="302" spans="4:4" ht="15.75" customHeight="1" x14ac:dyDescent="0.25">
      <c r="D302" s="184"/>
    </row>
    <row r="303" spans="4:4" ht="15.75" customHeight="1" x14ac:dyDescent="0.25">
      <c r="D303" s="184"/>
    </row>
    <row r="304" spans="4:4" ht="15.75" customHeight="1" x14ac:dyDescent="0.25">
      <c r="D304" s="184"/>
    </row>
    <row r="305" spans="4:4" ht="15.75" customHeight="1" x14ac:dyDescent="0.25">
      <c r="D305" s="184"/>
    </row>
    <row r="306" spans="4:4" ht="15.75" customHeight="1" x14ac:dyDescent="0.25">
      <c r="D306" s="184"/>
    </row>
    <row r="307" spans="4:4" ht="15.75" customHeight="1" x14ac:dyDescent="0.25">
      <c r="D307" s="184"/>
    </row>
    <row r="308" spans="4:4" ht="15.75" customHeight="1" x14ac:dyDescent="0.25">
      <c r="D308" s="184"/>
    </row>
    <row r="309" spans="4:4" ht="15.75" customHeight="1" x14ac:dyDescent="0.25">
      <c r="D309" s="184"/>
    </row>
    <row r="310" spans="4:4" ht="15.75" customHeight="1" x14ac:dyDescent="0.25">
      <c r="D310" s="184"/>
    </row>
    <row r="311" spans="4:4" ht="15.75" customHeight="1" x14ac:dyDescent="0.25">
      <c r="D311" s="184"/>
    </row>
    <row r="312" spans="4:4" ht="15.75" customHeight="1" x14ac:dyDescent="0.25">
      <c r="D312" s="184"/>
    </row>
    <row r="313" spans="4:4" ht="15.75" customHeight="1" x14ac:dyDescent="0.25">
      <c r="D313" s="184"/>
    </row>
    <row r="314" spans="4:4" ht="15.75" customHeight="1" x14ac:dyDescent="0.25">
      <c r="D314" s="184"/>
    </row>
    <row r="315" spans="4:4" ht="15.75" customHeight="1" x14ac:dyDescent="0.25">
      <c r="D315" s="184"/>
    </row>
    <row r="316" spans="4:4" ht="15.75" customHeight="1" x14ac:dyDescent="0.25">
      <c r="D316" s="184"/>
    </row>
    <row r="317" spans="4:4" ht="15.75" customHeight="1" x14ac:dyDescent="0.25">
      <c r="D317" s="184"/>
    </row>
    <row r="318" spans="4:4" ht="15.75" customHeight="1" x14ac:dyDescent="0.25">
      <c r="D318" s="184"/>
    </row>
    <row r="319" spans="4:4" ht="15.75" customHeight="1" x14ac:dyDescent="0.25">
      <c r="D319" s="184"/>
    </row>
    <row r="320" spans="4:4" ht="15.75" customHeight="1" x14ac:dyDescent="0.25">
      <c r="D320" s="184"/>
    </row>
    <row r="321" spans="4:4" ht="15.75" customHeight="1" x14ac:dyDescent="0.25">
      <c r="D321" s="184"/>
    </row>
    <row r="322" spans="4:4" ht="15.75" customHeight="1" x14ac:dyDescent="0.25">
      <c r="D322" s="184"/>
    </row>
    <row r="323" spans="4:4" ht="15.75" customHeight="1" x14ac:dyDescent="0.25">
      <c r="D323" s="184"/>
    </row>
    <row r="324" spans="4:4" ht="15.75" customHeight="1" x14ac:dyDescent="0.25">
      <c r="D324" s="184"/>
    </row>
    <row r="325" spans="4:4" ht="15.75" customHeight="1" x14ac:dyDescent="0.25">
      <c r="D325" s="184"/>
    </row>
    <row r="326" spans="4:4" ht="15.75" customHeight="1" x14ac:dyDescent="0.25">
      <c r="D326" s="184"/>
    </row>
    <row r="327" spans="4:4" ht="15.75" customHeight="1" x14ac:dyDescent="0.25">
      <c r="D327" s="184"/>
    </row>
    <row r="328" spans="4:4" ht="15.75" customHeight="1" x14ac:dyDescent="0.25">
      <c r="D328" s="184"/>
    </row>
    <row r="329" spans="4:4" ht="15.75" customHeight="1" x14ac:dyDescent="0.25">
      <c r="D329" s="184"/>
    </row>
    <row r="330" spans="4:4" ht="15.75" customHeight="1" x14ac:dyDescent="0.25">
      <c r="D330" s="184"/>
    </row>
    <row r="331" spans="4:4" ht="15.75" customHeight="1" x14ac:dyDescent="0.25">
      <c r="D331" s="184"/>
    </row>
    <row r="332" spans="4:4" ht="15.75" customHeight="1" x14ac:dyDescent="0.25">
      <c r="D332" s="184"/>
    </row>
    <row r="333" spans="4:4" ht="15.75" customHeight="1" x14ac:dyDescent="0.25">
      <c r="D333" s="184"/>
    </row>
    <row r="334" spans="4:4" ht="15.75" customHeight="1" x14ac:dyDescent="0.25">
      <c r="D334" s="184"/>
    </row>
    <row r="335" spans="4:4" ht="15.75" customHeight="1" x14ac:dyDescent="0.25">
      <c r="D335" s="184"/>
    </row>
    <row r="336" spans="4:4" ht="15.75" customHeight="1" x14ac:dyDescent="0.25">
      <c r="D336" s="184"/>
    </row>
    <row r="337" spans="4:4" ht="15.75" customHeight="1" x14ac:dyDescent="0.25">
      <c r="D337" s="184"/>
    </row>
    <row r="338" spans="4:4" ht="15.75" customHeight="1" x14ac:dyDescent="0.25">
      <c r="D338" s="184"/>
    </row>
    <row r="339" spans="4:4" ht="15.75" customHeight="1" x14ac:dyDescent="0.25">
      <c r="D339" s="184"/>
    </row>
    <row r="340" spans="4:4" ht="15.75" customHeight="1" x14ac:dyDescent="0.25">
      <c r="D340" s="184"/>
    </row>
    <row r="341" spans="4:4" ht="15.75" customHeight="1" x14ac:dyDescent="0.25">
      <c r="D341" s="184"/>
    </row>
    <row r="342" spans="4:4" ht="15.75" customHeight="1" x14ac:dyDescent="0.25">
      <c r="D342" s="184"/>
    </row>
    <row r="343" spans="4:4" ht="15.75" customHeight="1" x14ac:dyDescent="0.25">
      <c r="D343" s="184"/>
    </row>
    <row r="344" spans="4:4" ht="15.75" customHeight="1" x14ac:dyDescent="0.25">
      <c r="D344" s="184"/>
    </row>
    <row r="345" spans="4:4" ht="15.75" customHeight="1" x14ac:dyDescent="0.25">
      <c r="D345" s="184"/>
    </row>
    <row r="346" spans="4:4" ht="15.75" customHeight="1" x14ac:dyDescent="0.25">
      <c r="D346" s="184"/>
    </row>
    <row r="347" spans="4:4" ht="15.75" customHeight="1" x14ac:dyDescent="0.25">
      <c r="D347" s="184"/>
    </row>
    <row r="348" spans="4:4" ht="15.75" customHeight="1" x14ac:dyDescent="0.25">
      <c r="D348" s="184"/>
    </row>
    <row r="349" spans="4:4" ht="15.75" customHeight="1" x14ac:dyDescent="0.25">
      <c r="D349" s="184"/>
    </row>
    <row r="350" spans="4:4" ht="15.75" customHeight="1" x14ac:dyDescent="0.25">
      <c r="D350" s="184"/>
    </row>
    <row r="351" spans="4:4" ht="15.75" customHeight="1" x14ac:dyDescent="0.25">
      <c r="D351" s="184"/>
    </row>
    <row r="352" spans="4:4" ht="15.75" customHeight="1" x14ac:dyDescent="0.25">
      <c r="D352" s="184"/>
    </row>
    <row r="353" spans="4:4" ht="15.75" customHeight="1" x14ac:dyDescent="0.25">
      <c r="D353" s="184"/>
    </row>
    <row r="354" spans="4:4" ht="15.75" customHeight="1" x14ac:dyDescent="0.25">
      <c r="D354" s="184"/>
    </row>
    <row r="355" spans="4:4" ht="15.75" customHeight="1" x14ac:dyDescent="0.25">
      <c r="D355" s="184"/>
    </row>
    <row r="356" spans="4:4" ht="15.75" customHeight="1" x14ac:dyDescent="0.25">
      <c r="D356" s="184"/>
    </row>
    <row r="357" spans="4:4" ht="15.75" customHeight="1" x14ac:dyDescent="0.25">
      <c r="D357" s="184"/>
    </row>
    <row r="358" spans="4:4" ht="15.75" customHeight="1" x14ac:dyDescent="0.25">
      <c r="D358" s="184"/>
    </row>
    <row r="359" spans="4:4" ht="15.75" customHeight="1" x14ac:dyDescent="0.25">
      <c r="D359" s="184"/>
    </row>
    <row r="360" spans="4:4" ht="15.75" customHeight="1" x14ac:dyDescent="0.25">
      <c r="D360" s="184"/>
    </row>
    <row r="361" spans="4:4" ht="15.75" customHeight="1" x14ac:dyDescent="0.25">
      <c r="D361" s="184"/>
    </row>
    <row r="362" spans="4:4" ht="15.75" customHeight="1" x14ac:dyDescent="0.25">
      <c r="D362" s="184"/>
    </row>
    <row r="363" spans="4:4" ht="15.75" customHeight="1" x14ac:dyDescent="0.25">
      <c r="D363" s="184"/>
    </row>
    <row r="364" spans="4:4" ht="15.75" customHeight="1" x14ac:dyDescent="0.25">
      <c r="D364" s="184"/>
    </row>
    <row r="365" spans="4:4" ht="15.75" customHeight="1" x14ac:dyDescent="0.25">
      <c r="D365" s="184"/>
    </row>
    <row r="366" spans="4:4" ht="15.75" customHeight="1" x14ac:dyDescent="0.25">
      <c r="D366" s="184"/>
    </row>
    <row r="367" spans="4:4" ht="15.75" customHeight="1" x14ac:dyDescent="0.25">
      <c r="D367" s="184"/>
    </row>
    <row r="368" spans="4:4" ht="15.75" customHeight="1" x14ac:dyDescent="0.25">
      <c r="D368" s="184"/>
    </row>
    <row r="369" spans="4:4" ht="15.75" customHeight="1" x14ac:dyDescent="0.25">
      <c r="D369" s="184"/>
    </row>
    <row r="370" spans="4:4" ht="15.75" customHeight="1" x14ac:dyDescent="0.25">
      <c r="D370" s="184"/>
    </row>
    <row r="371" spans="4:4" ht="15.75" customHeight="1" x14ac:dyDescent="0.25">
      <c r="D371" s="184"/>
    </row>
    <row r="372" spans="4:4" ht="15.75" customHeight="1" x14ac:dyDescent="0.25">
      <c r="D372" s="184"/>
    </row>
    <row r="373" spans="4:4" ht="15.75" customHeight="1" x14ac:dyDescent="0.25">
      <c r="D373" s="184"/>
    </row>
    <row r="374" spans="4:4" ht="15.75" customHeight="1" x14ac:dyDescent="0.25">
      <c r="D374" s="184"/>
    </row>
    <row r="375" spans="4:4" ht="15.75" customHeight="1" x14ac:dyDescent="0.25">
      <c r="D375" s="184"/>
    </row>
    <row r="376" spans="4:4" ht="15.75" customHeight="1" x14ac:dyDescent="0.25">
      <c r="D376" s="184"/>
    </row>
    <row r="377" spans="4:4" ht="15.75" customHeight="1" x14ac:dyDescent="0.25">
      <c r="D377" s="184"/>
    </row>
    <row r="378" spans="4:4" ht="15.75" customHeight="1" x14ac:dyDescent="0.25">
      <c r="D378" s="184"/>
    </row>
    <row r="379" spans="4:4" ht="15.75" customHeight="1" x14ac:dyDescent="0.25">
      <c r="D379" s="184"/>
    </row>
    <row r="380" spans="4:4" ht="15.75" customHeight="1" x14ac:dyDescent="0.25">
      <c r="D380" s="184"/>
    </row>
    <row r="381" spans="4:4" ht="15.75" customHeight="1" x14ac:dyDescent="0.25">
      <c r="D381" s="184"/>
    </row>
    <row r="382" spans="4:4" ht="15.75" customHeight="1" x14ac:dyDescent="0.25">
      <c r="D382" s="184"/>
    </row>
    <row r="383" spans="4:4" ht="15.75" customHeight="1" x14ac:dyDescent="0.25">
      <c r="D383" s="184"/>
    </row>
    <row r="384" spans="4:4" ht="15.75" customHeight="1" x14ac:dyDescent="0.25">
      <c r="D384" s="184"/>
    </row>
    <row r="385" spans="4:4" ht="15.75" customHeight="1" x14ac:dyDescent="0.25">
      <c r="D385" s="184"/>
    </row>
    <row r="386" spans="4:4" ht="15.75" customHeight="1" x14ac:dyDescent="0.25">
      <c r="D386" s="184"/>
    </row>
    <row r="387" spans="4:4" ht="15.75" customHeight="1" x14ac:dyDescent="0.25">
      <c r="D387" s="184"/>
    </row>
    <row r="388" spans="4:4" ht="15.75" customHeight="1" x14ac:dyDescent="0.25">
      <c r="D388" s="184"/>
    </row>
    <row r="389" spans="4:4" ht="15.75" customHeight="1" x14ac:dyDescent="0.25">
      <c r="D389" s="184"/>
    </row>
    <row r="390" spans="4:4" ht="15.75" customHeight="1" x14ac:dyDescent="0.25">
      <c r="D390" s="184"/>
    </row>
    <row r="391" spans="4:4" ht="15.75" customHeight="1" x14ac:dyDescent="0.25">
      <c r="D391" s="184"/>
    </row>
    <row r="392" spans="4:4" ht="15.75" customHeight="1" x14ac:dyDescent="0.25">
      <c r="D392" s="184"/>
    </row>
    <row r="393" spans="4:4" ht="15.75" customHeight="1" x14ac:dyDescent="0.25">
      <c r="D393" s="184"/>
    </row>
    <row r="394" spans="4:4" ht="15.75" customHeight="1" x14ac:dyDescent="0.25">
      <c r="D394" s="184"/>
    </row>
    <row r="395" spans="4:4" ht="15.75" customHeight="1" x14ac:dyDescent="0.25">
      <c r="D395" s="184"/>
    </row>
    <row r="396" spans="4:4" ht="15.75" customHeight="1" x14ac:dyDescent="0.25">
      <c r="D396" s="184"/>
    </row>
    <row r="397" spans="4:4" ht="15.75" customHeight="1" x14ac:dyDescent="0.25">
      <c r="D397" s="184"/>
    </row>
    <row r="398" spans="4:4" ht="15.75" customHeight="1" x14ac:dyDescent="0.25">
      <c r="D398" s="184"/>
    </row>
    <row r="399" spans="4:4" ht="15.75" customHeight="1" x14ac:dyDescent="0.25">
      <c r="D399" s="184"/>
    </row>
    <row r="400" spans="4:4" ht="15.75" customHeight="1" x14ac:dyDescent="0.25">
      <c r="D400" s="184"/>
    </row>
    <row r="401" spans="4:4" ht="15.75" customHeight="1" x14ac:dyDescent="0.25">
      <c r="D401" s="184"/>
    </row>
    <row r="402" spans="4:4" ht="15.75" customHeight="1" x14ac:dyDescent="0.25">
      <c r="D402" s="184"/>
    </row>
    <row r="403" spans="4:4" ht="15.75" customHeight="1" x14ac:dyDescent="0.25">
      <c r="D403" s="184"/>
    </row>
    <row r="404" spans="4:4" ht="15.75" customHeight="1" x14ac:dyDescent="0.25">
      <c r="D404" s="184"/>
    </row>
    <row r="405" spans="4:4" ht="15.75" customHeight="1" x14ac:dyDescent="0.25">
      <c r="D405" s="184"/>
    </row>
    <row r="406" spans="4:4" ht="15.75" customHeight="1" x14ac:dyDescent="0.25">
      <c r="D406" s="184"/>
    </row>
    <row r="407" spans="4:4" ht="15.75" customHeight="1" x14ac:dyDescent="0.25">
      <c r="D407" s="184"/>
    </row>
    <row r="408" spans="4:4" ht="15.75" customHeight="1" x14ac:dyDescent="0.25">
      <c r="D408" s="184"/>
    </row>
    <row r="409" spans="4:4" ht="15.75" customHeight="1" x14ac:dyDescent="0.25">
      <c r="D409" s="184"/>
    </row>
    <row r="410" spans="4:4" ht="15.75" customHeight="1" x14ac:dyDescent="0.25">
      <c r="D410" s="184"/>
    </row>
    <row r="411" spans="4:4" ht="15.75" customHeight="1" x14ac:dyDescent="0.25">
      <c r="D411" s="184"/>
    </row>
    <row r="412" spans="4:4" ht="15.75" customHeight="1" x14ac:dyDescent="0.25">
      <c r="D412" s="184"/>
    </row>
    <row r="413" spans="4:4" ht="15.75" customHeight="1" x14ac:dyDescent="0.25">
      <c r="D413" s="184"/>
    </row>
    <row r="414" spans="4:4" ht="15.75" customHeight="1" x14ac:dyDescent="0.25">
      <c r="D414" s="184"/>
    </row>
    <row r="415" spans="4:4" ht="15.75" customHeight="1" x14ac:dyDescent="0.25">
      <c r="D415" s="184"/>
    </row>
    <row r="416" spans="4:4" ht="15.75" customHeight="1" x14ac:dyDescent="0.25">
      <c r="D416" s="184"/>
    </row>
    <row r="417" spans="4:4" ht="15.75" customHeight="1" x14ac:dyDescent="0.25">
      <c r="D417" s="184"/>
    </row>
    <row r="418" spans="4:4" ht="15.75" customHeight="1" x14ac:dyDescent="0.25">
      <c r="D418" s="184"/>
    </row>
    <row r="419" spans="4:4" ht="15.75" customHeight="1" x14ac:dyDescent="0.25">
      <c r="D419" s="184"/>
    </row>
    <row r="420" spans="4:4" ht="15.75" customHeight="1" x14ac:dyDescent="0.25">
      <c r="D420" s="184"/>
    </row>
    <row r="421" spans="4:4" ht="15.75" customHeight="1" x14ac:dyDescent="0.25">
      <c r="D421" s="184"/>
    </row>
    <row r="422" spans="4:4" ht="15.75" customHeight="1" x14ac:dyDescent="0.25">
      <c r="D422" s="184"/>
    </row>
    <row r="423" spans="4:4" ht="15.75" customHeight="1" x14ac:dyDescent="0.25">
      <c r="D423" s="184"/>
    </row>
    <row r="424" spans="4:4" ht="15.75" customHeight="1" x14ac:dyDescent="0.25">
      <c r="D424" s="184"/>
    </row>
    <row r="425" spans="4:4" ht="15.75" customHeight="1" x14ac:dyDescent="0.25">
      <c r="D425" s="184"/>
    </row>
    <row r="426" spans="4:4" ht="15.75" customHeight="1" x14ac:dyDescent="0.25">
      <c r="D426" s="184"/>
    </row>
    <row r="427" spans="4:4" ht="15.75" customHeight="1" x14ac:dyDescent="0.25">
      <c r="D427" s="184"/>
    </row>
    <row r="428" spans="4:4" ht="15.75" customHeight="1" x14ac:dyDescent="0.25">
      <c r="D428" s="184"/>
    </row>
    <row r="429" spans="4:4" ht="15.75" customHeight="1" x14ac:dyDescent="0.25">
      <c r="D429" s="184"/>
    </row>
    <row r="430" spans="4:4" ht="15.75" customHeight="1" x14ac:dyDescent="0.25">
      <c r="D430" s="184"/>
    </row>
    <row r="431" spans="4:4" ht="15.75" customHeight="1" x14ac:dyDescent="0.25">
      <c r="D431" s="184"/>
    </row>
    <row r="432" spans="4:4" ht="15.75" customHeight="1" x14ac:dyDescent="0.25">
      <c r="D432" s="184"/>
    </row>
    <row r="433" spans="4:4" ht="15.75" customHeight="1" x14ac:dyDescent="0.25">
      <c r="D433" s="184"/>
    </row>
    <row r="434" spans="4:4" ht="15.75" customHeight="1" x14ac:dyDescent="0.25">
      <c r="D434" s="184"/>
    </row>
    <row r="435" spans="4:4" ht="15.75" customHeight="1" x14ac:dyDescent="0.25">
      <c r="D435" s="184"/>
    </row>
    <row r="436" spans="4:4" ht="15.75" customHeight="1" x14ac:dyDescent="0.25">
      <c r="D436" s="184"/>
    </row>
    <row r="437" spans="4:4" ht="15.75" customHeight="1" x14ac:dyDescent="0.25">
      <c r="D437" s="184"/>
    </row>
    <row r="438" spans="4:4" ht="15.75" customHeight="1" x14ac:dyDescent="0.25">
      <c r="D438" s="184"/>
    </row>
    <row r="439" spans="4:4" ht="15.75" customHeight="1" x14ac:dyDescent="0.25">
      <c r="D439" s="184"/>
    </row>
    <row r="440" spans="4:4" ht="15.75" customHeight="1" x14ac:dyDescent="0.25">
      <c r="D440" s="184"/>
    </row>
    <row r="441" spans="4:4" ht="15.75" customHeight="1" x14ac:dyDescent="0.25">
      <c r="D441" s="184"/>
    </row>
    <row r="442" spans="4:4" ht="15.75" customHeight="1" x14ac:dyDescent="0.25">
      <c r="D442" s="184"/>
    </row>
    <row r="443" spans="4:4" ht="15.75" customHeight="1" x14ac:dyDescent="0.25">
      <c r="D443" s="184"/>
    </row>
    <row r="444" spans="4:4" ht="15.75" customHeight="1" x14ac:dyDescent="0.25">
      <c r="D444" s="184"/>
    </row>
    <row r="445" spans="4:4" ht="15.75" customHeight="1" x14ac:dyDescent="0.25">
      <c r="D445" s="184"/>
    </row>
    <row r="446" spans="4:4" ht="15.75" customHeight="1" x14ac:dyDescent="0.25">
      <c r="D446" s="184"/>
    </row>
    <row r="447" spans="4:4" ht="15.75" customHeight="1" x14ac:dyDescent="0.25">
      <c r="D447" s="184"/>
    </row>
    <row r="448" spans="4:4" ht="15.75" customHeight="1" x14ac:dyDescent="0.25">
      <c r="D448" s="184"/>
    </row>
    <row r="449" spans="4:4" ht="15.75" customHeight="1" x14ac:dyDescent="0.25">
      <c r="D449" s="184"/>
    </row>
    <row r="450" spans="4:4" ht="15.75" customHeight="1" x14ac:dyDescent="0.25">
      <c r="D450" s="184"/>
    </row>
    <row r="451" spans="4:4" ht="15.75" customHeight="1" x14ac:dyDescent="0.25">
      <c r="D451" s="184"/>
    </row>
    <row r="452" spans="4:4" ht="15.75" customHeight="1" x14ac:dyDescent="0.25">
      <c r="D452" s="184"/>
    </row>
    <row r="453" spans="4:4" ht="15.75" customHeight="1" x14ac:dyDescent="0.25">
      <c r="D453" s="184"/>
    </row>
    <row r="454" spans="4:4" ht="15.75" customHeight="1" x14ac:dyDescent="0.25">
      <c r="D454" s="184"/>
    </row>
    <row r="455" spans="4:4" ht="15.75" customHeight="1" x14ac:dyDescent="0.25">
      <c r="D455" s="184"/>
    </row>
    <row r="456" spans="4:4" ht="15.75" customHeight="1" x14ac:dyDescent="0.25">
      <c r="D456" s="184"/>
    </row>
    <row r="457" spans="4:4" ht="15.75" customHeight="1" x14ac:dyDescent="0.25">
      <c r="D457" s="184"/>
    </row>
    <row r="458" spans="4:4" ht="15.75" customHeight="1" x14ac:dyDescent="0.25">
      <c r="D458" s="184"/>
    </row>
    <row r="459" spans="4:4" ht="15.75" customHeight="1" x14ac:dyDescent="0.25">
      <c r="D459" s="184"/>
    </row>
    <row r="460" spans="4:4" ht="15.75" customHeight="1" x14ac:dyDescent="0.25">
      <c r="D460" s="184"/>
    </row>
    <row r="461" spans="4:4" ht="15.75" customHeight="1" x14ac:dyDescent="0.25">
      <c r="D461" s="184"/>
    </row>
    <row r="462" spans="4:4" ht="15.75" customHeight="1" x14ac:dyDescent="0.25">
      <c r="D462" s="184"/>
    </row>
    <row r="463" spans="4:4" ht="15.75" customHeight="1" x14ac:dyDescent="0.25">
      <c r="D463" s="184"/>
    </row>
    <row r="464" spans="4:4" ht="15.75" customHeight="1" x14ac:dyDescent="0.25">
      <c r="D464" s="184"/>
    </row>
    <row r="465" spans="4:4" ht="15.75" customHeight="1" x14ac:dyDescent="0.25">
      <c r="D465" s="184"/>
    </row>
    <row r="466" spans="4:4" ht="15.75" customHeight="1" x14ac:dyDescent="0.25">
      <c r="D466" s="184"/>
    </row>
    <row r="467" spans="4:4" ht="15.75" customHeight="1" x14ac:dyDescent="0.25">
      <c r="D467" s="184"/>
    </row>
    <row r="468" spans="4:4" ht="15.75" customHeight="1" x14ac:dyDescent="0.25">
      <c r="D468" s="184"/>
    </row>
    <row r="469" spans="4:4" ht="15.75" customHeight="1" x14ac:dyDescent="0.25">
      <c r="D469" s="184"/>
    </row>
    <row r="470" spans="4:4" ht="15.75" customHeight="1" x14ac:dyDescent="0.25">
      <c r="D470" s="184"/>
    </row>
    <row r="471" spans="4:4" ht="15.75" customHeight="1" x14ac:dyDescent="0.25">
      <c r="D471" s="184"/>
    </row>
    <row r="472" spans="4:4" ht="15.75" customHeight="1" x14ac:dyDescent="0.25">
      <c r="D472" s="184"/>
    </row>
    <row r="473" spans="4:4" ht="15.75" customHeight="1" x14ac:dyDescent="0.25">
      <c r="D473" s="184"/>
    </row>
    <row r="474" spans="4:4" ht="15.75" customHeight="1" x14ac:dyDescent="0.25">
      <c r="D474" s="184"/>
    </row>
    <row r="475" spans="4:4" ht="15.75" customHeight="1" x14ac:dyDescent="0.25">
      <c r="D475" s="184"/>
    </row>
    <row r="476" spans="4:4" ht="15.75" customHeight="1" x14ac:dyDescent="0.25">
      <c r="D476" s="184"/>
    </row>
    <row r="477" spans="4:4" ht="15.75" customHeight="1" x14ac:dyDescent="0.25">
      <c r="D477" s="184"/>
    </row>
    <row r="478" spans="4:4" ht="15.75" customHeight="1" x14ac:dyDescent="0.25">
      <c r="D478" s="184"/>
    </row>
    <row r="479" spans="4:4" ht="15.75" customHeight="1" x14ac:dyDescent="0.25">
      <c r="D479" s="184"/>
    </row>
    <row r="480" spans="4:4" ht="15.75" customHeight="1" x14ac:dyDescent="0.25">
      <c r="D480" s="184"/>
    </row>
    <row r="481" spans="4:4" ht="15.75" customHeight="1" x14ac:dyDescent="0.25">
      <c r="D481" s="184"/>
    </row>
    <row r="482" spans="4:4" ht="15.75" customHeight="1" x14ac:dyDescent="0.25">
      <c r="D482" s="184"/>
    </row>
    <row r="483" spans="4:4" ht="15.75" customHeight="1" x14ac:dyDescent="0.25">
      <c r="D483" s="184"/>
    </row>
    <row r="484" spans="4:4" ht="15.75" customHeight="1" x14ac:dyDescent="0.25">
      <c r="D484" s="184"/>
    </row>
    <row r="485" spans="4:4" ht="15.75" customHeight="1" x14ac:dyDescent="0.25">
      <c r="D485" s="184"/>
    </row>
    <row r="486" spans="4:4" ht="15.75" customHeight="1" x14ac:dyDescent="0.25">
      <c r="D486" s="184"/>
    </row>
    <row r="487" spans="4:4" ht="15.75" customHeight="1" x14ac:dyDescent="0.25">
      <c r="D487" s="184"/>
    </row>
    <row r="488" spans="4:4" ht="15.75" customHeight="1" x14ac:dyDescent="0.25">
      <c r="D488" s="184"/>
    </row>
    <row r="489" spans="4:4" ht="15.75" customHeight="1" x14ac:dyDescent="0.25">
      <c r="D489" s="184"/>
    </row>
    <row r="490" spans="4:4" ht="15.75" customHeight="1" x14ac:dyDescent="0.25">
      <c r="D490" s="184"/>
    </row>
    <row r="491" spans="4:4" ht="15.75" customHeight="1" x14ac:dyDescent="0.25">
      <c r="D491" s="184"/>
    </row>
    <row r="492" spans="4:4" ht="15.75" customHeight="1" x14ac:dyDescent="0.25">
      <c r="D492" s="184"/>
    </row>
    <row r="493" spans="4:4" ht="15.75" customHeight="1" x14ac:dyDescent="0.25">
      <c r="D493" s="184"/>
    </row>
    <row r="494" spans="4:4" ht="15.75" customHeight="1" x14ac:dyDescent="0.25">
      <c r="D494" s="184"/>
    </row>
    <row r="495" spans="4:4" ht="15.75" customHeight="1" x14ac:dyDescent="0.25">
      <c r="D495" s="184"/>
    </row>
    <row r="496" spans="4:4" ht="15.75" customHeight="1" x14ac:dyDescent="0.25">
      <c r="D496" s="184"/>
    </row>
    <row r="497" spans="4:4" ht="15.75" customHeight="1" x14ac:dyDescent="0.25">
      <c r="D497" s="184"/>
    </row>
    <row r="498" spans="4:4" ht="15.75" customHeight="1" x14ac:dyDescent="0.25">
      <c r="D498" s="184"/>
    </row>
    <row r="499" spans="4:4" ht="15.75" customHeight="1" x14ac:dyDescent="0.25">
      <c r="D499" s="184"/>
    </row>
    <row r="500" spans="4:4" ht="15.75" customHeight="1" x14ac:dyDescent="0.25">
      <c r="D500" s="184"/>
    </row>
    <row r="501" spans="4:4" ht="15.75" customHeight="1" x14ac:dyDescent="0.25">
      <c r="D501" s="184"/>
    </row>
    <row r="502" spans="4:4" ht="15.75" customHeight="1" x14ac:dyDescent="0.25">
      <c r="D502" s="184"/>
    </row>
    <row r="503" spans="4:4" ht="15.75" customHeight="1" x14ac:dyDescent="0.25">
      <c r="D503" s="184"/>
    </row>
    <row r="504" spans="4:4" ht="15.75" customHeight="1" x14ac:dyDescent="0.25">
      <c r="D504" s="184"/>
    </row>
    <row r="505" spans="4:4" ht="15.75" customHeight="1" x14ac:dyDescent="0.25">
      <c r="D505" s="184"/>
    </row>
    <row r="506" spans="4:4" ht="15.75" customHeight="1" x14ac:dyDescent="0.25">
      <c r="D506" s="184"/>
    </row>
    <row r="507" spans="4:4" ht="15.75" customHeight="1" x14ac:dyDescent="0.25">
      <c r="D507" s="184"/>
    </row>
    <row r="508" spans="4:4" ht="15.75" customHeight="1" x14ac:dyDescent="0.25">
      <c r="D508" s="184"/>
    </row>
    <row r="509" spans="4:4" ht="15.75" customHeight="1" x14ac:dyDescent="0.25">
      <c r="D509" s="184"/>
    </row>
    <row r="510" spans="4:4" ht="15.75" customHeight="1" x14ac:dyDescent="0.25">
      <c r="D510" s="184"/>
    </row>
    <row r="511" spans="4:4" ht="15.75" customHeight="1" x14ac:dyDescent="0.25">
      <c r="D511" s="184"/>
    </row>
    <row r="512" spans="4:4" ht="15.75" customHeight="1" x14ac:dyDescent="0.25">
      <c r="D512" s="184"/>
    </row>
    <row r="513" spans="4:4" ht="15.75" customHeight="1" x14ac:dyDescent="0.25">
      <c r="D513" s="184"/>
    </row>
    <row r="514" spans="4:4" ht="15.75" customHeight="1" x14ac:dyDescent="0.25">
      <c r="D514" s="184"/>
    </row>
    <row r="515" spans="4:4" ht="15.75" customHeight="1" x14ac:dyDescent="0.25">
      <c r="D515" s="184"/>
    </row>
    <row r="516" spans="4:4" ht="15.75" customHeight="1" x14ac:dyDescent="0.25">
      <c r="D516" s="184"/>
    </row>
    <row r="517" spans="4:4" ht="15.75" customHeight="1" x14ac:dyDescent="0.25">
      <c r="D517" s="184"/>
    </row>
    <row r="518" spans="4:4" ht="15.75" customHeight="1" x14ac:dyDescent="0.25">
      <c r="D518" s="184"/>
    </row>
    <row r="519" spans="4:4" ht="15.75" customHeight="1" x14ac:dyDescent="0.25">
      <c r="D519" s="184"/>
    </row>
    <row r="520" spans="4:4" ht="15.75" customHeight="1" x14ac:dyDescent="0.25">
      <c r="D520" s="184"/>
    </row>
    <row r="521" spans="4:4" ht="15.75" customHeight="1" x14ac:dyDescent="0.25">
      <c r="D521" s="184"/>
    </row>
    <row r="522" spans="4:4" ht="15.75" customHeight="1" x14ac:dyDescent="0.25">
      <c r="D522" s="184"/>
    </row>
    <row r="523" spans="4:4" ht="15.75" customHeight="1" x14ac:dyDescent="0.25">
      <c r="D523" s="184"/>
    </row>
    <row r="524" spans="4:4" ht="15.75" customHeight="1" x14ac:dyDescent="0.25">
      <c r="D524" s="184"/>
    </row>
    <row r="525" spans="4:4" ht="15.75" customHeight="1" x14ac:dyDescent="0.25">
      <c r="D525" s="184"/>
    </row>
    <row r="526" spans="4:4" ht="15.75" customHeight="1" x14ac:dyDescent="0.25">
      <c r="D526" s="184"/>
    </row>
    <row r="527" spans="4:4" ht="15.75" customHeight="1" x14ac:dyDescent="0.25">
      <c r="D527" s="184"/>
    </row>
    <row r="528" spans="4:4" ht="15.75" customHeight="1" x14ac:dyDescent="0.25">
      <c r="D528" s="184"/>
    </row>
    <row r="529" spans="4:4" ht="15.75" customHeight="1" x14ac:dyDescent="0.25">
      <c r="D529" s="184"/>
    </row>
    <row r="530" spans="4:4" ht="15.75" customHeight="1" x14ac:dyDescent="0.25">
      <c r="D530" s="184"/>
    </row>
    <row r="531" spans="4:4" ht="15.75" customHeight="1" x14ac:dyDescent="0.25">
      <c r="D531" s="184"/>
    </row>
    <row r="532" spans="4:4" ht="15.75" customHeight="1" x14ac:dyDescent="0.25">
      <c r="D532" s="184"/>
    </row>
    <row r="533" spans="4:4" ht="15.75" customHeight="1" x14ac:dyDescent="0.25">
      <c r="D533" s="184"/>
    </row>
    <row r="534" spans="4:4" ht="15.75" customHeight="1" x14ac:dyDescent="0.25">
      <c r="D534" s="184"/>
    </row>
    <row r="535" spans="4:4" ht="15.75" customHeight="1" x14ac:dyDescent="0.25">
      <c r="D535" s="184"/>
    </row>
    <row r="536" spans="4:4" ht="15.75" customHeight="1" x14ac:dyDescent="0.25">
      <c r="D536" s="184"/>
    </row>
    <row r="537" spans="4:4" ht="15.75" customHeight="1" x14ac:dyDescent="0.25">
      <c r="D537" s="184"/>
    </row>
    <row r="538" spans="4:4" ht="15.75" customHeight="1" x14ac:dyDescent="0.25">
      <c r="D538" s="184"/>
    </row>
    <row r="539" spans="4:4" ht="15.75" customHeight="1" x14ac:dyDescent="0.25">
      <c r="D539" s="184"/>
    </row>
    <row r="540" spans="4:4" ht="15.75" customHeight="1" x14ac:dyDescent="0.25">
      <c r="D540" s="184"/>
    </row>
    <row r="541" spans="4:4" ht="15.75" customHeight="1" x14ac:dyDescent="0.25">
      <c r="D541" s="184"/>
    </row>
    <row r="542" spans="4:4" ht="15.75" customHeight="1" x14ac:dyDescent="0.25">
      <c r="D542" s="184"/>
    </row>
    <row r="543" spans="4:4" ht="15.75" customHeight="1" x14ac:dyDescent="0.25">
      <c r="D543" s="184"/>
    </row>
    <row r="544" spans="4:4" ht="15.75" customHeight="1" x14ac:dyDescent="0.25">
      <c r="D544" s="184"/>
    </row>
    <row r="545" spans="4:4" ht="15.75" customHeight="1" x14ac:dyDescent="0.25">
      <c r="D545" s="184"/>
    </row>
    <row r="546" spans="4:4" ht="15.75" customHeight="1" x14ac:dyDescent="0.25">
      <c r="D546" s="184"/>
    </row>
    <row r="547" spans="4:4" ht="15.75" customHeight="1" x14ac:dyDescent="0.25">
      <c r="D547" s="184"/>
    </row>
    <row r="548" spans="4:4" ht="15.75" customHeight="1" x14ac:dyDescent="0.25">
      <c r="D548" s="184"/>
    </row>
    <row r="549" spans="4:4" ht="15.75" customHeight="1" x14ac:dyDescent="0.25">
      <c r="D549" s="184"/>
    </row>
    <row r="550" spans="4:4" ht="15.75" customHeight="1" x14ac:dyDescent="0.25">
      <c r="D550" s="184"/>
    </row>
    <row r="551" spans="4:4" ht="15.75" customHeight="1" x14ac:dyDescent="0.25">
      <c r="D551" s="184"/>
    </row>
    <row r="552" spans="4:4" ht="15.75" customHeight="1" x14ac:dyDescent="0.25">
      <c r="D552" s="184"/>
    </row>
    <row r="553" spans="4:4" ht="15.75" customHeight="1" x14ac:dyDescent="0.25">
      <c r="D553" s="184"/>
    </row>
    <row r="554" spans="4:4" ht="15.75" customHeight="1" x14ac:dyDescent="0.25">
      <c r="D554" s="184"/>
    </row>
    <row r="555" spans="4:4" ht="15.75" customHeight="1" x14ac:dyDescent="0.25">
      <c r="D555" s="184"/>
    </row>
    <row r="556" spans="4:4" ht="15.75" customHeight="1" x14ac:dyDescent="0.25">
      <c r="D556" s="184"/>
    </row>
    <row r="557" spans="4:4" ht="15.75" customHeight="1" x14ac:dyDescent="0.25">
      <c r="D557" s="184"/>
    </row>
    <row r="558" spans="4:4" ht="15.75" customHeight="1" x14ac:dyDescent="0.25">
      <c r="D558" s="184"/>
    </row>
    <row r="559" spans="4:4" ht="15.75" customHeight="1" x14ac:dyDescent="0.25">
      <c r="D559" s="184"/>
    </row>
    <row r="560" spans="4:4" ht="15.75" customHeight="1" x14ac:dyDescent="0.25">
      <c r="D560" s="184"/>
    </row>
    <row r="561" spans="4:4" ht="15.75" customHeight="1" x14ac:dyDescent="0.25">
      <c r="D561" s="184"/>
    </row>
    <row r="562" spans="4:4" ht="15.75" customHeight="1" x14ac:dyDescent="0.25">
      <c r="D562" s="184"/>
    </row>
    <row r="563" spans="4:4" ht="15.75" customHeight="1" x14ac:dyDescent="0.25">
      <c r="D563" s="184"/>
    </row>
    <row r="564" spans="4:4" ht="15.75" customHeight="1" x14ac:dyDescent="0.25">
      <c r="D564" s="184"/>
    </row>
    <row r="565" spans="4:4" ht="15.75" customHeight="1" x14ac:dyDescent="0.25">
      <c r="D565" s="184"/>
    </row>
    <row r="566" spans="4:4" ht="15.75" customHeight="1" x14ac:dyDescent="0.25">
      <c r="D566" s="184"/>
    </row>
    <row r="567" spans="4:4" ht="15.75" customHeight="1" x14ac:dyDescent="0.25">
      <c r="D567" s="184"/>
    </row>
    <row r="568" spans="4:4" ht="15.75" customHeight="1" x14ac:dyDescent="0.25">
      <c r="D568" s="184"/>
    </row>
    <row r="569" spans="4:4" ht="15.75" customHeight="1" x14ac:dyDescent="0.25">
      <c r="D569" s="184"/>
    </row>
    <row r="570" spans="4:4" ht="15.75" customHeight="1" x14ac:dyDescent="0.25">
      <c r="D570" s="184"/>
    </row>
    <row r="571" spans="4:4" ht="15.75" customHeight="1" x14ac:dyDescent="0.25">
      <c r="D571" s="184"/>
    </row>
    <row r="572" spans="4:4" ht="15.75" customHeight="1" x14ac:dyDescent="0.25">
      <c r="D572" s="184"/>
    </row>
    <row r="573" spans="4:4" ht="15.75" customHeight="1" x14ac:dyDescent="0.25">
      <c r="D573" s="184"/>
    </row>
    <row r="574" spans="4:4" ht="15.75" customHeight="1" x14ac:dyDescent="0.25">
      <c r="D574" s="184"/>
    </row>
    <row r="575" spans="4:4" ht="15.75" customHeight="1" x14ac:dyDescent="0.25">
      <c r="D575" s="184"/>
    </row>
    <row r="576" spans="4:4" ht="15.75" customHeight="1" x14ac:dyDescent="0.25">
      <c r="D576" s="184"/>
    </row>
    <row r="577" spans="4:4" ht="15.75" customHeight="1" x14ac:dyDescent="0.25">
      <c r="D577" s="184"/>
    </row>
    <row r="578" spans="4:4" ht="15.75" customHeight="1" x14ac:dyDescent="0.25">
      <c r="D578" s="184"/>
    </row>
    <row r="579" spans="4:4" ht="15.75" customHeight="1" x14ac:dyDescent="0.25">
      <c r="D579" s="184"/>
    </row>
    <row r="580" spans="4:4" ht="15.75" customHeight="1" x14ac:dyDescent="0.25">
      <c r="D580" s="184"/>
    </row>
    <row r="581" spans="4:4" ht="15.75" customHeight="1" x14ac:dyDescent="0.25">
      <c r="D581" s="184"/>
    </row>
    <row r="582" spans="4:4" ht="15.75" customHeight="1" x14ac:dyDescent="0.25">
      <c r="D582" s="184"/>
    </row>
    <row r="583" spans="4:4" ht="15.75" customHeight="1" x14ac:dyDescent="0.25">
      <c r="D583" s="184"/>
    </row>
    <row r="584" spans="4:4" ht="15.75" customHeight="1" x14ac:dyDescent="0.25">
      <c r="D584" s="184"/>
    </row>
    <row r="585" spans="4:4" ht="15.75" customHeight="1" x14ac:dyDescent="0.25">
      <c r="D585" s="184"/>
    </row>
    <row r="586" spans="4:4" ht="15.75" customHeight="1" x14ac:dyDescent="0.25">
      <c r="D586" s="184"/>
    </row>
    <row r="587" spans="4:4" ht="15.75" customHeight="1" x14ac:dyDescent="0.25">
      <c r="D587" s="184"/>
    </row>
    <row r="588" spans="4:4" ht="15.75" customHeight="1" x14ac:dyDescent="0.25">
      <c r="D588" s="184"/>
    </row>
    <row r="589" spans="4:4" ht="15.75" customHeight="1" x14ac:dyDescent="0.25">
      <c r="D589" s="184"/>
    </row>
    <row r="590" spans="4:4" ht="15.75" customHeight="1" x14ac:dyDescent="0.25">
      <c r="D590" s="184"/>
    </row>
    <row r="591" spans="4:4" ht="15.75" customHeight="1" x14ac:dyDescent="0.25">
      <c r="D591" s="184"/>
    </row>
    <row r="592" spans="4:4" ht="15.75" customHeight="1" x14ac:dyDescent="0.25">
      <c r="D592" s="184"/>
    </row>
    <row r="593" spans="4:4" ht="15.75" customHeight="1" x14ac:dyDescent="0.25">
      <c r="D593" s="184"/>
    </row>
    <row r="594" spans="4:4" ht="15.75" customHeight="1" x14ac:dyDescent="0.25">
      <c r="D594" s="184"/>
    </row>
    <row r="595" spans="4:4" ht="15.75" customHeight="1" x14ac:dyDescent="0.25">
      <c r="D595" s="184"/>
    </row>
    <row r="596" spans="4:4" ht="15.75" customHeight="1" x14ac:dyDescent="0.25">
      <c r="D596" s="184"/>
    </row>
    <row r="597" spans="4:4" ht="15.75" customHeight="1" x14ac:dyDescent="0.25">
      <c r="D597" s="184"/>
    </row>
    <row r="598" spans="4:4" ht="15.75" customHeight="1" x14ac:dyDescent="0.25">
      <c r="D598" s="184"/>
    </row>
    <row r="599" spans="4:4" ht="15.75" customHeight="1" x14ac:dyDescent="0.25">
      <c r="D599" s="184"/>
    </row>
    <row r="600" spans="4:4" ht="15.75" customHeight="1" x14ac:dyDescent="0.25">
      <c r="D600" s="184"/>
    </row>
    <row r="601" spans="4:4" ht="15.75" customHeight="1" x14ac:dyDescent="0.25">
      <c r="D601" s="184"/>
    </row>
    <row r="602" spans="4:4" ht="15.75" customHeight="1" x14ac:dyDescent="0.25">
      <c r="D602" s="184"/>
    </row>
    <row r="603" spans="4:4" ht="15.75" customHeight="1" x14ac:dyDescent="0.25">
      <c r="D603" s="184"/>
    </row>
    <row r="604" spans="4:4" ht="15.75" customHeight="1" x14ac:dyDescent="0.25">
      <c r="D604" s="184"/>
    </row>
    <row r="605" spans="4:4" ht="15.75" customHeight="1" x14ac:dyDescent="0.25">
      <c r="D605" s="184"/>
    </row>
    <row r="606" spans="4:4" ht="15.75" customHeight="1" x14ac:dyDescent="0.25">
      <c r="D606" s="184"/>
    </row>
    <row r="607" spans="4:4" ht="15.75" customHeight="1" x14ac:dyDescent="0.25">
      <c r="D607" s="184"/>
    </row>
    <row r="608" spans="4:4" ht="15.75" customHeight="1" x14ac:dyDescent="0.25">
      <c r="D608" s="184"/>
    </row>
    <row r="609" spans="4:4" ht="15.75" customHeight="1" x14ac:dyDescent="0.25">
      <c r="D609" s="184"/>
    </row>
    <row r="610" spans="4:4" ht="15.75" customHeight="1" x14ac:dyDescent="0.25">
      <c r="D610" s="184"/>
    </row>
    <row r="611" spans="4:4" ht="15.75" customHeight="1" x14ac:dyDescent="0.25">
      <c r="D611" s="184"/>
    </row>
    <row r="612" spans="4:4" ht="15.75" customHeight="1" x14ac:dyDescent="0.25">
      <c r="D612" s="184"/>
    </row>
    <row r="613" spans="4:4" ht="15.75" customHeight="1" x14ac:dyDescent="0.25">
      <c r="D613" s="184"/>
    </row>
    <row r="614" spans="4:4" ht="15.75" customHeight="1" x14ac:dyDescent="0.25">
      <c r="D614" s="184"/>
    </row>
    <row r="615" spans="4:4" ht="15.75" customHeight="1" x14ac:dyDescent="0.25">
      <c r="D615" s="184"/>
    </row>
    <row r="616" spans="4:4" ht="15.75" customHeight="1" x14ac:dyDescent="0.25">
      <c r="D616" s="184"/>
    </row>
    <row r="617" spans="4:4" ht="15.75" customHeight="1" x14ac:dyDescent="0.25">
      <c r="D617" s="184"/>
    </row>
    <row r="618" spans="4:4" ht="15.75" customHeight="1" x14ac:dyDescent="0.25">
      <c r="D618" s="184"/>
    </row>
    <row r="619" spans="4:4" ht="15.75" customHeight="1" x14ac:dyDescent="0.25">
      <c r="D619" s="184"/>
    </row>
    <row r="620" spans="4:4" ht="15.75" customHeight="1" x14ac:dyDescent="0.25">
      <c r="D620" s="184"/>
    </row>
    <row r="621" spans="4:4" ht="15.75" customHeight="1" x14ac:dyDescent="0.25">
      <c r="D621" s="184"/>
    </row>
    <row r="622" spans="4:4" ht="15.75" customHeight="1" x14ac:dyDescent="0.25">
      <c r="D622" s="184"/>
    </row>
    <row r="623" spans="4:4" ht="15.75" customHeight="1" x14ac:dyDescent="0.25">
      <c r="D623" s="184"/>
    </row>
    <row r="624" spans="4:4" ht="15.75" customHeight="1" x14ac:dyDescent="0.25">
      <c r="D624" s="184"/>
    </row>
    <row r="625" spans="4:4" ht="15.75" customHeight="1" x14ac:dyDescent="0.25">
      <c r="D625" s="184"/>
    </row>
    <row r="626" spans="4:4" ht="15.75" customHeight="1" x14ac:dyDescent="0.25">
      <c r="D626" s="184"/>
    </row>
    <row r="627" spans="4:4" ht="15.75" customHeight="1" x14ac:dyDescent="0.25">
      <c r="D627" s="184"/>
    </row>
    <row r="628" spans="4:4" ht="15.75" customHeight="1" x14ac:dyDescent="0.25">
      <c r="D628" s="184"/>
    </row>
    <row r="629" spans="4:4" ht="15.75" customHeight="1" x14ac:dyDescent="0.25">
      <c r="D629" s="184"/>
    </row>
    <row r="630" spans="4:4" ht="15.75" customHeight="1" x14ac:dyDescent="0.25">
      <c r="D630" s="184"/>
    </row>
    <row r="631" spans="4:4" ht="15.75" customHeight="1" x14ac:dyDescent="0.25">
      <c r="D631" s="184"/>
    </row>
    <row r="632" spans="4:4" ht="15.75" customHeight="1" x14ac:dyDescent="0.25">
      <c r="D632" s="184"/>
    </row>
    <row r="633" spans="4:4" ht="15.75" customHeight="1" x14ac:dyDescent="0.25">
      <c r="D633" s="184"/>
    </row>
    <row r="634" spans="4:4" ht="15.75" customHeight="1" x14ac:dyDescent="0.25">
      <c r="D634" s="184"/>
    </row>
    <row r="635" spans="4:4" ht="15.75" customHeight="1" x14ac:dyDescent="0.25">
      <c r="D635" s="184"/>
    </row>
    <row r="636" spans="4:4" ht="15.75" customHeight="1" x14ac:dyDescent="0.25">
      <c r="D636" s="184"/>
    </row>
    <row r="637" spans="4:4" ht="15.75" customHeight="1" x14ac:dyDescent="0.25">
      <c r="D637" s="184"/>
    </row>
    <row r="638" spans="4:4" ht="15.75" customHeight="1" x14ac:dyDescent="0.25">
      <c r="D638" s="184"/>
    </row>
    <row r="639" spans="4:4" ht="15.75" customHeight="1" x14ac:dyDescent="0.25">
      <c r="D639" s="184"/>
    </row>
    <row r="640" spans="4:4" ht="15.75" customHeight="1" x14ac:dyDescent="0.25">
      <c r="D640" s="184"/>
    </row>
    <row r="641" spans="4:4" ht="15.75" customHeight="1" x14ac:dyDescent="0.25">
      <c r="D641" s="184"/>
    </row>
    <row r="642" spans="4:4" ht="15.75" customHeight="1" x14ac:dyDescent="0.25">
      <c r="D642" s="184"/>
    </row>
    <row r="643" spans="4:4" ht="15.75" customHeight="1" x14ac:dyDescent="0.25">
      <c r="D643" s="184"/>
    </row>
    <row r="644" spans="4:4" ht="15.75" customHeight="1" x14ac:dyDescent="0.25">
      <c r="D644" s="184"/>
    </row>
    <row r="645" spans="4:4" ht="15.75" customHeight="1" x14ac:dyDescent="0.25">
      <c r="D645" s="184"/>
    </row>
    <row r="646" spans="4:4" ht="15.75" customHeight="1" x14ac:dyDescent="0.25">
      <c r="D646" s="184"/>
    </row>
    <row r="647" spans="4:4" ht="15.75" customHeight="1" x14ac:dyDescent="0.25">
      <c r="D647" s="184"/>
    </row>
    <row r="648" spans="4:4" ht="15.75" customHeight="1" x14ac:dyDescent="0.25">
      <c r="D648" s="184"/>
    </row>
    <row r="649" spans="4:4" ht="15.75" customHeight="1" x14ac:dyDescent="0.25">
      <c r="D649" s="184"/>
    </row>
    <row r="650" spans="4:4" ht="15.75" customHeight="1" x14ac:dyDescent="0.25">
      <c r="D650" s="184"/>
    </row>
    <row r="651" spans="4:4" ht="15.75" customHeight="1" x14ac:dyDescent="0.25">
      <c r="D651" s="184"/>
    </row>
    <row r="652" spans="4:4" ht="15.75" customHeight="1" x14ac:dyDescent="0.25">
      <c r="D652" s="184"/>
    </row>
    <row r="653" spans="4:4" ht="15.75" customHeight="1" x14ac:dyDescent="0.25">
      <c r="D653" s="184"/>
    </row>
    <row r="654" spans="4:4" ht="15.75" customHeight="1" x14ac:dyDescent="0.25">
      <c r="D654" s="184"/>
    </row>
    <row r="655" spans="4:4" ht="15.75" customHeight="1" x14ac:dyDescent="0.25">
      <c r="D655" s="184"/>
    </row>
    <row r="656" spans="4:4" ht="15.75" customHeight="1" x14ac:dyDescent="0.25">
      <c r="D656" s="184"/>
    </row>
    <row r="657" spans="4:4" ht="15.75" customHeight="1" x14ac:dyDescent="0.25">
      <c r="D657" s="184"/>
    </row>
    <row r="658" spans="4:4" ht="15.75" customHeight="1" x14ac:dyDescent="0.25">
      <c r="D658" s="184"/>
    </row>
    <row r="659" spans="4:4" ht="15.75" customHeight="1" x14ac:dyDescent="0.25">
      <c r="D659" s="184"/>
    </row>
    <row r="660" spans="4:4" ht="15.75" customHeight="1" x14ac:dyDescent="0.25">
      <c r="D660" s="184"/>
    </row>
    <row r="661" spans="4:4" ht="15.75" customHeight="1" x14ac:dyDescent="0.25">
      <c r="D661" s="184"/>
    </row>
    <row r="662" spans="4:4" ht="15.75" customHeight="1" x14ac:dyDescent="0.25">
      <c r="D662" s="184"/>
    </row>
    <row r="663" spans="4:4" ht="15.75" customHeight="1" x14ac:dyDescent="0.25">
      <c r="D663" s="184"/>
    </row>
    <row r="664" spans="4:4" ht="15.75" customHeight="1" x14ac:dyDescent="0.25">
      <c r="D664" s="184"/>
    </row>
    <row r="665" spans="4:4" ht="15.75" customHeight="1" x14ac:dyDescent="0.25">
      <c r="D665" s="184"/>
    </row>
    <row r="666" spans="4:4" ht="15.75" customHeight="1" x14ac:dyDescent="0.25">
      <c r="D666" s="184"/>
    </row>
    <row r="667" spans="4:4" ht="15.75" customHeight="1" x14ac:dyDescent="0.25">
      <c r="D667" s="184"/>
    </row>
    <row r="668" spans="4:4" ht="15.75" customHeight="1" x14ac:dyDescent="0.25">
      <c r="D668" s="184"/>
    </row>
    <row r="669" spans="4:4" ht="15.75" customHeight="1" x14ac:dyDescent="0.25">
      <c r="D669" s="184"/>
    </row>
    <row r="670" spans="4:4" ht="15.75" customHeight="1" x14ac:dyDescent="0.25">
      <c r="D670" s="184"/>
    </row>
    <row r="671" spans="4:4" ht="15.75" customHeight="1" x14ac:dyDescent="0.25">
      <c r="D671" s="184"/>
    </row>
    <row r="672" spans="4:4" ht="15.75" customHeight="1" x14ac:dyDescent="0.25">
      <c r="D672" s="184"/>
    </row>
    <row r="673" spans="4:4" ht="15.75" customHeight="1" x14ac:dyDescent="0.25">
      <c r="D673" s="184"/>
    </row>
    <row r="674" spans="4:4" ht="15.75" customHeight="1" x14ac:dyDescent="0.25">
      <c r="D674" s="184"/>
    </row>
    <row r="675" spans="4:4" ht="15.75" customHeight="1" x14ac:dyDescent="0.25">
      <c r="D675" s="184"/>
    </row>
    <row r="676" spans="4:4" ht="15.75" customHeight="1" x14ac:dyDescent="0.25">
      <c r="D676" s="184"/>
    </row>
    <row r="677" spans="4:4" ht="15.75" customHeight="1" x14ac:dyDescent="0.25">
      <c r="D677" s="184"/>
    </row>
    <row r="678" spans="4:4" ht="15.75" customHeight="1" x14ac:dyDescent="0.25">
      <c r="D678" s="184"/>
    </row>
    <row r="679" spans="4:4" ht="15.75" customHeight="1" x14ac:dyDescent="0.25">
      <c r="D679" s="184"/>
    </row>
    <row r="680" spans="4:4" ht="15.75" customHeight="1" x14ac:dyDescent="0.25">
      <c r="D680" s="184"/>
    </row>
    <row r="681" spans="4:4" ht="15.75" customHeight="1" x14ac:dyDescent="0.25">
      <c r="D681" s="184"/>
    </row>
    <row r="682" spans="4:4" ht="15.75" customHeight="1" x14ac:dyDescent="0.25">
      <c r="D682" s="184"/>
    </row>
    <row r="683" spans="4:4" ht="15.75" customHeight="1" x14ac:dyDescent="0.25">
      <c r="D683" s="184"/>
    </row>
    <row r="684" spans="4:4" ht="15.75" customHeight="1" x14ac:dyDescent="0.25">
      <c r="D684" s="184"/>
    </row>
    <row r="685" spans="4:4" ht="15.75" customHeight="1" x14ac:dyDescent="0.25">
      <c r="D685" s="184"/>
    </row>
    <row r="686" spans="4:4" ht="15.75" customHeight="1" x14ac:dyDescent="0.25">
      <c r="D686" s="184"/>
    </row>
    <row r="687" spans="4:4" ht="15.75" customHeight="1" x14ac:dyDescent="0.25">
      <c r="D687" s="184"/>
    </row>
    <row r="688" spans="4:4" ht="15.75" customHeight="1" x14ac:dyDescent="0.25">
      <c r="D688" s="184"/>
    </row>
    <row r="689" spans="4:4" ht="15.75" customHeight="1" x14ac:dyDescent="0.25">
      <c r="D689" s="184"/>
    </row>
    <row r="690" spans="4:4" ht="15.75" customHeight="1" x14ac:dyDescent="0.25">
      <c r="D690" s="184"/>
    </row>
    <row r="691" spans="4:4" ht="15.75" customHeight="1" x14ac:dyDescent="0.25">
      <c r="D691" s="184"/>
    </row>
    <row r="692" spans="4:4" ht="15.75" customHeight="1" x14ac:dyDescent="0.25">
      <c r="D692" s="184"/>
    </row>
    <row r="693" spans="4:4" ht="15.75" customHeight="1" x14ac:dyDescent="0.25">
      <c r="D693" s="184"/>
    </row>
    <row r="694" spans="4:4" ht="15.75" customHeight="1" x14ac:dyDescent="0.25">
      <c r="D694" s="184"/>
    </row>
    <row r="695" spans="4:4" ht="15.75" customHeight="1" x14ac:dyDescent="0.25">
      <c r="D695" s="184"/>
    </row>
    <row r="696" spans="4:4" ht="15.75" customHeight="1" x14ac:dyDescent="0.25">
      <c r="D696" s="184"/>
    </row>
    <row r="697" spans="4:4" ht="15.75" customHeight="1" x14ac:dyDescent="0.25">
      <c r="D697" s="184"/>
    </row>
    <row r="698" spans="4:4" ht="15.75" customHeight="1" x14ac:dyDescent="0.25">
      <c r="D698" s="184"/>
    </row>
    <row r="699" spans="4:4" ht="15.75" customHeight="1" x14ac:dyDescent="0.25">
      <c r="D699" s="184"/>
    </row>
    <row r="700" spans="4:4" ht="15.75" customHeight="1" x14ac:dyDescent="0.25">
      <c r="D700" s="184"/>
    </row>
    <row r="701" spans="4:4" ht="15.75" customHeight="1" x14ac:dyDescent="0.25">
      <c r="D701" s="184"/>
    </row>
    <row r="702" spans="4:4" ht="15.75" customHeight="1" x14ac:dyDescent="0.25">
      <c r="D702" s="184"/>
    </row>
    <row r="703" spans="4:4" ht="15.75" customHeight="1" x14ac:dyDescent="0.25">
      <c r="D703" s="184"/>
    </row>
    <row r="704" spans="4:4" ht="15.75" customHeight="1" x14ac:dyDescent="0.25">
      <c r="D704" s="184"/>
    </row>
    <row r="705" spans="4:4" ht="15.75" customHeight="1" x14ac:dyDescent="0.25">
      <c r="D705" s="184"/>
    </row>
    <row r="706" spans="4:4" ht="15.75" customHeight="1" x14ac:dyDescent="0.25">
      <c r="D706" s="184"/>
    </row>
    <row r="707" spans="4:4" ht="15.75" customHeight="1" x14ac:dyDescent="0.25">
      <c r="D707" s="184"/>
    </row>
    <row r="708" spans="4:4" ht="15.75" customHeight="1" x14ac:dyDescent="0.25">
      <c r="D708" s="184"/>
    </row>
    <row r="709" spans="4:4" ht="15.75" customHeight="1" x14ac:dyDescent="0.25">
      <c r="D709" s="184"/>
    </row>
    <row r="710" spans="4:4" ht="15.75" customHeight="1" x14ac:dyDescent="0.25">
      <c r="D710" s="184"/>
    </row>
    <row r="711" spans="4:4" ht="15.75" customHeight="1" x14ac:dyDescent="0.25">
      <c r="D711" s="184"/>
    </row>
    <row r="712" spans="4:4" ht="15.75" customHeight="1" x14ac:dyDescent="0.25">
      <c r="D712" s="184"/>
    </row>
    <row r="713" spans="4:4" ht="15.75" customHeight="1" x14ac:dyDescent="0.25">
      <c r="D713" s="184"/>
    </row>
    <row r="714" spans="4:4" ht="15.75" customHeight="1" x14ac:dyDescent="0.25">
      <c r="D714" s="184"/>
    </row>
    <row r="715" spans="4:4" ht="15.75" customHeight="1" x14ac:dyDescent="0.25">
      <c r="D715" s="184"/>
    </row>
    <row r="716" spans="4:4" ht="15.75" customHeight="1" x14ac:dyDescent="0.25">
      <c r="D716" s="184"/>
    </row>
    <row r="717" spans="4:4" ht="15.75" customHeight="1" x14ac:dyDescent="0.25">
      <c r="D717" s="184"/>
    </row>
    <row r="718" spans="4:4" ht="15.75" customHeight="1" x14ac:dyDescent="0.25">
      <c r="D718" s="184"/>
    </row>
    <row r="719" spans="4:4" ht="15.75" customHeight="1" x14ac:dyDescent="0.25">
      <c r="D719" s="184"/>
    </row>
    <row r="720" spans="4:4" ht="15.75" customHeight="1" x14ac:dyDescent="0.25">
      <c r="D720" s="184"/>
    </row>
    <row r="721" spans="4:4" ht="15.75" customHeight="1" x14ac:dyDescent="0.25">
      <c r="D721" s="184"/>
    </row>
    <row r="722" spans="4:4" ht="15.75" customHeight="1" x14ac:dyDescent="0.25">
      <c r="D722" s="184"/>
    </row>
    <row r="723" spans="4:4" ht="15.75" customHeight="1" x14ac:dyDescent="0.25">
      <c r="D723" s="184"/>
    </row>
    <row r="724" spans="4:4" ht="15.75" customHeight="1" x14ac:dyDescent="0.25">
      <c r="D724" s="184"/>
    </row>
    <row r="725" spans="4:4" ht="15.75" customHeight="1" x14ac:dyDescent="0.25">
      <c r="D725" s="184"/>
    </row>
    <row r="726" spans="4:4" ht="15.75" customHeight="1" x14ac:dyDescent="0.25">
      <c r="D726" s="184"/>
    </row>
    <row r="727" spans="4:4" ht="15.75" customHeight="1" x14ac:dyDescent="0.25">
      <c r="D727" s="184"/>
    </row>
    <row r="728" spans="4:4" ht="15.75" customHeight="1" x14ac:dyDescent="0.25">
      <c r="D728" s="184"/>
    </row>
    <row r="729" spans="4:4" ht="15.75" customHeight="1" x14ac:dyDescent="0.25">
      <c r="D729" s="184"/>
    </row>
    <row r="730" spans="4:4" ht="15.75" customHeight="1" x14ac:dyDescent="0.25">
      <c r="D730" s="184"/>
    </row>
    <row r="731" spans="4:4" ht="15.75" customHeight="1" x14ac:dyDescent="0.25">
      <c r="D731" s="184"/>
    </row>
    <row r="732" spans="4:4" ht="15.75" customHeight="1" x14ac:dyDescent="0.25">
      <c r="D732" s="184"/>
    </row>
    <row r="733" spans="4:4" ht="15.75" customHeight="1" x14ac:dyDescent="0.25">
      <c r="D733" s="184"/>
    </row>
    <row r="734" spans="4:4" ht="15.75" customHeight="1" x14ac:dyDescent="0.25">
      <c r="D734" s="184"/>
    </row>
    <row r="735" spans="4:4" ht="15.75" customHeight="1" x14ac:dyDescent="0.25">
      <c r="D735" s="184"/>
    </row>
    <row r="736" spans="4:4" ht="15.75" customHeight="1" x14ac:dyDescent="0.25">
      <c r="D736" s="184"/>
    </row>
    <row r="737" spans="4:4" ht="15.75" customHeight="1" x14ac:dyDescent="0.25">
      <c r="D737" s="184"/>
    </row>
    <row r="738" spans="4:4" ht="15.75" customHeight="1" x14ac:dyDescent="0.25">
      <c r="D738" s="184"/>
    </row>
    <row r="739" spans="4:4" ht="15.75" customHeight="1" x14ac:dyDescent="0.25">
      <c r="D739" s="184"/>
    </row>
    <row r="740" spans="4:4" ht="15.75" customHeight="1" x14ac:dyDescent="0.25">
      <c r="D740" s="184"/>
    </row>
    <row r="741" spans="4:4" ht="15.75" customHeight="1" x14ac:dyDescent="0.25">
      <c r="D741" s="184"/>
    </row>
    <row r="742" spans="4:4" ht="15.75" customHeight="1" x14ac:dyDescent="0.25">
      <c r="D742" s="184"/>
    </row>
    <row r="743" spans="4:4" ht="15.75" customHeight="1" x14ac:dyDescent="0.25">
      <c r="D743" s="184"/>
    </row>
    <row r="744" spans="4:4" ht="15.75" customHeight="1" x14ac:dyDescent="0.25">
      <c r="D744" s="184"/>
    </row>
    <row r="745" spans="4:4" ht="15.75" customHeight="1" x14ac:dyDescent="0.25">
      <c r="D745" s="184"/>
    </row>
    <row r="746" spans="4:4" ht="15.75" customHeight="1" x14ac:dyDescent="0.25">
      <c r="D746" s="184"/>
    </row>
    <row r="747" spans="4:4" ht="15.75" customHeight="1" x14ac:dyDescent="0.25">
      <c r="D747" s="184"/>
    </row>
    <row r="748" spans="4:4" ht="15.75" customHeight="1" x14ac:dyDescent="0.25">
      <c r="D748" s="184"/>
    </row>
    <row r="749" spans="4:4" ht="15.75" customHeight="1" x14ac:dyDescent="0.25">
      <c r="D749" s="184"/>
    </row>
    <row r="750" spans="4:4" ht="15.75" customHeight="1" x14ac:dyDescent="0.25">
      <c r="D750" s="184"/>
    </row>
    <row r="751" spans="4:4" ht="15.75" customHeight="1" x14ac:dyDescent="0.25">
      <c r="D751" s="184"/>
    </row>
    <row r="752" spans="4:4" ht="15.75" customHeight="1" x14ac:dyDescent="0.25">
      <c r="D752" s="184"/>
    </row>
    <row r="753" spans="4:4" ht="15.75" customHeight="1" x14ac:dyDescent="0.25">
      <c r="D753" s="184"/>
    </row>
    <row r="754" spans="4:4" ht="15.75" customHeight="1" x14ac:dyDescent="0.25">
      <c r="D754" s="184"/>
    </row>
    <row r="755" spans="4:4" ht="15.75" customHeight="1" x14ac:dyDescent="0.25">
      <c r="D755" s="184"/>
    </row>
    <row r="756" spans="4:4" ht="15.75" customHeight="1" x14ac:dyDescent="0.25">
      <c r="D756" s="184"/>
    </row>
    <row r="757" spans="4:4" ht="15.75" customHeight="1" x14ac:dyDescent="0.25">
      <c r="D757" s="184"/>
    </row>
    <row r="758" spans="4:4" ht="15.75" customHeight="1" x14ac:dyDescent="0.25">
      <c r="D758" s="184"/>
    </row>
    <row r="759" spans="4:4" ht="15.75" customHeight="1" x14ac:dyDescent="0.25">
      <c r="D759" s="184"/>
    </row>
    <row r="760" spans="4:4" ht="15.75" customHeight="1" x14ac:dyDescent="0.25">
      <c r="D760" s="184"/>
    </row>
    <row r="761" spans="4:4" ht="15.75" customHeight="1" x14ac:dyDescent="0.25">
      <c r="D761" s="184"/>
    </row>
    <row r="762" spans="4:4" ht="15.75" customHeight="1" x14ac:dyDescent="0.25">
      <c r="D762" s="184"/>
    </row>
    <row r="763" spans="4:4" ht="15.75" customHeight="1" x14ac:dyDescent="0.25">
      <c r="D763" s="184"/>
    </row>
    <row r="764" spans="4:4" ht="15.75" customHeight="1" x14ac:dyDescent="0.25">
      <c r="D764" s="184"/>
    </row>
    <row r="765" spans="4:4" ht="15.75" customHeight="1" x14ac:dyDescent="0.25">
      <c r="D765" s="184"/>
    </row>
    <row r="766" spans="4:4" ht="15.75" customHeight="1" x14ac:dyDescent="0.25">
      <c r="D766" s="184"/>
    </row>
    <row r="767" spans="4:4" ht="15.75" customHeight="1" x14ac:dyDescent="0.25">
      <c r="D767" s="184"/>
    </row>
    <row r="768" spans="4:4" ht="15.75" customHeight="1" x14ac:dyDescent="0.25">
      <c r="D768" s="184"/>
    </row>
    <row r="769" spans="4:4" ht="15.75" customHeight="1" x14ac:dyDescent="0.25">
      <c r="D769" s="184"/>
    </row>
    <row r="770" spans="4:4" ht="15.75" customHeight="1" x14ac:dyDescent="0.25">
      <c r="D770" s="184"/>
    </row>
    <row r="771" spans="4:4" ht="15.75" customHeight="1" x14ac:dyDescent="0.25">
      <c r="D771" s="184"/>
    </row>
    <row r="772" spans="4:4" ht="15.75" customHeight="1" x14ac:dyDescent="0.25">
      <c r="D772" s="184"/>
    </row>
    <row r="773" spans="4:4" ht="15.75" customHeight="1" x14ac:dyDescent="0.25">
      <c r="D773" s="184"/>
    </row>
    <row r="774" spans="4:4" ht="15.75" customHeight="1" x14ac:dyDescent="0.25">
      <c r="D774" s="184"/>
    </row>
    <row r="775" spans="4:4" ht="15.75" customHeight="1" x14ac:dyDescent="0.25">
      <c r="D775" s="184"/>
    </row>
    <row r="776" spans="4:4" ht="15.75" customHeight="1" x14ac:dyDescent="0.25">
      <c r="D776" s="184"/>
    </row>
    <row r="777" spans="4:4" ht="15.75" customHeight="1" x14ac:dyDescent="0.25">
      <c r="D777" s="184"/>
    </row>
    <row r="778" spans="4:4" ht="15.75" customHeight="1" x14ac:dyDescent="0.25">
      <c r="D778" s="184"/>
    </row>
    <row r="779" spans="4:4" ht="15.75" customHeight="1" x14ac:dyDescent="0.25">
      <c r="D779" s="184"/>
    </row>
    <row r="780" spans="4:4" ht="15.75" customHeight="1" x14ac:dyDescent="0.25">
      <c r="D780" s="184"/>
    </row>
    <row r="781" spans="4:4" ht="15.75" customHeight="1" x14ac:dyDescent="0.25">
      <c r="D781" s="184"/>
    </row>
    <row r="782" spans="4:4" ht="15.75" customHeight="1" x14ac:dyDescent="0.25">
      <c r="D782" s="184"/>
    </row>
    <row r="783" spans="4:4" ht="15.75" customHeight="1" x14ac:dyDescent="0.25">
      <c r="D783" s="184"/>
    </row>
    <row r="784" spans="4:4" ht="15.75" customHeight="1" x14ac:dyDescent="0.25">
      <c r="D784" s="184"/>
    </row>
    <row r="785" spans="4:4" ht="15.75" customHeight="1" x14ac:dyDescent="0.25">
      <c r="D785" s="184"/>
    </row>
    <row r="786" spans="4:4" ht="15.75" customHeight="1" x14ac:dyDescent="0.25">
      <c r="D786" s="184"/>
    </row>
    <row r="787" spans="4:4" ht="15.75" customHeight="1" x14ac:dyDescent="0.25">
      <c r="D787" s="184"/>
    </row>
    <row r="788" spans="4:4" ht="15.75" customHeight="1" x14ac:dyDescent="0.25">
      <c r="D788" s="184"/>
    </row>
    <row r="789" spans="4:4" ht="15.75" customHeight="1" x14ac:dyDescent="0.25">
      <c r="D789" s="184"/>
    </row>
    <row r="790" spans="4:4" ht="15.75" customHeight="1" x14ac:dyDescent="0.25">
      <c r="D790" s="184"/>
    </row>
    <row r="791" spans="4:4" ht="15.75" customHeight="1" x14ac:dyDescent="0.25">
      <c r="D791" s="184"/>
    </row>
    <row r="792" spans="4:4" ht="15.75" customHeight="1" x14ac:dyDescent="0.25">
      <c r="D792" s="184"/>
    </row>
    <row r="793" spans="4:4" ht="15.75" customHeight="1" x14ac:dyDescent="0.25">
      <c r="D793" s="184"/>
    </row>
    <row r="794" spans="4:4" ht="15.75" customHeight="1" x14ac:dyDescent="0.25">
      <c r="D794" s="184"/>
    </row>
    <row r="795" spans="4:4" ht="15.75" customHeight="1" x14ac:dyDescent="0.25">
      <c r="D795" s="184"/>
    </row>
    <row r="796" spans="4:4" ht="15.75" customHeight="1" x14ac:dyDescent="0.25">
      <c r="D796" s="184"/>
    </row>
    <row r="797" spans="4:4" ht="15.75" customHeight="1" x14ac:dyDescent="0.25">
      <c r="D797" s="184"/>
    </row>
    <row r="798" spans="4:4" ht="15.75" customHeight="1" x14ac:dyDescent="0.25">
      <c r="D798" s="184"/>
    </row>
    <row r="799" spans="4:4" ht="15.75" customHeight="1" x14ac:dyDescent="0.25">
      <c r="D799" s="184"/>
    </row>
    <row r="800" spans="4:4" ht="15.75" customHeight="1" x14ac:dyDescent="0.25">
      <c r="D800" s="184"/>
    </row>
    <row r="801" spans="4:4" ht="15.75" customHeight="1" x14ac:dyDescent="0.25">
      <c r="D801" s="184"/>
    </row>
    <row r="802" spans="4:4" ht="15.75" customHeight="1" x14ac:dyDescent="0.25">
      <c r="D802" s="184"/>
    </row>
    <row r="803" spans="4:4" ht="15.75" customHeight="1" x14ac:dyDescent="0.25">
      <c r="D803" s="184"/>
    </row>
    <row r="804" spans="4:4" ht="15.75" customHeight="1" x14ac:dyDescent="0.25">
      <c r="D804" s="184"/>
    </row>
    <row r="805" spans="4:4" ht="15.75" customHeight="1" x14ac:dyDescent="0.25">
      <c r="D805" s="184"/>
    </row>
    <row r="806" spans="4:4" ht="15.75" customHeight="1" x14ac:dyDescent="0.25">
      <c r="D806" s="184"/>
    </row>
    <row r="807" spans="4:4" ht="15.75" customHeight="1" x14ac:dyDescent="0.25">
      <c r="D807" s="184"/>
    </row>
    <row r="808" spans="4:4" ht="15.75" customHeight="1" x14ac:dyDescent="0.25">
      <c r="D808" s="184"/>
    </row>
    <row r="809" spans="4:4" ht="15.75" customHeight="1" x14ac:dyDescent="0.25">
      <c r="D809" s="184"/>
    </row>
    <row r="810" spans="4:4" ht="15.75" customHeight="1" x14ac:dyDescent="0.25">
      <c r="D810" s="184"/>
    </row>
    <row r="811" spans="4:4" ht="15.75" customHeight="1" x14ac:dyDescent="0.25">
      <c r="D811" s="184"/>
    </row>
    <row r="812" spans="4:4" ht="15.75" customHeight="1" x14ac:dyDescent="0.25">
      <c r="D812" s="184"/>
    </row>
    <row r="813" spans="4:4" ht="15.75" customHeight="1" x14ac:dyDescent="0.25">
      <c r="D813" s="184"/>
    </row>
    <row r="814" spans="4:4" ht="15.75" customHeight="1" x14ac:dyDescent="0.25">
      <c r="D814" s="184"/>
    </row>
    <row r="815" spans="4:4" ht="15.75" customHeight="1" x14ac:dyDescent="0.25">
      <c r="D815" s="184"/>
    </row>
    <row r="816" spans="4:4" ht="15.75" customHeight="1" x14ac:dyDescent="0.25">
      <c r="D816" s="184"/>
    </row>
    <row r="817" spans="4:4" ht="15.75" customHeight="1" x14ac:dyDescent="0.25">
      <c r="D817" s="184"/>
    </row>
    <row r="818" spans="4:4" ht="15.75" customHeight="1" x14ac:dyDescent="0.25">
      <c r="D818" s="184"/>
    </row>
    <row r="819" spans="4:4" ht="15.75" customHeight="1" x14ac:dyDescent="0.25">
      <c r="D819" s="184"/>
    </row>
    <row r="820" spans="4:4" ht="15.75" customHeight="1" x14ac:dyDescent="0.25">
      <c r="D820" s="184"/>
    </row>
    <row r="821" spans="4:4" ht="15.75" customHeight="1" x14ac:dyDescent="0.25">
      <c r="D821" s="184"/>
    </row>
    <row r="822" spans="4:4" ht="15.75" customHeight="1" x14ac:dyDescent="0.25">
      <c r="D822" s="184"/>
    </row>
    <row r="823" spans="4:4" ht="15.75" customHeight="1" x14ac:dyDescent="0.25">
      <c r="D823" s="184"/>
    </row>
    <row r="824" spans="4:4" ht="15.75" customHeight="1" x14ac:dyDescent="0.25">
      <c r="D824" s="184"/>
    </row>
    <row r="825" spans="4:4" ht="15.75" customHeight="1" x14ac:dyDescent="0.25">
      <c r="D825" s="184"/>
    </row>
    <row r="826" spans="4:4" ht="15.75" customHeight="1" x14ac:dyDescent="0.25">
      <c r="D826" s="184"/>
    </row>
    <row r="827" spans="4:4" ht="15.75" customHeight="1" x14ac:dyDescent="0.25">
      <c r="D827" s="184"/>
    </row>
    <row r="828" spans="4:4" ht="15.75" customHeight="1" x14ac:dyDescent="0.25">
      <c r="D828" s="184"/>
    </row>
    <row r="829" spans="4:4" ht="15.75" customHeight="1" x14ac:dyDescent="0.25">
      <c r="D829" s="184"/>
    </row>
    <row r="830" spans="4:4" ht="15.75" customHeight="1" x14ac:dyDescent="0.25">
      <c r="D830" s="184"/>
    </row>
    <row r="831" spans="4:4" ht="15.75" customHeight="1" x14ac:dyDescent="0.25">
      <c r="D831" s="184"/>
    </row>
    <row r="832" spans="4:4" ht="15.75" customHeight="1" x14ac:dyDescent="0.25">
      <c r="D832" s="184"/>
    </row>
    <row r="833" spans="4:4" ht="15.75" customHeight="1" x14ac:dyDescent="0.25">
      <c r="D833" s="184"/>
    </row>
    <row r="834" spans="4:4" ht="15.75" customHeight="1" x14ac:dyDescent="0.25">
      <c r="D834" s="184"/>
    </row>
    <row r="835" spans="4:4" ht="15.75" customHeight="1" x14ac:dyDescent="0.25">
      <c r="D835" s="184"/>
    </row>
    <row r="836" spans="4:4" ht="15.75" customHeight="1" x14ac:dyDescent="0.25">
      <c r="D836" s="184"/>
    </row>
    <row r="837" spans="4:4" ht="15.75" customHeight="1" x14ac:dyDescent="0.25">
      <c r="D837" s="184"/>
    </row>
    <row r="838" spans="4:4" ht="15.75" customHeight="1" x14ac:dyDescent="0.25">
      <c r="D838" s="184"/>
    </row>
    <row r="839" spans="4:4" ht="15.75" customHeight="1" x14ac:dyDescent="0.25">
      <c r="D839" s="184"/>
    </row>
    <row r="840" spans="4:4" ht="15.75" customHeight="1" x14ac:dyDescent="0.25">
      <c r="D840" s="184"/>
    </row>
    <row r="841" spans="4:4" ht="15.75" customHeight="1" x14ac:dyDescent="0.25">
      <c r="D841" s="184"/>
    </row>
    <row r="842" spans="4:4" ht="15.75" customHeight="1" x14ac:dyDescent="0.25">
      <c r="D842" s="184"/>
    </row>
    <row r="843" spans="4:4" ht="15.75" customHeight="1" x14ac:dyDescent="0.25">
      <c r="D843" s="184"/>
    </row>
    <row r="844" spans="4:4" ht="15.75" customHeight="1" x14ac:dyDescent="0.25">
      <c r="D844" s="184"/>
    </row>
    <row r="845" spans="4:4" ht="15.75" customHeight="1" x14ac:dyDescent="0.25">
      <c r="D845" s="184"/>
    </row>
    <row r="846" spans="4:4" ht="15.75" customHeight="1" x14ac:dyDescent="0.25">
      <c r="D846" s="184"/>
    </row>
    <row r="847" spans="4:4" ht="15.75" customHeight="1" x14ac:dyDescent="0.25">
      <c r="D847" s="184"/>
    </row>
    <row r="848" spans="4:4" ht="15.75" customHeight="1" x14ac:dyDescent="0.25">
      <c r="D848" s="184"/>
    </row>
    <row r="849" spans="4:4" ht="15.75" customHeight="1" x14ac:dyDescent="0.25">
      <c r="D849" s="184"/>
    </row>
    <row r="850" spans="4:4" ht="15.75" customHeight="1" x14ac:dyDescent="0.25">
      <c r="D850" s="184"/>
    </row>
    <row r="851" spans="4:4" ht="15.75" customHeight="1" x14ac:dyDescent="0.25">
      <c r="D851" s="184"/>
    </row>
    <row r="852" spans="4:4" ht="15.75" customHeight="1" x14ac:dyDescent="0.25">
      <c r="D852" s="184"/>
    </row>
    <row r="853" spans="4:4" ht="15.75" customHeight="1" x14ac:dyDescent="0.25">
      <c r="D853" s="184"/>
    </row>
    <row r="854" spans="4:4" ht="15.75" customHeight="1" x14ac:dyDescent="0.25">
      <c r="D854" s="184"/>
    </row>
    <row r="855" spans="4:4" ht="15.75" customHeight="1" x14ac:dyDescent="0.25">
      <c r="D855" s="184"/>
    </row>
    <row r="856" spans="4:4" ht="15.75" customHeight="1" x14ac:dyDescent="0.25">
      <c r="D856" s="184"/>
    </row>
    <row r="857" spans="4:4" ht="15.75" customHeight="1" x14ac:dyDescent="0.25">
      <c r="D857" s="184"/>
    </row>
    <row r="858" spans="4:4" ht="15.75" customHeight="1" x14ac:dyDescent="0.25">
      <c r="D858" s="184"/>
    </row>
    <row r="859" spans="4:4" ht="15.75" customHeight="1" x14ac:dyDescent="0.25">
      <c r="D859" s="184"/>
    </row>
    <row r="860" spans="4:4" ht="15.75" customHeight="1" x14ac:dyDescent="0.25">
      <c r="D860" s="184"/>
    </row>
    <row r="861" spans="4:4" ht="15.75" customHeight="1" x14ac:dyDescent="0.25">
      <c r="D861" s="184"/>
    </row>
    <row r="862" spans="4:4" ht="15.75" customHeight="1" x14ac:dyDescent="0.25">
      <c r="D862" s="184"/>
    </row>
    <row r="863" spans="4:4" ht="15.75" customHeight="1" x14ac:dyDescent="0.25">
      <c r="D863" s="184"/>
    </row>
    <row r="864" spans="4:4" ht="15.75" customHeight="1" x14ac:dyDescent="0.25">
      <c r="D864" s="184"/>
    </row>
    <row r="865" spans="4:4" ht="15.75" customHeight="1" x14ac:dyDescent="0.25">
      <c r="D865" s="184"/>
    </row>
    <row r="866" spans="4:4" ht="15.75" customHeight="1" x14ac:dyDescent="0.25">
      <c r="D866" s="184"/>
    </row>
    <row r="867" spans="4:4" ht="15.75" customHeight="1" x14ac:dyDescent="0.25">
      <c r="D867" s="184"/>
    </row>
    <row r="868" spans="4:4" ht="15.75" customHeight="1" x14ac:dyDescent="0.25">
      <c r="D868" s="184"/>
    </row>
    <row r="869" spans="4:4" ht="15.75" customHeight="1" x14ac:dyDescent="0.25">
      <c r="D869" s="184"/>
    </row>
    <row r="870" spans="4:4" ht="15.75" customHeight="1" x14ac:dyDescent="0.25">
      <c r="D870" s="184"/>
    </row>
    <row r="871" spans="4:4" ht="15.75" customHeight="1" x14ac:dyDescent="0.25">
      <c r="D871" s="184"/>
    </row>
    <row r="872" spans="4:4" ht="15.75" customHeight="1" x14ac:dyDescent="0.25">
      <c r="D872" s="184"/>
    </row>
    <row r="873" spans="4:4" ht="15.75" customHeight="1" x14ac:dyDescent="0.25">
      <c r="D873" s="184"/>
    </row>
    <row r="874" spans="4:4" ht="15.75" customHeight="1" x14ac:dyDescent="0.25">
      <c r="D874" s="184"/>
    </row>
    <row r="875" spans="4:4" ht="15.75" customHeight="1" x14ac:dyDescent="0.25">
      <c r="D875" s="184"/>
    </row>
    <row r="876" spans="4:4" ht="15.75" customHeight="1" x14ac:dyDescent="0.25">
      <c r="D876" s="184"/>
    </row>
    <row r="877" spans="4:4" ht="15.75" customHeight="1" x14ac:dyDescent="0.25">
      <c r="D877" s="184"/>
    </row>
    <row r="878" spans="4:4" ht="15.75" customHeight="1" x14ac:dyDescent="0.25">
      <c r="D878" s="184"/>
    </row>
    <row r="879" spans="4:4" ht="15.75" customHeight="1" x14ac:dyDescent="0.25">
      <c r="D879" s="184"/>
    </row>
    <row r="880" spans="4:4" ht="15.75" customHeight="1" x14ac:dyDescent="0.25">
      <c r="D880" s="184"/>
    </row>
    <row r="881" spans="4:4" ht="15.75" customHeight="1" x14ac:dyDescent="0.25">
      <c r="D881" s="184"/>
    </row>
    <row r="882" spans="4:4" ht="15.75" customHeight="1" x14ac:dyDescent="0.25">
      <c r="D882" s="184"/>
    </row>
    <row r="883" spans="4:4" ht="15.75" customHeight="1" x14ac:dyDescent="0.25">
      <c r="D883" s="184"/>
    </row>
    <row r="884" spans="4:4" ht="15.75" customHeight="1" x14ac:dyDescent="0.25">
      <c r="D884" s="184"/>
    </row>
    <row r="885" spans="4:4" ht="15.75" customHeight="1" x14ac:dyDescent="0.25">
      <c r="D885" s="184"/>
    </row>
    <row r="886" spans="4:4" ht="15.75" customHeight="1" x14ac:dyDescent="0.25">
      <c r="D886" s="184"/>
    </row>
    <row r="887" spans="4:4" ht="15.75" customHeight="1" x14ac:dyDescent="0.25">
      <c r="D887" s="184"/>
    </row>
    <row r="888" spans="4:4" ht="15.75" customHeight="1" x14ac:dyDescent="0.25">
      <c r="D888" s="184"/>
    </row>
    <row r="889" spans="4:4" ht="15.75" customHeight="1" x14ac:dyDescent="0.25">
      <c r="D889" s="184"/>
    </row>
    <row r="890" spans="4:4" ht="15.75" customHeight="1" x14ac:dyDescent="0.25">
      <c r="D890" s="184"/>
    </row>
    <row r="891" spans="4:4" ht="15.75" customHeight="1" x14ac:dyDescent="0.25">
      <c r="D891" s="184"/>
    </row>
    <row r="892" spans="4:4" ht="15.75" customHeight="1" x14ac:dyDescent="0.25">
      <c r="D892" s="184"/>
    </row>
    <row r="893" spans="4:4" ht="15.75" customHeight="1" x14ac:dyDescent="0.25">
      <c r="D893" s="184"/>
    </row>
    <row r="894" spans="4:4" ht="15.75" customHeight="1" x14ac:dyDescent="0.25">
      <c r="D894" s="184"/>
    </row>
    <row r="895" spans="4:4" ht="15.75" customHeight="1" x14ac:dyDescent="0.25">
      <c r="D895" s="184"/>
    </row>
    <row r="896" spans="4:4" ht="15.75" customHeight="1" x14ac:dyDescent="0.25">
      <c r="D896" s="184"/>
    </row>
    <row r="897" spans="4:4" ht="15.75" customHeight="1" x14ac:dyDescent="0.25">
      <c r="D897" s="184"/>
    </row>
    <row r="898" spans="4:4" ht="15.75" customHeight="1" x14ac:dyDescent="0.25">
      <c r="D898" s="184"/>
    </row>
    <row r="899" spans="4:4" ht="15.75" customHeight="1" x14ac:dyDescent="0.25">
      <c r="D899" s="184"/>
    </row>
    <row r="900" spans="4:4" ht="15.75" customHeight="1" x14ac:dyDescent="0.25">
      <c r="D900" s="184"/>
    </row>
    <row r="901" spans="4:4" ht="15.75" customHeight="1" x14ac:dyDescent="0.25">
      <c r="D901" s="184"/>
    </row>
    <row r="902" spans="4:4" ht="15.75" customHeight="1" x14ac:dyDescent="0.25">
      <c r="D902" s="184"/>
    </row>
    <row r="903" spans="4:4" ht="15.75" customHeight="1" x14ac:dyDescent="0.25">
      <c r="D903" s="184"/>
    </row>
    <row r="904" spans="4:4" ht="15.75" customHeight="1" x14ac:dyDescent="0.25">
      <c r="D904" s="184"/>
    </row>
    <row r="905" spans="4:4" ht="15.75" customHeight="1" x14ac:dyDescent="0.25">
      <c r="D905" s="184"/>
    </row>
    <row r="906" spans="4:4" ht="15.75" customHeight="1" x14ac:dyDescent="0.25">
      <c r="D906" s="184"/>
    </row>
    <row r="907" spans="4:4" ht="15.75" customHeight="1" x14ac:dyDescent="0.25">
      <c r="D907" s="184"/>
    </row>
    <row r="908" spans="4:4" ht="15.75" customHeight="1" x14ac:dyDescent="0.25">
      <c r="D908" s="184"/>
    </row>
    <row r="909" spans="4:4" ht="15.75" customHeight="1" x14ac:dyDescent="0.25">
      <c r="D909" s="184"/>
    </row>
    <row r="910" spans="4:4" ht="15.75" customHeight="1" x14ac:dyDescent="0.25">
      <c r="D910" s="184"/>
    </row>
    <row r="911" spans="4:4" ht="15.75" customHeight="1" x14ac:dyDescent="0.25">
      <c r="D911" s="184"/>
    </row>
    <row r="912" spans="4:4" ht="15.75" customHeight="1" x14ac:dyDescent="0.25">
      <c r="D912" s="184"/>
    </row>
    <row r="913" spans="4:4" ht="15.75" customHeight="1" x14ac:dyDescent="0.25">
      <c r="D913" s="184"/>
    </row>
    <row r="914" spans="4:4" ht="15.75" customHeight="1" x14ac:dyDescent="0.25">
      <c r="D914" s="184"/>
    </row>
    <row r="915" spans="4:4" ht="15.75" customHeight="1" x14ac:dyDescent="0.25">
      <c r="D915" s="184"/>
    </row>
    <row r="916" spans="4:4" ht="15.75" customHeight="1" x14ac:dyDescent="0.25">
      <c r="D916" s="184"/>
    </row>
    <row r="917" spans="4:4" ht="15.75" customHeight="1" x14ac:dyDescent="0.25">
      <c r="D917" s="184"/>
    </row>
    <row r="918" spans="4:4" ht="15.75" customHeight="1" x14ac:dyDescent="0.25">
      <c r="D918" s="184"/>
    </row>
    <row r="919" spans="4:4" ht="15.75" customHeight="1" x14ac:dyDescent="0.25">
      <c r="D919" s="184"/>
    </row>
    <row r="920" spans="4:4" ht="15.75" customHeight="1" x14ac:dyDescent="0.25">
      <c r="D920" s="184"/>
    </row>
    <row r="921" spans="4:4" ht="15.75" customHeight="1" x14ac:dyDescent="0.25">
      <c r="D921" s="184"/>
    </row>
    <row r="922" spans="4:4" ht="15.75" customHeight="1" x14ac:dyDescent="0.25">
      <c r="D922" s="184"/>
    </row>
    <row r="923" spans="4:4" ht="15.75" customHeight="1" x14ac:dyDescent="0.25">
      <c r="D923" s="184"/>
    </row>
    <row r="924" spans="4:4" ht="15.75" customHeight="1" x14ac:dyDescent="0.25">
      <c r="D924" s="184"/>
    </row>
    <row r="925" spans="4:4" ht="15.75" customHeight="1" x14ac:dyDescent="0.25">
      <c r="D925" s="184"/>
    </row>
    <row r="926" spans="4:4" ht="15.75" customHeight="1" x14ac:dyDescent="0.25">
      <c r="D926" s="184"/>
    </row>
    <row r="927" spans="4:4" ht="15.75" customHeight="1" x14ac:dyDescent="0.25">
      <c r="D927" s="184"/>
    </row>
    <row r="928" spans="4:4" ht="15.75" customHeight="1" x14ac:dyDescent="0.25">
      <c r="D928" s="184"/>
    </row>
    <row r="929" spans="4:4" ht="15.75" customHeight="1" x14ac:dyDescent="0.25">
      <c r="D929" s="184"/>
    </row>
    <row r="930" spans="4:4" ht="15.75" customHeight="1" x14ac:dyDescent="0.25">
      <c r="D930" s="184"/>
    </row>
    <row r="931" spans="4:4" ht="15.75" customHeight="1" x14ac:dyDescent="0.25">
      <c r="D931" s="184"/>
    </row>
    <row r="932" spans="4:4" ht="15.75" customHeight="1" x14ac:dyDescent="0.25">
      <c r="D932" s="184"/>
    </row>
    <row r="933" spans="4:4" ht="15.75" customHeight="1" x14ac:dyDescent="0.25">
      <c r="D933" s="184"/>
    </row>
    <row r="934" spans="4:4" ht="15.75" customHeight="1" x14ac:dyDescent="0.25">
      <c r="D934" s="184"/>
    </row>
    <row r="935" spans="4:4" ht="15.75" customHeight="1" x14ac:dyDescent="0.25">
      <c r="D935" s="184"/>
    </row>
    <row r="936" spans="4:4" ht="15.75" customHeight="1" x14ac:dyDescent="0.25">
      <c r="D936" s="184"/>
    </row>
    <row r="937" spans="4:4" ht="15.75" customHeight="1" x14ac:dyDescent="0.25">
      <c r="D937" s="184"/>
    </row>
    <row r="938" spans="4:4" ht="15.75" customHeight="1" x14ac:dyDescent="0.25">
      <c r="D938" s="184"/>
    </row>
    <row r="939" spans="4:4" ht="15.75" customHeight="1" x14ac:dyDescent="0.25">
      <c r="D939" s="184"/>
    </row>
    <row r="940" spans="4:4" ht="15.75" customHeight="1" x14ac:dyDescent="0.25">
      <c r="D940" s="184"/>
    </row>
    <row r="941" spans="4:4" ht="15.75" customHeight="1" x14ac:dyDescent="0.25">
      <c r="D941" s="184"/>
    </row>
    <row r="942" spans="4:4" ht="15.75" customHeight="1" x14ac:dyDescent="0.25">
      <c r="D942" s="184"/>
    </row>
    <row r="943" spans="4:4" ht="15.75" customHeight="1" x14ac:dyDescent="0.25">
      <c r="D943" s="184"/>
    </row>
    <row r="944" spans="4:4" ht="15.75" customHeight="1" x14ac:dyDescent="0.25">
      <c r="D944" s="184"/>
    </row>
    <row r="945" spans="4:4" ht="15.75" customHeight="1" x14ac:dyDescent="0.25">
      <c r="D945" s="184"/>
    </row>
    <row r="946" spans="4:4" ht="15.75" customHeight="1" x14ac:dyDescent="0.25">
      <c r="D946" s="184"/>
    </row>
    <row r="947" spans="4:4" ht="15.75" customHeight="1" x14ac:dyDescent="0.25">
      <c r="D947" s="184"/>
    </row>
    <row r="948" spans="4:4" ht="15.75" customHeight="1" x14ac:dyDescent="0.25">
      <c r="D948" s="184"/>
    </row>
    <row r="949" spans="4:4" ht="15.75" customHeight="1" x14ac:dyDescent="0.25">
      <c r="D949" s="184"/>
    </row>
    <row r="950" spans="4:4" ht="15.75" customHeight="1" x14ac:dyDescent="0.25">
      <c r="D950" s="184"/>
    </row>
    <row r="951" spans="4:4" ht="15.75" customHeight="1" x14ac:dyDescent="0.25">
      <c r="D951" s="184"/>
    </row>
    <row r="952" spans="4:4" ht="15.75" customHeight="1" x14ac:dyDescent="0.25">
      <c r="D952" s="184"/>
    </row>
    <row r="953" spans="4:4" ht="15.75" customHeight="1" x14ac:dyDescent="0.25">
      <c r="D953" s="184"/>
    </row>
    <row r="954" spans="4:4" ht="15.75" customHeight="1" x14ac:dyDescent="0.25">
      <c r="D954" s="184"/>
    </row>
    <row r="955" spans="4:4" ht="15.75" customHeight="1" x14ac:dyDescent="0.25">
      <c r="D955" s="184"/>
    </row>
    <row r="956" spans="4:4" ht="15.75" customHeight="1" x14ac:dyDescent="0.25">
      <c r="D956" s="184"/>
    </row>
    <row r="957" spans="4:4" ht="15.75" customHeight="1" x14ac:dyDescent="0.25">
      <c r="D957" s="184"/>
    </row>
    <row r="958" spans="4:4" ht="15.75" customHeight="1" x14ac:dyDescent="0.25">
      <c r="D958" s="184"/>
    </row>
    <row r="959" spans="4:4" ht="15.75" customHeight="1" x14ac:dyDescent="0.25">
      <c r="D959" s="184"/>
    </row>
    <row r="960" spans="4:4" ht="15.75" customHeight="1" x14ac:dyDescent="0.25">
      <c r="D960" s="184"/>
    </row>
    <row r="961" spans="4:4" ht="15.75" customHeight="1" x14ac:dyDescent="0.25">
      <c r="D961" s="184"/>
    </row>
    <row r="962" spans="4:4" ht="15.75" customHeight="1" x14ac:dyDescent="0.25">
      <c r="D962" s="184"/>
    </row>
    <row r="963" spans="4:4" ht="15.75" customHeight="1" x14ac:dyDescent="0.25">
      <c r="D963" s="184"/>
    </row>
    <row r="964" spans="4:4" ht="15.75" customHeight="1" x14ac:dyDescent="0.25">
      <c r="D964" s="184"/>
    </row>
    <row r="965" spans="4:4" ht="15.75" customHeight="1" x14ac:dyDescent="0.25">
      <c r="D965" s="184"/>
    </row>
    <row r="966" spans="4:4" ht="15.75" customHeight="1" x14ac:dyDescent="0.25">
      <c r="D966" s="184"/>
    </row>
    <row r="967" spans="4:4" ht="15.75" customHeight="1" x14ac:dyDescent="0.25">
      <c r="D967" s="184"/>
    </row>
    <row r="968" spans="4:4" ht="15.75" customHeight="1" x14ac:dyDescent="0.25">
      <c r="D968" s="184"/>
    </row>
    <row r="969" spans="4:4" ht="15.75" customHeight="1" x14ac:dyDescent="0.25">
      <c r="D969" s="184"/>
    </row>
    <row r="970" spans="4:4" ht="15.75" customHeight="1" x14ac:dyDescent="0.25">
      <c r="D970" s="184"/>
    </row>
    <row r="971" spans="4:4" ht="15.75" customHeight="1" x14ac:dyDescent="0.25">
      <c r="D971" s="184"/>
    </row>
    <row r="972" spans="4:4" ht="15.75" customHeight="1" x14ac:dyDescent="0.25">
      <c r="D972" s="184"/>
    </row>
    <row r="973" spans="4:4" ht="15.75" customHeight="1" x14ac:dyDescent="0.25">
      <c r="D973" s="184"/>
    </row>
    <row r="974" spans="4:4" ht="15.75" customHeight="1" x14ac:dyDescent="0.25">
      <c r="D974" s="184"/>
    </row>
    <row r="975" spans="4:4" ht="15.75" customHeight="1" x14ac:dyDescent="0.25">
      <c r="D975" s="184"/>
    </row>
    <row r="976" spans="4:4" ht="15.75" customHeight="1" x14ac:dyDescent="0.25">
      <c r="D976" s="184"/>
    </row>
    <row r="977" spans="4:4" ht="15.75" customHeight="1" x14ac:dyDescent="0.25">
      <c r="D977" s="184"/>
    </row>
    <row r="978" spans="4:4" ht="15.75" customHeight="1" x14ac:dyDescent="0.25">
      <c r="D978" s="184"/>
    </row>
    <row r="979" spans="4:4" ht="15.75" customHeight="1" x14ac:dyDescent="0.25">
      <c r="D979" s="184"/>
    </row>
    <row r="980" spans="4:4" ht="15.75" customHeight="1" x14ac:dyDescent="0.25">
      <c r="D980" s="184"/>
    </row>
    <row r="981" spans="4:4" ht="15.75" customHeight="1" x14ac:dyDescent="0.25">
      <c r="D981" s="184"/>
    </row>
    <row r="982" spans="4:4" ht="15.75" customHeight="1" x14ac:dyDescent="0.25">
      <c r="D982" s="184"/>
    </row>
    <row r="983" spans="4:4" ht="15.75" customHeight="1" x14ac:dyDescent="0.25">
      <c r="D983" s="184"/>
    </row>
    <row r="984" spans="4:4" ht="15.75" customHeight="1" x14ac:dyDescent="0.25">
      <c r="D984" s="184"/>
    </row>
    <row r="985" spans="4:4" ht="15.75" customHeight="1" x14ac:dyDescent="0.25">
      <c r="D985" s="184"/>
    </row>
    <row r="986" spans="4:4" ht="15.75" customHeight="1" x14ac:dyDescent="0.25">
      <c r="D986" s="184"/>
    </row>
    <row r="987" spans="4:4" ht="15.75" customHeight="1" x14ac:dyDescent="0.25">
      <c r="D987" s="184"/>
    </row>
    <row r="988" spans="4:4" ht="15.75" customHeight="1" x14ac:dyDescent="0.25">
      <c r="D988" s="184"/>
    </row>
    <row r="989" spans="4:4" ht="15.75" customHeight="1" x14ac:dyDescent="0.25">
      <c r="D989" s="184"/>
    </row>
    <row r="990" spans="4:4" ht="15.75" customHeight="1" x14ac:dyDescent="0.25">
      <c r="D990" s="184"/>
    </row>
    <row r="991" spans="4:4" ht="15.75" customHeight="1" x14ac:dyDescent="0.25">
      <c r="D991" s="184"/>
    </row>
    <row r="992" spans="4:4" ht="15.75" customHeight="1" x14ac:dyDescent="0.25">
      <c r="D992" s="184"/>
    </row>
    <row r="993" spans="4:4" ht="15.75" customHeight="1" x14ac:dyDescent="0.25">
      <c r="D993" s="184"/>
    </row>
    <row r="994" spans="4:4" ht="15.75" customHeight="1" x14ac:dyDescent="0.25">
      <c r="D994" s="184"/>
    </row>
    <row r="995" spans="4:4" ht="15.75" customHeight="1" x14ac:dyDescent="0.25">
      <c r="D995" s="184"/>
    </row>
    <row r="996" spans="4:4" ht="15.75" customHeight="1" x14ac:dyDescent="0.25">
      <c r="D996" s="184"/>
    </row>
    <row r="997" spans="4:4" ht="15.75" customHeight="1" x14ac:dyDescent="0.25">
      <c r="D997" s="184"/>
    </row>
    <row r="998" spans="4:4" ht="15.75" customHeight="1" x14ac:dyDescent="0.25">
      <c r="D998" s="184"/>
    </row>
    <row r="999" spans="4:4" ht="15.75" customHeight="1" x14ac:dyDescent="0.25">
      <c r="D999" s="184"/>
    </row>
    <row r="1000" spans="4:4" ht="15.75" customHeight="1" x14ac:dyDescent="0.25">
      <c r="D1000" s="184"/>
    </row>
  </sheetData>
  <mergeCells count="82">
    <mergeCell ref="J141:M141"/>
    <mergeCell ref="J142:M142"/>
    <mergeCell ref="J146:M146"/>
    <mergeCell ref="K157:P157"/>
    <mergeCell ref="C65:C66"/>
    <mergeCell ref="C68:C72"/>
    <mergeCell ref="C81:C85"/>
    <mergeCell ref="B117:F117"/>
    <mergeCell ref="B121:E121"/>
    <mergeCell ref="B67:F67"/>
    <mergeCell ref="B79:E79"/>
    <mergeCell ref="K80:P80"/>
    <mergeCell ref="B86:E86"/>
    <mergeCell ref="B92:F92"/>
    <mergeCell ref="C113:C116"/>
    <mergeCell ref="C118:C120"/>
    <mergeCell ref="C33:C34"/>
    <mergeCell ref="B35:E35"/>
    <mergeCell ref="B57:F57"/>
    <mergeCell ref="B61:E61"/>
    <mergeCell ref="B64:F64"/>
    <mergeCell ref="C36:C40"/>
    <mergeCell ref="B41:F41"/>
    <mergeCell ref="C42:C44"/>
    <mergeCell ref="B45:E45"/>
    <mergeCell ref="C46:C47"/>
    <mergeCell ref="B48:F48"/>
    <mergeCell ref="B52:E52"/>
    <mergeCell ref="C49:C51"/>
    <mergeCell ref="C53:C56"/>
    <mergeCell ref="C58:C60"/>
    <mergeCell ref="C62:C63"/>
    <mergeCell ref="C202:C203"/>
    <mergeCell ref="C205:C209"/>
    <mergeCell ref="H21:K21"/>
    <mergeCell ref="L21:N21"/>
    <mergeCell ref="B4:G4"/>
    <mergeCell ref="J5:M5"/>
    <mergeCell ref="B6:G6"/>
    <mergeCell ref="J6:M6"/>
    <mergeCell ref="J10:M10"/>
    <mergeCell ref="B11:G11"/>
    <mergeCell ref="H20:N20"/>
    <mergeCell ref="B19:E19"/>
    <mergeCell ref="C21:C25"/>
    <mergeCell ref="B26:E26"/>
    <mergeCell ref="C27:C31"/>
    <mergeCell ref="B32:F32"/>
    <mergeCell ref="C183:C184"/>
    <mergeCell ref="C186:C188"/>
    <mergeCell ref="C190:C193"/>
    <mergeCell ref="C195:C197"/>
    <mergeCell ref="C199:C200"/>
    <mergeCell ref="B217:G217"/>
    <mergeCell ref="J218:M218"/>
    <mergeCell ref="B219:G219"/>
    <mergeCell ref="J219:M219"/>
    <mergeCell ref="J223:M223"/>
    <mergeCell ref="C158:C162"/>
    <mergeCell ref="C164:C168"/>
    <mergeCell ref="C170:C171"/>
    <mergeCell ref="C173:C177"/>
    <mergeCell ref="C179:C181"/>
    <mergeCell ref="C87:C91"/>
    <mergeCell ref="C93:C94"/>
    <mergeCell ref="B95:E95"/>
    <mergeCell ref="B101:F101"/>
    <mergeCell ref="B105:E105"/>
    <mergeCell ref="B140:G140"/>
    <mergeCell ref="B142:G142"/>
    <mergeCell ref="B156:E156"/>
    <mergeCell ref="C96:C100"/>
    <mergeCell ref="C102:C104"/>
    <mergeCell ref="C106:C107"/>
    <mergeCell ref="C109:C111"/>
    <mergeCell ref="C122:C123"/>
    <mergeCell ref="C125:C126"/>
    <mergeCell ref="C128:C132"/>
    <mergeCell ref="B108:F108"/>
    <mergeCell ref="B112:E112"/>
    <mergeCell ref="B124:F124"/>
    <mergeCell ref="B127:F127"/>
  </mergeCells>
  <conditionalFormatting sqref="G81:G132">
    <cfRule type="cellIs" dxfId="1" priority="1" operator="greaterThan">
      <formula>10</formula>
    </cfRule>
  </conditionalFormatting>
  <conditionalFormatting sqref="G158:G209">
    <cfRule type="cellIs" dxfId="0" priority="2" operator="greaterThan">
      <formula>10</formula>
    </cfRule>
  </conditionalFormatting>
  <pageMargins left="0.7" right="0.7" top="0.75" bottom="0.75" header="0" footer="0"/>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Z1000"/>
  <sheetViews>
    <sheetView workbookViewId="0"/>
  </sheetViews>
  <sheetFormatPr baseColWidth="10" defaultColWidth="12.625" defaultRowHeight="15" customHeight="1" x14ac:dyDescent="0.2"/>
  <cols>
    <col min="1" max="26" width="10" customWidth="1"/>
  </cols>
  <sheetData>
    <row r="1" spans="1:13" x14ac:dyDescent="0.25">
      <c r="A1" s="21" t="s">
        <v>1132</v>
      </c>
    </row>
    <row r="5" spans="1:13" x14ac:dyDescent="0.25">
      <c r="B5" s="304" t="s">
        <v>662</v>
      </c>
      <c r="C5" s="297"/>
      <c r="D5" s="297"/>
      <c r="E5" s="297"/>
      <c r="F5" s="154"/>
      <c r="I5" s="3"/>
    </row>
    <row r="6" spans="1:13" ht="24" x14ac:dyDescent="0.2">
      <c r="B6" s="4" t="s">
        <v>0</v>
      </c>
      <c r="C6" s="5" t="s">
        <v>1</v>
      </c>
      <c r="D6" s="5" t="s">
        <v>2</v>
      </c>
      <c r="E6" s="5" t="s">
        <v>43</v>
      </c>
      <c r="F6" s="45" t="s">
        <v>125</v>
      </c>
      <c r="H6" s="296" t="s">
        <v>6</v>
      </c>
      <c r="I6" s="297"/>
      <c r="J6" s="297"/>
      <c r="K6" s="297"/>
      <c r="L6" s="297"/>
      <c r="M6" s="298"/>
    </row>
    <row r="7" spans="1:13" ht="14.25" x14ac:dyDescent="0.2">
      <c r="B7" s="9" t="s">
        <v>7</v>
      </c>
      <c r="C7" s="302" t="s">
        <v>9</v>
      </c>
      <c r="D7" s="11">
        <v>28.1</v>
      </c>
      <c r="E7" s="11"/>
      <c r="F7" s="11">
        <v>68</v>
      </c>
      <c r="H7" s="296" t="s">
        <v>106</v>
      </c>
      <c r="I7" s="297"/>
      <c r="J7" s="298"/>
      <c r="K7" s="296" t="s">
        <v>107</v>
      </c>
      <c r="L7" s="297"/>
      <c r="M7" s="298"/>
    </row>
    <row r="8" spans="1:13" ht="14.25" x14ac:dyDescent="0.2">
      <c r="B8" s="9" t="s">
        <v>17</v>
      </c>
      <c r="C8" s="300"/>
      <c r="D8" s="11">
        <v>63.911000000000001</v>
      </c>
      <c r="E8" s="11"/>
      <c r="F8" s="11">
        <v>73</v>
      </c>
      <c r="H8" s="13" t="s">
        <v>13</v>
      </c>
      <c r="I8" s="39"/>
      <c r="J8" s="17" t="s">
        <v>1133</v>
      </c>
      <c r="K8" s="13" t="s">
        <v>13</v>
      </c>
      <c r="L8" s="39">
        <f>L10+L10*0.05</f>
        <v>766.5</v>
      </c>
      <c r="M8" s="17" t="s">
        <v>1134</v>
      </c>
    </row>
    <row r="9" spans="1:13" ht="14.25" x14ac:dyDescent="0.2">
      <c r="B9" s="9" t="s">
        <v>26</v>
      </c>
      <c r="C9" s="300"/>
      <c r="D9" s="11">
        <v>69.921999999999997</v>
      </c>
      <c r="E9" s="11"/>
      <c r="F9" s="11">
        <v>71</v>
      </c>
      <c r="H9" s="13" t="s">
        <v>19</v>
      </c>
      <c r="I9" s="40"/>
      <c r="J9" s="17" t="s">
        <v>1135</v>
      </c>
      <c r="K9" s="13" t="s">
        <v>19</v>
      </c>
      <c r="L9" s="40">
        <f>L10-L10*0.05</f>
        <v>693.5</v>
      </c>
      <c r="M9" s="17" t="s">
        <v>1136</v>
      </c>
    </row>
    <row r="10" spans="1:13" ht="14.25" x14ac:dyDescent="0.2">
      <c r="B10" s="9" t="s">
        <v>32</v>
      </c>
      <c r="C10" s="300"/>
      <c r="D10" s="11">
        <v>96.744</v>
      </c>
      <c r="E10" s="11"/>
      <c r="F10" s="11">
        <v>94</v>
      </c>
      <c r="H10" s="13" t="s">
        <v>27</v>
      </c>
      <c r="I10" s="20"/>
      <c r="J10" s="17" t="s">
        <v>1137</v>
      </c>
      <c r="K10" s="13" t="s">
        <v>27</v>
      </c>
      <c r="L10" s="20">
        <v>730</v>
      </c>
      <c r="M10" s="17" t="s">
        <v>1138</v>
      </c>
    </row>
    <row r="11" spans="1:13" ht="14.25" x14ac:dyDescent="0.2">
      <c r="B11" s="9" t="s">
        <v>33</v>
      </c>
      <c r="C11" s="301"/>
      <c r="D11" s="11">
        <v>128.11000000000001</v>
      </c>
      <c r="E11" s="11"/>
      <c r="F11" s="11">
        <v>126</v>
      </c>
      <c r="H11" s="13" t="s">
        <v>121</v>
      </c>
      <c r="I11" s="20"/>
      <c r="J11" s="17" t="s">
        <v>1139</v>
      </c>
      <c r="K11" s="13" t="s">
        <v>121</v>
      </c>
      <c r="L11" s="20">
        <v>731</v>
      </c>
      <c r="M11" s="17" t="s">
        <v>1140</v>
      </c>
    </row>
    <row r="12" spans="1:13" x14ac:dyDescent="0.25">
      <c r="B12" s="296"/>
      <c r="C12" s="297"/>
      <c r="D12" s="297"/>
      <c r="E12" s="297"/>
      <c r="F12" s="11"/>
      <c r="I12" s="3"/>
    </row>
    <row r="13" spans="1:13" x14ac:dyDescent="0.25">
      <c r="B13" s="9" t="s">
        <v>35</v>
      </c>
      <c r="C13" s="302" t="s">
        <v>36</v>
      </c>
      <c r="D13" s="11">
        <v>207.78</v>
      </c>
      <c r="E13" s="11"/>
      <c r="F13" s="11">
        <v>255</v>
      </c>
      <c r="H13" s="31"/>
      <c r="I13" s="3"/>
    </row>
    <row r="14" spans="1:13" x14ac:dyDescent="0.25">
      <c r="B14" s="9" t="s">
        <v>37</v>
      </c>
      <c r="C14" s="300"/>
      <c r="D14" s="11">
        <v>444.11</v>
      </c>
      <c r="E14" s="11"/>
      <c r="F14" s="11">
        <v>550</v>
      </c>
      <c r="H14" s="31"/>
      <c r="I14" s="3"/>
    </row>
    <row r="15" spans="1:13" x14ac:dyDescent="0.25">
      <c r="B15" s="9" t="s">
        <v>38</v>
      </c>
      <c r="C15" s="300"/>
      <c r="D15" s="11">
        <v>579.55999999999995</v>
      </c>
      <c r="E15" s="11"/>
      <c r="F15" s="11">
        <v>599</v>
      </c>
      <c r="H15" s="31"/>
      <c r="I15" s="3"/>
    </row>
    <row r="16" spans="1:13" x14ac:dyDescent="0.25">
      <c r="B16" s="9" t="s">
        <v>39</v>
      </c>
      <c r="C16" s="300"/>
      <c r="D16" s="11">
        <v>746.22</v>
      </c>
      <c r="E16" s="11"/>
      <c r="F16" s="11">
        <v>699</v>
      </c>
      <c r="H16" s="31"/>
      <c r="I16" s="3"/>
    </row>
    <row r="17" spans="2:9" x14ac:dyDescent="0.25">
      <c r="B17" s="49" t="s">
        <v>41</v>
      </c>
      <c r="C17" s="300"/>
      <c r="D17" s="51">
        <v>869.5</v>
      </c>
      <c r="E17" s="51"/>
      <c r="F17" s="51">
        <v>750</v>
      </c>
      <c r="H17" s="31"/>
      <c r="I17" s="3"/>
    </row>
    <row r="18" spans="2:9" x14ac:dyDescent="0.25">
      <c r="B18" s="308"/>
      <c r="C18" s="297"/>
      <c r="D18" s="297"/>
      <c r="E18" s="297"/>
      <c r="F18" s="306"/>
      <c r="I18" s="3"/>
    </row>
    <row r="19" spans="2:9" x14ac:dyDescent="0.25">
      <c r="B19" s="9" t="s">
        <v>46</v>
      </c>
      <c r="C19" s="299" t="s">
        <v>47</v>
      </c>
      <c r="D19" s="11">
        <v>88.4</v>
      </c>
      <c r="E19" s="11"/>
      <c r="F19" s="11">
        <v>74</v>
      </c>
      <c r="I19" s="3"/>
    </row>
    <row r="20" spans="2:9" x14ac:dyDescent="0.25">
      <c r="B20" s="9" t="s">
        <v>48</v>
      </c>
      <c r="C20" s="300"/>
      <c r="D20" s="11">
        <v>94.6</v>
      </c>
      <c r="E20" s="11"/>
      <c r="F20" s="11">
        <v>78</v>
      </c>
      <c r="I20" s="3"/>
    </row>
    <row r="21" spans="2:9" ht="15.75" customHeight="1" x14ac:dyDescent="0.25">
      <c r="B21" s="296"/>
      <c r="C21" s="297"/>
      <c r="D21" s="297"/>
      <c r="E21" s="297"/>
      <c r="F21" s="11"/>
      <c r="I21" s="3"/>
    </row>
    <row r="22" spans="2:9" ht="15.75" customHeight="1" x14ac:dyDescent="0.25">
      <c r="B22" s="9" t="s">
        <v>50</v>
      </c>
      <c r="C22" s="302" t="s">
        <v>51</v>
      </c>
      <c r="D22" s="11">
        <v>271.44400000000002</v>
      </c>
      <c r="E22" s="11"/>
      <c r="F22" s="11">
        <v>292</v>
      </c>
      <c r="I22" s="3"/>
    </row>
    <row r="23" spans="2:9" ht="15.75" customHeight="1" x14ac:dyDescent="0.25">
      <c r="B23" s="9" t="s">
        <v>54</v>
      </c>
      <c r="C23" s="300"/>
      <c r="D23" s="11">
        <v>550.22199999999998</v>
      </c>
      <c r="E23" s="11"/>
      <c r="F23" s="11">
        <v>556</v>
      </c>
      <c r="I23" s="3"/>
    </row>
    <row r="24" spans="2:9" ht="15.75" customHeight="1" x14ac:dyDescent="0.25">
      <c r="B24" s="9" t="s">
        <v>55</v>
      </c>
      <c r="C24" s="300"/>
      <c r="D24" s="11">
        <v>609</v>
      </c>
      <c r="E24" s="11"/>
      <c r="F24" s="11">
        <v>658</v>
      </c>
      <c r="I24" s="3"/>
    </row>
    <row r="25" spans="2:9" ht="15.75" customHeight="1" x14ac:dyDescent="0.25">
      <c r="B25" s="9" t="s">
        <v>56</v>
      </c>
      <c r="C25" s="300"/>
      <c r="D25" s="11">
        <v>739.11099999999999</v>
      </c>
      <c r="E25" s="11"/>
      <c r="F25" s="11">
        <v>612</v>
      </c>
      <c r="I25" s="3"/>
    </row>
    <row r="26" spans="2:9" ht="15.75" customHeight="1" x14ac:dyDescent="0.25">
      <c r="B26" s="49" t="s">
        <v>57</v>
      </c>
      <c r="C26" s="300"/>
      <c r="D26" s="51">
        <v>746.88900000000001</v>
      </c>
      <c r="E26" s="51"/>
      <c r="F26" s="51">
        <v>745</v>
      </c>
      <c r="I26" s="3"/>
    </row>
    <row r="27" spans="2:9" ht="15.75" customHeight="1" x14ac:dyDescent="0.25">
      <c r="B27" s="308"/>
      <c r="C27" s="297"/>
      <c r="D27" s="297"/>
      <c r="E27" s="297"/>
      <c r="F27" s="306"/>
      <c r="I27" s="3"/>
    </row>
    <row r="28" spans="2:9" ht="15.75" customHeight="1" x14ac:dyDescent="0.25">
      <c r="B28" s="9" t="s">
        <v>60</v>
      </c>
      <c r="C28" s="299" t="s">
        <v>62</v>
      </c>
      <c r="D28" s="11">
        <v>19.36</v>
      </c>
      <c r="E28" s="11"/>
      <c r="F28" s="11">
        <v>26</v>
      </c>
      <c r="I28" s="3"/>
    </row>
    <row r="29" spans="2:9" ht="15.75" customHeight="1" x14ac:dyDescent="0.25">
      <c r="B29" s="9" t="s">
        <v>64</v>
      </c>
      <c r="C29" s="300"/>
      <c r="D29" s="11">
        <v>33.31</v>
      </c>
      <c r="E29" s="11"/>
      <c r="F29" s="11">
        <v>38</v>
      </c>
      <c r="I29" s="3"/>
    </row>
    <row r="30" spans="2:9" ht="15.75" customHeight="1" x14ac:dyDescent="0.25">
      <c r="B30" s="9" t="s">
        <v>65</v>
      </c>
      <c r="C30" s="301"/>
      <c r="D30" s="11">
        <v>41.74</v>
      </c>
      <c r="E30" s="11"/>
      <c r="F30" s="11">
        <v>38</v>
      </c>
      <c r="I30" s="3"/>
    </row>
    <row r="31" spans="2:9" ht="15.75" customHeight="1" x14ac:dyDescent="0.25">
      <c r="B31" s="296"/>
      <c r="C31" s="297"/>
      <c r="D31" s="297"/>
      <c r="E31" s="297"/>
      <c r="F31" s="11"/>
      <c r="I31" s="3"/>
    </row>
    <row r="32" spans="2:9" ht="15.75" customHeight="1" x14ac:dyDescent="0.25">
      <c r="B32" s="9" t="s">
        <v>66</v>
      </c>
      <c r="C32" s="302" t="s">
        <v>68</v>
      </c>
      <c r="D32" s="11">
        <v>204.5</v>
      </c>
      <c r="E32" s="11"/>
      <c r="F32" s="11">
        <v>208</v>
      </c>
      <c r="I32" s="3"/>
    </row>
    <row r="33" spans="2:9" ht="15.75" customHeight="1" x14ac:dyDescent="0.25">
      <c r="B33" s="49" t="s">
        <v>69</v>
      </c>
      <c r="C33" s="300"/>
      <c r="D33" s="51">
        <v>277.7</v>
      </c>
      <c r="E33" s="51"/>
      <c r="F33" s="51">
        <v>281</v>
      </c>
      <c r="I33" s="3"/>
    </row>
    <row r="34" spans="2:9" ht="15.75" customHeight="1" x14ac:dyDescent="0.25">
      <c r="B34" s="305"/>
      <c r="C34" s="297"/>
      <c r="D34" s="297"/>
      <c r="E34" s="297"/>
      <c r="F34" s="306"/>
      <c r="I34" s="3"/>
    </row>
    <row r="35" spans="2:9" ht="15.75" customHeight="1" x14ac:dyDescent="0.25">
      <c r="B35" s="9" t="s">
        <v>69</v>
      </c>
      <c r="C35" s="299" t="s">
        <v>71</v>
      </c>
      <c r="D35" s="11">
        <v>10.283300000000001</v>
      </c>
      <c r="E35" s="11"/>
      <c r="F35" s="11">
        <v>14</v>
      </c>
      <c r="I35" s="3"/>
    </row>
    <row r="36" spans="2:9" ht="15.75" customHeight="1" x14ac:dyDescent="0.25">
      <c r="B36" s="9" t="s">
        <v>72</v>
      </c>
      <c r="C36" s="300"/>
      <c r="D36" s="11">
        <v>11.8833</v>
      </c>
      <c r="E36" s="11"/>
      <c r="F36" s="11">
        <v>14</v>
      </c>
      <c r="I36" s="3"/>
    </row>
    <row r="37" spans="2:9" ht="15.75" customHeight="1" x14ac:dyDescent="0.25">
      <c r="B37" s="9" t="s">
        <v>73</v>
      </c>
      <c r="C37" s="301"/>
      <c r="D37" s="11">
        <v>17.433299999999999</v>
      </c>
      <c r="E37" s="11"/>
      <c r="F37" s="11">
        <v>28</v>
      </c>
      <c r="I37" s="3"/>
    </row>
    <row r="38" spans="2:9" ht="15.75" customHeight="1" x14ac:dyDescent="0.25">
      <c r="B38" s="296"/>
      <c r="C38" s="297"/>
      <c r="D38" s="297"/>
      <c r="E38" s="297"/>
      <c r="F38" s="11"/>
      <c r="I38" s="3"/>
    </row>
    <row r="39" spans="2:9" ht="15.75" customHeight="1" x14ac:dyDescent="0.25">
      <c r="B39" s="9" t="s">
        <v>76</v>
      </c>
      <c r="C39" s="302" t="s">
        <v>77</v>
      </c>
      <c r="D39" s="11">
        <v>117.467</v>
      </c>
      <c r="E39" s="11"/>
      <c r="F39" s="11">
        <v>148</v>
      </c>
      <c r="I39" s="3"/>
    </row>
    <row r="40" spans="2:9" ht="15.75" customHeight="1" x14ac:dyDescent="0.25">
      <c r="B40" s="9" t="s">
        <v>78</v>
      </c>
      <c r="C40" s="300"/>
      <c r="D40" s="11">
        <v>187.833</v>
      </c>
      <c r="E40" s="11"/>
      <c r="F40" s="11">
        <v>198</v>
      </c>
      <c r="I40" s="3"/>
    </row>
    <row r="41" spans="2:9" ht="15.75" customHeight="1" x14ac:dyDescent="0.25">
      <c r="B41" s="9" t="s">
        <v>79</v>
      </c>
      <c r="C41" s="300"/>
      <c r="D41" s="11">
        <v>218.333</v>
      </c>
      <c r="E41" s="11"/>
      <c r="F41" s="11">
        <v>217</v>
      </c>
      <c r="I41" s="3"/>
    </row>
    <row r="42" spans="2:9" ht="15.75" customHeight="1" x14ac:dyDescent="0.25">
      <c r="B42" s="49" t="s">
        <v>80</v>
      </c>
      <c r="C42" s="300"/>
      <c r="D42" s="51">
        <v>238.5</v>
      </c>
      <c r="E42" s="51"/>
      <c r="F42" s="51">
        <v>256</v>
      </c>
      <c r="I42" s="3"/>
    </row>
    <row r="43" spans="2:9" ht="15.75" customHeight="1" x14ac:dyDescent="0.25">
      <c r="B43" s="305"/>
      <c r="C43" s="297"/>
      <c r="D43" s="297"/>
      <c r="E43" s="297"/>
      <c r="F43" s="306"/>
      <c r="I43" s="3"/>
    </row>
    <row r="44" spans="2:9" ht="15.75" customHeight="1" x14ac:dyDescent="0.25">
      <c r="B44" s="9" t="s">
        <v>81</v>
      </c>
      <c r="C44" s="299" t="s">
        <v>82</v>
      </c>
      <c r="D44" s="11">
        <v>2</v>
      </c>
      <c r="E44" s="11"/>
      <c r="F44" s="11">
        <v>1</v>
      </c>
      <c r="I44" s="3"/>
    </row>
    <row r="45" spans="2:9" ht="15.75" customHeight="1" x14ac:dyDescent="0.25">
      <c r="B45" s="9" t="s">
        <v>83</v>
      </c>
      <c r="C45" s="300"/>
      <c r="D45" s="11">
        <v>7.133</v>
      </c>
      <c r="E45" s="11"/>
      <c r="F45" s="11">
        <v>5</v>
      </c>
      <c r="I45" s="3"/>
    </row>
    <row r="46" spans="2:9" ht="15.75" customHeight="1" x14ac:dyDescent="0.25">
      <c r="B46" s="9" t="s">
        <v>84</v>
      </c>
      <c r="C46" s="301"/>
      <c r="D46" s="11">
        <v>10.72</v>
      </c>
      <c r="E46" s="11"/>
      <c r="F46" s="11">
        <v>8</v>
      </c>
      <c r="I46" s="3"/>
    </row>
    <row r="47" spans="2:9" ht="15.75" customHeight="1" x14ac:dyDescent="0.25">
      <c r="B47" s="296"/>
      <c r="C47" s="297"/>
      <c r="D47" s="297"/>
      <c r="E47" s="297"/>
      <c r="F47" s="11"/>
      <c r="I47" s="3"/>
    </row>
    <row r="48" spans="2:9" ht="15.75" customHeight="1" x14ac:dyDescent="0.25">
      <c r="B48" s="9" t="s">
        <v>86</v>
      </c>
      <c r="C48" s="302" t="s">
        <v>87</v>
      </c>
      <c r="D48" s="11">
        <v>20.466999999999999</v>
      </c>
      <c r="E48" s="11"/>
      <c r="F48" s="11">
        <v>19</v>
      </c>
      <c r="I48" s="3"/>
    </row>
    <row r="49" spans="1:26" ht="15.75" customHeight="1" x14ac:dyDescent="0.25">
      <c r="B49" s="49" t="s">
        <v>88</v>
      </c>
      <c r="C49" s="300"/>
      <c r="D49" s="51">
        <v>20.367000000000001</v>
      </c>
      <c r="E49" s="51"/>
      <c r="F49" s="51">
        <v>20</v>
      </c>
      <c r="I49" s="3"/>
    </row>
    <row r="50" spans="1:26" ht="15.75" customHeight="1" x14ac:dyDescent="0.25">
      <c r="B50" s="305"/>
      <c r="C50" s="297"/>
      <c r="D50" s="297"/>
      <c r="E50" s="297"/>
      <c r="F50" s="306"/>
      <c r="I50" s="3"/>
    </row>
    <row r="51" spans="1:26" ht="15.75" customHeight="1" x14ac:dyDescent="0.25">
      <c r="B51" s="9" t="s">
        <v>89</v>
      </c>
      <c r="C51" s="299" t="s">
        <v>90</v>
      </c>
      <c r="D51" s="11">
        <v>5.15</v>
      </c>
      <c r="E51" s="11"/>
      <c r="F51" s="11">
        <v>5</v>
      </c>
      <c r="I51" s="3"/>
    </row>
    <row r="52" spans="1:26" ht="15.75" customHeight="1" x14ac:dyDescent="0.25">
      <c r="B52" s="49" t="s">
        <v>91</v>
      </c>
      <c r="C52" s="300"/>
      <c r="D52" s="51">
        <v>16.2</v>
      </c>
      <c r="E52" s="51"/>
      <c r="F52" s="51">
        <v>11</v>
      </c>
      <c r="I52" s="3"/>
    </row>
    <row r="53" spans="1:26" ht="15.75" customHeight="1" x14ac:dyDescent="0.25">
      <c r="B53" s="296"/>
      <c r="C53" s="297"/>
      <c r="D53" s="297"/>
      <c r="E53" s="297"/>
      <c r="F53" s="298"/>
      <c r="I53" s="3"/>
    </row>
    <row r="54" spans="1:26" ht="15.75" customHeight="1" x14ac:dyDescent="0.25">
      <c r="B54" s="9" t="s">
        <v>94</v>
      </c>
      <c r="C54" s="299" t="s">
        <v>95</v>
      </c>
      <c r="D54" s="11">
        <v>50.082999999999998</v>
      </c>
      <c r="E54" s="11"/>
      <c r="F54" s="11">
        <v>65</v>
      </c>
      <c r="I54" s="3"/>
    </row>
    <row r="55" spans="1:26" ht="15.75" customHeight="1" x14ac:dyDescent="0.25">
      <c r="B55" s="9" t="s">
        <v>96</v>
      </c>
      <c r="C55" s="300"/>
      <c r="D55" s="11">
        <v>93.992999999999995</v>
      </c>
      <c r="E55" s="11"/>
      <c r="F55" s="11">
        <v>97</v>
      </c>
      <c r="I55" s="3"/>
    </row>
    <row r="56" spans="1:26" ht="15.75" customHeight="1" x14ac:dyDescent="0.25">
      <c r="B56" s="9" t="s">
        <v>97</v>
      </c>
      <c r="C56" s="300"/>
      <c r="D56" s="11">
        <v>95.516999999999996</v>
      </c>
      <c r="E56" s="11"/>
      <c r="F56" s="11">
        <v>79</v>
      </c>
      <c r="I56" s="3"/>
    </row>
    <row r="57" spans="1:26" ht="15.75" customHeight="1" x14ac:dyDescent="0.25">
      <c r="B57" s="9" t="s">
        <v>98</v>
      </c>
      <c r="C57" s="300"/>
      <c r="D57" s="11">
        <v>100.92</v>
      </c>
      <c r="E57" s="11"/>
      <c r="F57" s="11">
        <v>99</v>
      </c>
      <c r="I57" s="3"/>
    </row>
    <row r="58" spans="1:26" ht="15.75" customHeight="1" x14ac:dyDescent="0.25">
      <c r="B58" s="9" t="s">
        <v>99</v>
      </c>
      <c r="C58" s="301"/>
      <c r="D58" s="11">
        <v>115.37</v>
      </c>
      <c r="E58" s="11"/>
      <c r="F58" s="11">
        <v>115</v>
      </c>
      <c r="I58" s="3"/>
    </row>
    <row r="59" spans="1:26" ht="15.75" customHeight="1" x14ac:dyDescent="0.25">
      <c r="B59" s="1"/>
      <c r="C59" s="1"/>
      <c r="D59" s="2"/>
      <c r="E59" s="2"/>
      <c r="F59" s="146"/>
      <c r="I59" s="3"/>
    </row>
    <row r="60" spans="1:26" ht="15.75" customHeight="1" x14ac:dyDescent="0.2"/>
    <row r="61" spans="1:26" ht="15.75" customHeight="1" x14ac:dyDescent="0.25">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spans="1:26" ht="15.75" customHeight="1" x14ac:dyDescent="0.2"/>
    <row r="63" spans="1:26" ht="15.75" customHeight="1" x14ac:dyDescent="0.25">
      <c r="A63" s="21" t="s">
        <v>1132</v>
      </c>
    </row>
    <row r="64" spans="1:26" ht="15.75" customHeight="1" x14ac:dyDescent="0.2"/>
    <row r="65" spans="2:13" ht="15.75" customHeight="1" x14ac:dyDescent="0.2"/>
    <row r="66" spans="2:13" ht="15.75" customHeight="1" x14ac:dyDescent="0.2"/>
    <row r="67" spans="2:13" ht="15.75" customHeight="1" x14ac:dyDescent="0.25">
      <c r="B67" s="304" t="s">
        <v>1141</v>
      </c>
      <c r="C67" s="297"/>
      <c r="D67" s="297"/>
      <c r="E67" s="297"/>
      <c r="F67" s="298"/>
      <c r="I67" s="3"/>
    </row>
    <row r="68" spans="2:13" ht="15.75" customHeight="1" x14ac:dyDescent="0.2">
      <c r="B68" s="4" t="s">
        <v>0</v>
      </c>
      <c r="C68" s="5" t="s">
        <v>1</v>
      </c>
      <c r="D68" s="5" t="s">
        <v>2</v>
      </c>
      <c r="E68" s="5" t="s">
        <v>43</v>
      </c>
      <c r="F68" s="45" t="s">
        <v>125</v>
      </c>
      <c r="H68" s="296" t="s">
        <v>6</v>
      </c>
      <c r="I68" s="297"/>
      <c r="J68" s="297"/>
      <c r="K68" s="297"/>
      <c r="L68" s="297"/>
      <c r="M68" s="298"/>
    </row>
    <row r="69" spans="2:13" ht="15.75" customHeight="1" x14ac:dyDescent="0.2">
      <c r="B69" s="9" t="s">
        <v>7</v>
      </c>
      <c r="C69" s="302" t="s">
        <v>9</v>
      </c>
      <c r="D69" s="47">
        <v>28.1</v>
      </c>
      <c r="E69" s="11">
        <v>68</v>
      </c>
      <c r="F69" s="11">
        <v>69</v>
      </c>
      <c r="H69" s="296" t="s">
        <v>106</v>
      </c>
      <c r="I69" s="297"/>
      <c r="J69" s="298"/>
      <c r="K69" s="296" t="s">
        <v>107</v>
      </c>
      <c r="L69" s="297"/>
      <c r="M69" s="298"/>
    </row>
    <row r="70" spans="2:13" ht="15.75" customHeight="1" x14ac:dyDescent="0.2">
      <c r="B70" s="9" t="s">
        <v>17</v>
      </c>
      <c r="C70" s="300"/>
      <c r="D70" s="47">
        <v>63.911000000000001</v>
      </c>
      <c r="E70" s="11">
        <v>73</v>
      </c>
      <c r="F70" s="11">
        <v>71</v>
      </c>
      <c r="H70" s="13" t="s">
        <v>13</v>
      </c>
      <c r="I70" s="39">
        <f>I72+I72*0.05</f>
        <v>766.5</v>
      </c>
      <c r="J70" s="17" t="s">
        <v>1142</v>
      </c>
      <c r="K70" s="13" t="s">
        <v>13</v>
      </c>
      <c r="L70" s="39">
        <f>L72+L72*0.05</f>
        <v>766.5</v>
      </c>
      <c r="M70" s="17" t="s">
        <v>1143</v>
      </c>
    </row>
    <row r="71" spans="2:13" ht="15.75" customHeight="1" x14ac:dyDescent="0.2">
      <c r="B71" s="9" t="s">
        <v>26</v>
      </c>
      <c r="C71" s="300"/>
      <c r="D71" s="47">
        <v>69.921999999999997</v>
      </c>
      <c r="E71" s="11">
        <v>71</v>
      </c>
      <c r="F71" s="11">
        <v>69</v>
      </c>
      <c r="H71" s="13" t="s">
        <v>19</v>
      </c>
      <c r="I71" s="40">
        <f>I72-I72*0.05</f>
        <v>693.5</v>
      </c>
      <c r="J71" s="17" t="s">
        <v>1145</v>
      </c>
      <c r="K71" s="13" t="s">
        <v>19</v>
      </c>
      <c r="L71" s="40">
        <f>L72-L72*0.05</f>
        <v>693.5</v>
      </c>
      <c r="M71" s="17" t="s">
        <v>1147</v>
      </c>
    </row>
    <row r="72" spans="2:13" ht="15.75" customHeight="1" x14ac:dyDescent="0.2">
      <c r="B72" s="9" t="s">
        <v>32</v>
      </c>
      <c r="C72" s="300"/>
      <c r="D72" s="47">
        <v>96.744</v>
      </c>
      <c r="E72" s="11">
        <v>94</v>
      </c>
      <c r="F72" s="11">
        <v>94</v>
      </c>
      <c r="H72" s="13" t="s">
        <v>27</v>
      </c>
      <c r="I72" s="20">
        <v>730</v>
      </c>
      <c r="J72" s="17" t="s">
        <v>1148</v>
      </c>
      <c r="K72" s="13" t="s">
        <v>27</v>
      </c>
      <c r="L72" s="20">
        <v>730</v>
      </c>
      <c r="M72" s="17" t="s">
        <v>1149</v>
      </c>
    </row>
    <row r="73" spans="2:13" ht="15.75" customHeight="1" x14ac:dyDescent="0.2">
      <c r="B73" s="9" t="s">
        <v>33</v>
      </c>
      <c r="C73" s="301"/>
      <c r="D73" s="47">
        <v>128.11000000000001</v>
      </c>
      <c r="E73" s="11">
        <v>126</v>
      </c>
      <c r="F73" s="11">
        <v>133</v>
      </c>
      <c r="H73" s="13" t="s">
        <v>121</v>
      </c>
      <c r="I73" s="20">
        <v>731</v>
      </c>
      <c r="J73" s="17" t="s">
        <v>1150</v>
      </c>
      <c r="K73" s="13" t="s">
        <v>121</v>
      </c>
      <c r="L73" s="20">
        <v>731</v>
      </c>
      <c r="M73" s="17" t="s">
        <v>1152</v>
      </c>
    </row>
    <row r="74" spans="2:13" ht="15.75" customHeight="1" x14ac:dyDescent="0.25">
      <c r="B74" s="41"/>
      <c r="C74" s="42"/>
      <c r="D74" s="69"/>
      <c r="E74" s="11"/>
      <c r="F74" s="11"/>
      <c r="I74" s="3"/>
    </row>
    <row r="75" spans="2:13" ht="15.75" customHeight="1" x14ac:dyDescent="0.25">
      <c r="B75" s="9" t="s">
        <v>35</v>
      </c>
      <c r="C75" s="302" t="s">
        <v>36</v>
      </c>
      <c r="D75" s="47">
        <v>207.78</v>
      </c>
      <c r="E75" s="11">
        <v>255</v>
      </c>
      <c r="F75" s="11">
        <v>255</v>
      </c>
      <c r="H75" s="31"/>
      <c r="I75" s="3"/>
    </row>
    <row r="76" spans="2:13" ht="15.75" customHeight="1" x14ac:dyDescent="0.25">
      <c r="B76" s="9" t="s">
        <v>37</v>
      </c>
      <c r="C76" s="300"/>
      <c r="D76" s="47">
        <v>444.11</v>
      </c>
      <c r="E76" s="11">
        <v>550</v>
      </c>
      <c r="F76" s="11">
        <v>557</v>
      </c>
      <c r="H76" s="31"/>
      <c r="I76" s="3"/>
    </row>
    <row r="77" spans="2:13" ht="15.75" customHeight="1" x14ac:dyDescent="0.2">
      <c r="B77" s="9" t="s">
        <v>38</v>
      </c>
      <c r="C77" s="300"/>
      <c r="D77" s="47">
        <v>579.55999999999995</v>
      </c>
      <c r="E77" s="11">
        <v>599</v>
      </c>
      <c r="F77" s="11">
        <v>600</v>
      </c>
      <c r="H77" s="409" t="s">
        <v>1154</v>
      </c>
      <c r="I77" s="315"/>
      <c r="J77" s="315"/>
      <c r="K77" s="315"/>
      <c r="L77" s="315"/>
      <c r="M77" s="315"/>
    </row>
    <row r="78" spans="2:13" ht="15.75" customHeight="1" x14ac:dyDescent="0.2">
      <c r="B78" s="9" t="s">
        <v>39</v>
      </c>
      <c r="C78" s="300"/>
      <c r="D78" s="47">
        <v>746.22</v>
      </c>
      <c r="E78" s="11">
        <v>699</v>
      </c>
      <c r="F78" s="11">
        <v>717</v>
      </c>
      <c r="H78" s="315"/>
      <c r="I78" s="315"/>
      <c r="J78" s="315"/>
      <c r="K78" s="315"/>
      <c r="L78" s="315"/>
      <c r="M78" s="315"/>
    </row>
    <row r="79" spans="2:13" ht="15.75" customHeight="1" x14ac:dyDescent="0.2">
      <c r="B79" s="49" t="s">
        <v>41</v>
      </c>
      <c r="C79" s="300"/>
      <c r="D79" s="50">
        <v>869.5</v>
      </c>
      <c r="E79" s="51">
        <v>750</v>
      </c>
      <c r="F79" s="51">
        <v>770</v>
      </c>
      <c r="H79" s="315"/>
      <c r="I79" s="315"/>
      <c r="J79" s="315"/>
      <c r="K79" s="315"/>
      <c r="L79" s="315"/>
      <c r="M79" s="315"/>
    </row>
    <row r="80" spans="2:13" ht="15.75" customHeight="1" x14ac:dyDescent="0.2">
      <c r="B80" s="308"/>
      <c r="C80" s="297"/>
      <c r="D80" s="297"/>
      <c r="E80" s="297"/>
      <c r="F80" s="298"/>
      <c r="H80" s="315"/>
      <c r="I80" s="315"/>
      <c r="J80" s="315"/>
      <c r="K80" s="315"/>
      <c r="L80" s="315"/>
      <c r="M80" s="315"/>
    </row>
    <row r="81" spans="2:22" ht="15.75" customHeight="1" x14ac:dyDescent="0.2">
      <c r="B81" s="9" t="s">
        <v>46</v>
      </c>
      <c r="C81" s="299" t="s">
        <v>47</v>
      </c>
      <c r="D81" s="47">
        <v>88.4</v>
      </c>
      <c r="E81" s="11">
        <v>74</v>
      </c>
      <c r="F81" s="11">
        <v>72</v>
      </c>
      <c r="H81" s="315"/>
      <c r="I81" s="315"/>
      <c r="J81" s="315"/>
      <c r="K81" s="315"/>
      <c r="L81" s="315"/>
      <c r="M81" s="315"/>
    </row>
    <row r="82" spans="2:22" ht="15.75" customHeight="1" x14ac:dyDescent="0.2">
      <c r="B82" s="9" t="s">
        <v>48</v>
      </c>
      <c r="C82" s="300"/>
      <c r="D82" s="47">
        <v>94.6</v>
      </c>
      <c r="E82" s="11">
        <v>78</v>
      </c>
      <c r="F82" s="11">
        <v>80</v>
      </c>
      <c r="H82" s="315"/>
      <c r="I82" s="315"/>
      <c r="J82" s="315"/>
      <c r="K82" s="315"/>
      <c r="L82" s="315"/>
      <c r="M82" s="315"/>
    </row>
    <row r="83" spans="2:22" ht="15.75" customHeight="1" x14ac:dyDescent="0.2">
      <c r="B83" s="41"/>
      <c r="C83" s="42"/>
      <c r="D83" s="69"/>
      <c r="E83" s="11"/>
      <c r="F83" s="11"/>
      <c r="H83" s="315"/>
      <c r="I83" s="315"/>
      <c r="J83" s="315"/>
      <c r="K83" s="315"/>
      <c r="L83" s="315"/>
      <c r="M83" s="315"/>
    </row>
    <row r="84" spans="2:22" ht="15.75" customHeight="1" x14ac:dyDescent="0.2">
      <c r="B84" s="9" t="s">
        <v>50</v>
      </c>
      <c r="C84" s="302" t="s">
        <v>51</v>
      </c>
      <c r="D84" s="47">
        <v>271.44400000000002</v>
      </c>
      <c r="E84" s="11">
        <v>292</v>
      </c>
      <c r="F84" s="11">
        <v>299</v>
      </c>
      <c r="H84" s="315"/>
      <c r="I84" s="315"/>
      <c r="J84" s="315"/>
      <c r="K84" s="315"/>
      <c r="L84" s="315"/>
      <c r="M84" s="315"/>
    </row>
    <row r="85" spans="2:22" ht="15.75" customHeight="1" x14ac:dyDescent="0.2">
      <c r="B85" s="9" t="s">
        <v>54</v>
      </c>
      <c r="C85" s="300"/>
      <c r="D85" s="47">
        <v>550.22199999999998</v>
      </c>
      <c r="E85" s="11">
        <v>556</v>
      </c>
      <c r="F85" s="11">
        <v>580</v>
      </c>
      <c r="H85" s="315"/>
      <c r="I85" s="315"/>
      <c r="J85" s="315"/>
      <c r="K85" s="315"/>
      <c r="L85" s="315"/>
      <c r="M85" s="315"/>
    </row>
    <row r="86" spans="2:22" ht="15.75" customHeight="1" x14ac:dyDescent="0.2">
      <c r="B86" s="9" t="s">
        <v>55</v>
      </c>
      <c r="C86" s="300"/>
      <c r="D86" s="47">
        <v>609</v>
      </c>
      <c r="E86" s="11">
        <v>658</v>
      </c>
      <c r="F86" s="11">
        <v>673</v>
      </c>
      <c r="H86" s="315"/>
      <c r="I86" s="315"/>
      <c r="J86" s="315"/>
      <c r="K86" s="315"/>
      <c r="L86" s="315"/>
      <c r="M86" s="315"/>
    </row>
    <row r="87" spans="2:22" ht="15.75" customHeight="1" x14ac:dyDescent="0.2">
      <c r="B87" s="9" t="s">
        <v>56</v>
      </c>
      <c r="C87" s="300"/>
      <c r="D87" s="47">
        <v>739.11099999999999</v>
      </c>
      <c r="E87" s="11">
        <v>612</v>
      </c>
      <c r="F87" s="11">
        <v>740</v>
      </c>
      <c r="H87" s="315"/>
      <c r="I87" s="315"/>
      <c r="J87" s="315"/>
      <c r="K87" s="315"/>
      <c r="L87" s="315"/>
      <c r="M87" s="315"/>
    </row>
    <row r="88" spans="2:22" ht="15.75" customHeight="1" x14ac:dyDescent="0.2">
      <c r="B88" s="49" t="s">
        <v>57</v>
      </c>
      <c r="C88" s="300"/>
      <c r="D88" s="50">
        <v>746.88900000000001</v>
      </c>
      <c r="E88" s="51">
        <v>745</v>
      </c>
      <c r="F88" s="51">
        <v>763</v>
      </c>
      <c r="H88" s="315"/>
      <c r="I88" s="315"/>
      <c r="J88" s="315"/>
      <c r="K88" s="315"/>
      <c r="L88" s="315"/>
      <c r="M88" s="315"/>
    </row>
    <row r="89" spans="2:22" ht="15.75" customHeight="1" x14ac:dyDescent="0.25">
      <c r="B89" s="308"/>
      <c r="C89" s="297"/>
      <c r="D89" s="297"/>
      <c r="E89" s="297"/>
      <c r="F89" s="298"/>
      <c r="I89" s="3"/>
    </row>
    <row r="90" spans="2:22" ht="15.75" customHeight="1" x14ac:dyDescent="0.25">
      <c r="B90" s="9" t="s">
        <v>60</v>
      </c>
      <c r="C90" s="299" t="s">
        <v>62</v>
      </c>
      <c r="D90" s="47">
        <v>19.36</v>
      </c>
      <c r="E90" s="11">
        <v>26</v>
      </c>
      <c r="F90" s="11">
        <v>27</v>
      </c>
      <c r="I90" s="3"/>
    </row>
    <row r="91" spans="2:22" ht="15.75" customHeight="1" x14ac:dyDescent="0.25">
      <c r="B91" s="9" t="s">
        <v>64</v>
      </c>
      <c r="C91" s="300"/>
      <c r="D91" s="47">
        <v>33.31</v>
      </c>
      <c r="E91" s="11">
        <v>38</v>
      </c>
      <c r="F91" s="11">
        <v>37</v>
      </c>
      <c r="H91" s="229"/>
      <c r="I91" s="230"/>
      <c r="J91" s="231"/>
      <c r="K91" s="231"/>
      <c r="L91" s="231"/>
      <c r="M91" s="231"/>
      <c r="N91" s="231"/>
      <c r="O91" s="231"/>
      <c r="P91" s="231"/>
      <c r="Q91" s="231"/>
      <c r="R91" s="231"/>
      <c r="S91" s="231"/>
      <c r="T91" s="231"/>
      <c r="U91" s="231"/>
      <c r="V91" s="232"/>
    </row>
    <row r="92" spans="2:22" ht="15.75" customHeight="1" x14ac:dyDescent="0.25">
      <c r="B92" s="9" t="s">
        <v>65</v>
      </c>
      <c r="C92" s="301"/>
      <c r="D92" s="47">
        <v>41.74</v>
      </c>
      <c r="E92" s="11">
        <v>38</v>
      </c>
      <c r="F92" s="11">
        <v>40</v>
      </c>
      <c r="H92" s="407" t="s">
        <v>373</v>
      </c>
      <c r="I92" s="403"/>
      <c r="J92" s="404"/>
      <c r="K92" s="408" t="s">
        <v>375</v>
      </c>
      <c r="L92" s="403"/>
      <c r="M92" s="404"/>
      <c r="N92" s="402" t="s">
        <v>376</v>
      </c>
      <c r="O92" s="403"/>
      <c r="P92" s="404"/>
      <c r="Q92" s="402" t="s">
        <v>377</v>
      </c>
      <c r="R92" s="403"/>
      <c r="S92" s="403"/>
      <c r="T92" s="403"/>
      <c r="U92" s="403"/>
      <c r="V92" s="405"/>
    </row>
    <row r="93" spans="2:22" ht="15.75" customHeight="1" x14ac:dyDescent="0.2">
      <c r="B93" s="41"/>
      <c r="C93" s="42"/>
      <c r="D93" s="69"/>
      <c r="E93" s="11"/>
      <c r="F93" s="11"/>
      <c r="H93" s="406"/>
      <c r="I93" s="334"/>
      <c r="J93" s="335"/>
      <c r="K93" s="167" t="s">
        <v>379</v>
      </c>
      <c r="L93" s="167" t="s">
        <v>380</v>
      </c>
      <c r="M93" s="93" t="s">
        <v>381</v>
      </c>
      <c r="N93" s="167" t="s">
        <v>379</v>
      </c>
      <c r="O93" s="167" t="s">
        <v>380</v>
      </c>
      <c r="P93" s="93" t="s">
        <v>381</v>
      </c>
      <c r="Q93" s="341"/>
      <c r="R93" s="334"/>
      <c r="S93" s="334"/>
      <c r="T93" s="334"/>
      <c r="U93" s="334"/>
      <c r="V93" s="397"/>
    </row>
    <row r="94" spans="2:22" ht="15.75" customHeight="1" x14ac:dyDescent="0.25">
      <c r="B94" s="9" t="s">
        <v>66</v>
      </c>
      <c r="C94" s="302" t="s">
        <v>68</v>
      </c>
      <c r="D94" s="47">
        <v>204.5</v>
      </c>
      <c r="E94" s="11">
        <v>208</v>
      </c>
      <c r="F94" s="11">
        <v>200</v>
      </c>
      <c r="H94" s="401" t="s">
        <v>383</v>
      </c>
      <c r="I94" s="334"/>
      <c r="J94" s="335"/>
      <c r="K94" s="171"/>
      <c r="M94" s="173" t="s">
        <v>385</v>
      </c>
      <c r="N94" s="174"/>
      <c r="O94" s="174"/>
      <c r="P94" s="174"/>
      <c r="Q94" s="333" t="s">
        <v>439</v>
      </c>
      <c r="R94" s="334"/>
      <c r="S94" s="334"/>
      <c r="T94" s="334"/>
      <c r="U94" s="334"/>
      <c r="V94" s="397"/>
    </row>
    <row r="95" spans="2:22" ht="15.75" customHeight="1" x14ac:dyDescent="0.25">
      <c r="B95" s="49" t="s">
        <v>69</v>
      </c>
      <c r="C95" s="300"/>
      <c r="D95" s="50">
        <v>277.7</v>
      </c>
      <c r="E95" s="51">
        <v>281</v>
      </c>
      <c r="F95" s="51">
        <v>275</v>
      </c>
      <c r="H95" s="401" t="s">
        <v>393</v>
      </c>
      <c r="I95" s="334"/>
      <c r="J95" s="335"/>
      <c r="K95" s="173" t="s">
        <v>385</v>
      </c>
      <c r="L95" s="173"/>
      <c r="M95" s="173"/>
      <c r="N95" s="173" t="s">
        <v>385</v>
      </c>
      <c r="O95" s="173"/>
      <c r="P95" s="173"/>
      <c r="Q95" s="333" t="s">
        <v>441</v>
      </c>
      <c r="R95" s="334"/>
      <c r="S95" s="334"/>
      <c r="T95" s="334"/>
      <c r="U95" s="334"/>
      <c r="V95" s="397"/>
    </row>
    <row r="96" spans="2:22" ht="15.75" customHeight="1" x14ac:dyDescent="0.25">
      <c r="B96" s="305"/>
      <c r="C96" s="297"/>
      <c r="D96" s="297"/>
      <c r="E96" s="297"/>
      <c r="F96" s="298"/>
      <c r="H96" s="401" t="s">
        <v>411</v>
      </c>
      <c r="I96" s="334"/>
      <c r="J96" s="335"/>
      <c r="K96" s="173" t="s">
        <v>385</v>
      </c>
      <c r="L96" s="174"/>
      <c r="M96" s="173"/>
      <c r="N96" s="173" t="s">
        <v>385</v>
      </c>
      <c r="O96" s="174"/>
      <c r="P96" s="173"/>
      <c r="Q96" s="333" t="s">
        <v>448</v>
      </c>
      <c r="R96" s="334"/>
      <c r="S96" s="334"/>
      <c r="T96" s="334"/>
      <c r="U96" s="334"/>
      <c r="V96" s="397"/>
    </row>
    <row r="97" spans="2:22" ht="15.75" customHeight="1" x14ac:dyDescent="0.25">
      <c r="B97" s="9" t="s">
        <v>69</v>
      </c>
      <c r="C97" s="299" t="s">
        <v>71</v>
      </c>
      <c r="D97" s="47">
        <v>10.283300000000001</v>
      </c>
      <c r="E97" s="11">
        <v>14</v>
      </c>
      <c r="F97" s="11">
        <v>11</v>
      </c>
      <c r="H97" s="401" t="s">
        <v>1161</v>
      </c>
      <c r="I97" s="334"/>
      <c r="J97" s="335"/>
      <c r="K97" s="173" t="s">
        <v>385</v>
      </c>
      <c r="L97" s="173"/>
      <c r="M97" s="173"/>
      <c r="N97" s="173" t="s">
        <v>385</v>
      </c>
      <c r="O97" s="173"/>
      <c r="P97" s="173"/>
      <c r="Q97" s="333" t="s">
        <v>1162</v>
      </c>
      <c r="R97" s="334"/>
      <c r="S97" s="334"/>
      <c r="T97" s="334"/>
      <c r="U97" s="334"/>
      <c r="V97" s="397"/>
    </row>
    <row r="98" spans="2:22" ht="15.75" customHeight="1" x14ac:dyDescent="0.25">
      <c r="B98" s="9" t="s">
        <v>72</v>
      </c>
      <c r="C98" s="300"/>
      <c r="D98" s="47">
        <v>11.8833</v>
      </c>
      <c r="E98" s="11">
        <v>14</v>
      </c>
      <c r="F98" s="11">
        <v>11</v>
      </c>
      <c r="H98" s="401" t="s">
        <v>1164</v>
      </c>
      <c r="I98" s="334"/>
      <c r="J98" s="335"/>
      <c r="K98" s="173" t="s">
        <v>385</v>
      </c>
      <c r="L98" s="173"/>
      <c r="M98" s="173"/>
      <c r="N98" s="173" t="s">
        <v>385</v>
      </c>
      <c r="O98" s="173"/>
      <c r="P98" s="173"/>
      <c r="Q98" s="333" t="s">
        <v>1165</v>
      </c>
      <c r="R98" s="334"/>
      <c r="S98" s="334"/>
      <c r="T98" s="334"/>
      <c r="U98" s="334"/>
      <c r="V98" s="397"/>
    </row>
    <row r="99" spans="2:22" ht="15.75" customHeight="1" x14ac:dyDescent="0.25">
      <c r="B99" s="9" t="s">
        <v>73</v>
      </c>
      <c r="C99" s="301"/>
      <c r="D99" s="47">
        <v>17.433299999999999</v>
      </c>
      <c r="E99" s="11">
        <v>28</v>
      </c>
      <c r="F99" s="11">
        <v>22</v>
      </c>
      <c r="H99" s="401" t="s">
        <v>1167</v>
      </c>
      <c r="I99" s="334"/>
      <c r="J99" s="335"/>
      <c r="K99" s="173" t="s">
        <v>385</v>
      </c>
      <c r="L99" s="173"/>
      <c r="M99" s="173"/>
      <c r="N99" s="173" t="s">
        <v>385</v>
      </c>
      <c r="O99" s="173"/>
      <c r="P99" s="173"/>
      <c r="Q99" s="333" t="s">
        <v>1169</v>
      </c>
      <c r="R99" s="334"/>
      <c r="S99" s="334"/>
      <c r="T99" s="334"/>
      <c r="U99" s="334"/>
      <c r="V99" s="397"/>
    </row>
    <row r="100" spans="2:22" ht="15.75" customHeight="1" x14ac:dyDescent="0.25">
      <c r="B100" s="41"/>
      <c r="C100" s="42"/>
      <c r="D100" s="69"/>
      <c r="E100" s="11"/>
      <c r="F100" s="11"/>
      <c r="H100" s="401" t="s">
        <v>1170</v>
      </c>
      <c r="I100" s="334"/>
      <c r="J100" s="335"/>
      <c r="K100" s="173" t="s">
        <v>385</v>
      </c>
      <c r="L100" s="173"/>
      <c r="M100" s="173"/>
      <c r="N100" s="173" t="s">
        <v>385</v>
      </c>
      <c r="O100" s="173"/>
      <c r="P100" s="173"/>
      <c r="Q100" s="333" t="s">
        <v>448</v>
      </c>
      <c r="R100" s="334"/>
      <c r="S100" s="334"/>
      <c r="T100" s="334"/>
      <c r="U100" s="334"/>
      <c r="V100" s="397"/>
    </row>
    <row r="101" spans="2:22" ht="15.75" customHeight="1" x14ac:dyDescent="0.25">
      <c r="B101" s="9" t="s">
        <v>76</v>
      </c>
      <c r="C101" s="302" t="s">
        <v>77</v>
      </c>
      <c r="D101" s="47">
        <v>117.467</v>
      </c>
      <c r="E101" s="11">
        <v>148</v>
      </c>
      <c r="F101" s="11">
        <v>201</v>
      </c>
      <c r="H101" s="401" t="s">
        <v>418</v>
      </c>
      <c r="I101" s="334"/>
      <c r="J101" s="335"/>
      <c r="K101" s="173" t="s">
        <v>385</v>
      </c>
      <c r="L101" s="173"/>
      <c r="M101" s="173"/>
      <c r="N101" s="173" t="s">
        <v>385</v>
      </c>
      <c r="O101" s="173"/>
      <c r="P101" s="173"/>
      <c r="Q101" s="333" t="s">
        <v>1171</v>
      </c>
      <c r="R101" s="334"/>
      <c r="S101" s="334"/>
      <c r="T101" s="334"/>
      <c r="U101" s="334"/>
      <c r="V101" s="397"/>
    </row>
    <row r="102" spans="2:22" ht="15.75" customHeight="1" x14ac:dyDescent="0.25">
      <c r="B102" s="9" t="s">
        <v>78</v>
      </c>
      <c r="C102" s="300"/>
      <c r="D102" s="47">
        <v>187.833</v>
      </c>
      <c r="E102" s="11">
        <v>198</v>
      </c>
      <c r="F102" s="11">
        <v>166</v>
      </c>
      <c r="H102" s="410" t="s">
        <v>421</v>
      </c>
      <c r="I102" s="399"/>
      <c r="J102" s="411"/>
      <c r="K102" s="233"/>
      <c r="L102" s="233"/>
      <c r="M102" s="233"/>
      <c r="N102" s="233" t="s">
        <v>385</v>
      </c>
      <c r="O102" s="233"/>
      <c r="P102" s="233"/>
      <c r="Q102" s="398" t="s">
        <v>422</v>
      </c>
      <c r="R102" s="399"/>
      <c r="S102" s="399"/>
      <c r="T102" s="399"/>
      <c r="U102" s="399"/>
      <c r="V102" s="400"/>
    </row>
    <row r="103" spans="2:22" ht="15.75" customHeight="1" x14ac:dyDescent="0.25">
      <c r="B103" s="9" t="s">
        <v>79</v>
      </c>
      <c r="C103" s="300"/>
      <c r="D103" s="47">
        <v>218.333</v>
      </c>
      <c r="E103" s="11">
        <v>217</v>
      </c>
      <c r="F103" s="11">
        <v>268</v>
      </c>
      <c r="I103" s="3"/>
    </row>
    <row r="104" spans="2:22" ht="15.75" customHeight="1" x14ac:dyDescent="0.25">
      <c r="B104" s="49" t="s">
        <v>80</v>
      </c>
      <c r="C104" s="300"/>
      <c r="D104" s="50">
        <v>238.5</v>
      </c>
      <c r="E104" s="51">
        <v>256</v>
      </c>
      <c r="F104" s="51">
        <v>250</v>
      </c>
      <c r="I104" s="3"/>
    </row>
    <row r="105" spans="2:22" ht="15.75" customHeight="1" x14ac:dyDescent="0.2">
      <c r="B105" s="305"/>
      <c r="C105" s="297"/>
      <c r="D105" s="297"/>
      <c r="E105" s="297"/>
      <c r="F105" s="298"/>
    </row>
    <row r="106" spans="2:22" ht="15.75" customHeight="1" x14ac:dyDescent="0.25">
      <c r="B106" s="9" t="s">
        <v>81</v>
      </c>
      <c r="C106" s="299" t="s">
        <v>82</v>
      </c>
      <c r="D106" s="11">
        <v>2</v>
      </c>
      <c r="E106" s="11">
        <v>1</v>
      </c>
      <c r="F106" s="11">
        <v>2</v>
      </c>
      <c r="I106" s="3"/>
    </row>
    <row r="107" spans="2:22" ht="15.75" customHeight="1" x14ac:dyDescent="0.25">
      <c r="B107" s="9" t="s">
        <v>83</v>
      </c>
      <c r="C107" s="300"/>
      <c r="D107" s="47">
        <v>7.133</v>
      </c>
      <c r="E107" s="11">
        <v>5</v>
      </c>
      <c r="F107" s="11">
        <v>5</v>
      </c>
      <c r="I107" s="3"/>
    </row>
    <row r="108" spans="2:22" ht="15.75" customHeight="1" x14ac:dyDescent="0.25">
      <c r="B108" s="9" t="s">
        <v>84</v>
      </c>
      <c r="C108" s="301"/>
      <c r="D108" s="47">
        <v>10.72</v>
      </c>
      <c r="E108" s="11">
        <v>8</v>
      </c>
      <c r="F108" s="11">
        <v>12</v>
      </c>
      <c r="I108" s="3"/>
    </row>
    <row r="109" spans="2:22" ht="15.75" customHeight="1" x14ac:dyDescent="0.25">
      <c r="B109" s="41"/>
      <c r="C109" s="42"/>
      <c r="D109" s="69"/>
      <c r="E109" s="11"/>
      <c r="F109" s="11"/>
      <c r="I109" s="3"/>
    </row>
    <row r="110" spans="2:22" ht="15.75" customHeight="1" x14ac:dyDescent="0.25">
      <c r="B110" s="9" t="s">
        <v>86</v>
      </c>
      <c r="C110" s="302" t="s">
        <v>87</v>
      </c>
      <c r="D110" s="47">
        <v>20.466999999999999</v>
      </c>
      <c r="E110" s="11">
        <v>19</v>
      </c>
      <c r="F110" s="11">
        <v>20</v>
      </c>
      <c r="I110" s="3"/>
    </row>
    <row r="111" spans="2:22" ht="15.75" customHeight="1" x14ac:dyDescent="0.25">
      <c r="B111" s="49" t="s">
        <v>88</v>
      </c>
      <c r="C111" s="300"/>
      <c r="D111" s="50">
        <v>20.367000000000001</v>
      </c>
      <c r="E111" s="51">
        <v>20</v>
      </c>
      <c r="F111" s="51">
        <v>20</v>
      </c>
      <c r="I111" s="3"/>
    </row>
    <row r="112" spans="2:22" ht="15.75" customHeight="1" x14ac:dyDescent="0.2">
      <c r="B112" s="305"/>
      <c r="C112" s="297"/>
      <c r="D112" s="297"/>
      <c r="E112" s="297"/>
      <c r="F112" s="298"/>
    </row>
    <row r="113" spans="1:26" ht="15.75" customHeight="1" x14ac:dyDescent="0.2">
      <c r="B113" s="9" t="s">
        <v>89</v>
      </c>
      <c r="C113" s="299" t="s">
        <v>90</v>
      </c>
      <c r="D113" s="47">
        <v>5.15</v>
      </c>
      <c r="E113" s="11">
        <v>5</v>
      </c>
      <c r="F113" s="11">
        <v>5</v>
      </c>
    </row>
    <row r="114" spans="1:26" ht="15.75" customHeight="1" x14ac:dyDescent="0.2">
      <c r="B114" s="49" t="s">
        <v>91</v>
      </c>
      <c r="C114" s="300"/>
      <c r="D114" s="50">
        <v>16.2</v>
      </c>
      <c r="E114" s="51">
        <v>11</v>
      </c>
      <c r="F114" s="51">
        <v>11</v>
      </c>
    </row>
    <row r="115" spans="1:26" ht="15.75" customHeight="1" x14ac:dyDescent="0.2">
      <c r="B115" s="41"/>
      <c r="C115" s="42"/>
      <c r="D115" s="69"/>
      <c r="E115" s="201"/>
      <c r="F115" s="201"/>
    </row>
    <row r="116" spans="1:26" ht="15.75" customHeight="1" x14ac:dyDescent="0.2">
      <c r="B116" s="9" t="s">
        <v>94</v>
      </c>
      <c r="C116" s="299" t="s">
        <v>95</v>
      </c>
      <c r="D116" s="47">
        <v>50.082999999999998</v>
      </c>
      <c r="E116" s="11">
        <v>65</v>
      </c>
      <c r="F116" s="11">
        <v>61</v>
      </c>
    </row>
    <row r="117" spans="1:26" ht="15.75" customHeight="1" x14ac:dyDescent="0.2">
      <c r="B117" s="9" t="s">
        <v>96</v>
      </c>
      <c r="C117" s="300"/>
      <c r="D117" s="47">
        <v>93.992999999999995</v>
      </c>
      <c r="E117" s="11">
        <v>97</v>
      </c>
      <c r="F117" s="11">
        <v>97</v>
      </c>
    </row>
    <row r="118" spans="1:26" ht="15.75" customHeight="1" x14ac:dyDescent="0.2">
      <c r="B118" s="9" t="s">
        <v>97</v>
      </c>
      <c r="C118" s="300"/>
      <c r="D118" s="47">
        <v>95.516999999999996</v>
      </c>
      <c r="E118" s="11">
        <v>79</v>
      </c>
      <c r="F118" s="11">
        <v>73</v>
      </c>
    </row>
    <row r="119" spans="1:26" ht="15.75" customHeight="1" x14ac:dyDescent="0.2">
      <c r="B119" s="9" t="s">
        <v>98</v>
      </c>
      <c r="C119" s="300"/>
      <c r="D119" s="47">
        <v>100.92</v>
      </c>
      <c r="E119" s="11">
        <v>99</v>
      </c>
      <c r="F119" s="11">
        <v>103</v>
      </c>
    </row>
    <row r="120" spans="1:26" ht="15.75" customHeight="1" x14ac:dyDescent="0.2">
      <c r="B120" s="9" t="s">
        <v>99</v>
      </c>
      <c r="C120" s="301"/>
      <c r="D120" s="47">
        <v>115.37</v>
      </c>
      <c r="E120" s="11">
        <v>115</v>
      </c>
      <c r="F120" s="11">
        <v>120</v>
      </c>
    </row>
    <row r="121" spans="1:26" ht="15.75" customHeight="1" x14ac:dyDescent="0.2"/>
    <row r="122" spans="1:26" ht="15.75" customHeight="1" x14ac:dyDescent="0.2"/>
    <row r="123" spans="1:26" ht="15.75" customHeight="1" x14ac:dyDescent="0.2"/>
    <row r="124" spans="1:26" ht="15.75" customHeight="1" x14ac:dyDescent="0.25">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5.75" customHeight="1" x14ac:dyDescent="0.2"/>
    <row r="126" spans="1:26" ht="15.75" customHeight="1" x14ac:dyDescent="0.25">
      <c r="A126" s="28" t="s">
        <v>1132</v>
      </c>
      <c r="B126" s="28"/>
      <c r="C126" s="28"/>
      <c r="D126" s="28"/>
      <c r="E126" s="28"/>
      <c r="F126" s="28"/>
      <c r="G126" s="28"/>
      <c r="H126" s="28"/>
      <c r="I126" s="28"/>
      <c r="J126" s="28"/>
      <c r="K126" s="28"/>
      <c r="L126" s="28"/>
      <c r="M126" s="28"/>
    </row>
    <row r="127" spans="1:26" ht="15.75" customHeight="1" x14ac:dyDescent="0.25">
      <c r="A127" s="28"/>
      <c r="B127" s="28"/>
      <c r="C127" s="28"/>
      <c r="D127" s="28"/>
      <c r="E127" s="28"/>
      <c r="F127" s="28"/>
      <c r="G127" s="28"/>
      <c r="H127" s="28"/>
      <c r="I127" s="28"/>
      <c r="J127" s="28"/>
      <c r="K127" s="28"/>
      <c r="L127" s="28"/>
      <c r="M127" s="28"/>
    </row>
    <row r="128" spans="1:26" ht="15.75" customHeight="1" x14ac:dyDescent="0.25">
      <c r="A128" s="28"/>
      <c r="B128" s="28"/>
      <c r="C128" s="28"/>
      <c r="D128" s="28"/>
      <c r="E128" s="28"/>
      <c r="F128" s="28"/>
      <c r="G128" s="28"/>
      <c r="H128" s="28"/>
      <c r="I128" s="28"/>
      <c r="J128" s="28"/>
      <c r="K128" s="28"/>
      <c r="L128" s="28"/>
      <c r="M128" s="28"/>
    </row>
    <row r="129" spans="1:13" ht="15.75" customHeight="1" x14ac:dyDescent="0.25">
      <c r="A129" s="28"/>
      <c r="B129" s="28"/>
      <c r="C129" s="28"/>
      <c r="D129" s="28"/>
      <c r="E129" s="28"/>
      <c r="F129" s="28"/>
      <c r="G129" s="28"/>
      <c r="H129" s="28"/>
      <c r="I129" s="28"/>
      <c r="J129" s="28"/>
      <c r="K129" s="28"/>
      <c r="L129" s="28"/>
      <c r="M129" s="28"/>
    </row>
    <row r="130" spans="1:13" ht="15.75" customHeight="1" x14ac:dyDescent="0.25">
      <c r="A130" s="28"/>
      <c r="B130" s="212" t="s">
        <v>662</v>
      </c>
      <c r="C130" s="213"/>
      <c r="D130" s="358">
        <v>43367</v>
      </c>
      <c r="E130" s="297"/>
      <c r="F130" s="298"/>
      <c r="G130" s="28"/>
      <c r="H130" s="28"/>
      <c r="I130" s="3"/>
      <c r="J130" s="28"/>
      <c r="K130" s="28"/>
      <c r="L130" s="28"/>
      <c r="M130" s="28"/>
    </row>
    <row r="131" spans="1:13" ht="15.75" customHeight="1" x14ac:dyDescent="0.25">
      <c r="A131" s="28"/>
      <c r="B131" s="4" t="s">
        <v>0</v>
      </c>
      <c r="C131" s="5" t="s">
        <v>1</v>
      </c>
      <c r="D131" s="5" t="s">
        <v>2</v>
      </c>
      <c r="E131" s="5" t="s">
        <v>43</v>
      </c>
      <c r="F131" s="45" t="s">
        <v>125</v>
      </c>
      <c r="G131" s="28"/>
      <c r="H131" s="296" t="s">
        <v>6</v>
      </c>
      <c r="I131" s="297"/>
      <c r="J131" s="297"/>
      <c r="K131" s="297"/>
      <c r="L131" s="297"/>
      <c r="M131" s="298"/>
    </row>
    <row r="132" spans="1:13" ht="15.75" customHeight="1" x14ac:dyDescent="0.25">
      <c r="A132" s="28"/>
      <c r="B132" s="9" t="s">
        <v>7</v>
      </c>
      <c r="C132" s="302" t="s">
        <v>9</v>
      </c>
      <c r="D132" s="47">
        <v>28.1</v>
      </c>
      <c r="E132" s="11">
        <v>69</v>
      </c>
      <c r="F132" s="11">
        <v>79</v>
      </c>
      <c r="G132" s="28"/>
      <c r="H132" s="296" t="s">
        <v>106</v>
      </c>
      <c r="I132" s="297"/>
      <c r="J132" s="298"/>
      <c r="K132" s="296" t="s">
        <v>107</v>
      </c>
      <c r="L132" s="297"/>
      <c r="M132" s="298"/>
    </row>
    <row r="133" spans="1:13" ht="15.75" customHeight="1" x14ac:dyDescent="0.25">
      <c r="A133" s="28"/>
      <c r="B133" s="9" t="s">
        <v>17</v>
      </c>
      <c r="C133" s="300"/>
      <c r="D133" s="47">
        <v>63.911000000000001</v>
      </c>
      <c r="E133" s="11">
        <v>71</v>
      </c>
      <c r="F133" s="11">
        <v>87</v>
      </c>
      <c r="G133" s="28"/>
      <c r="H133" s="13" t="s">
        <v>13</v>
      </c>
      <c r="I133" s="39">
        <f>I135+I135*0.05</f>
        <v>766.5</v>
      </c>
      <c r="J133" s="17" t="s">
        <v>1182</v>
      </c>
      <c r="K133" s="13" t="s">
        <v>13</v>
      </c>
      <c r="L133" s="39">
        <f>L135+L135*0.05</f>
        <v>777</v>
      </c>
      <c r="M133" s="17" t="s">
        <v>1183</v>
      </c>
    </row>
    <row r="134" spans="1:13" ht="15.75" customHeight="1" x14ac:dyDescent="0.25">
      <c r="A134" s="28"/>
      <c r="B134" s="9" t="s">
        <v>26</v>
      </c>
      <c r="C134" s="300"/>
      <c r="D134" s="47">
        <v>69.921999999999997</v>
      </c>
      <c r="E134" s="11">
        <v>69</v>
      </c>
      <c r="F134" s="11">
        <v>87</v>
      </c>
      <c r="G134" s="28"/>
      <c r="H134" s="13" t="s">
        <v>19</v>
      </c>
      <c r="I134" s="40">
        <f>I135-I135*0.05</f>
        <v>693.5</v>
      </c>
      <c r="J134" s="17" t="s">
        <v>1184</v>
      </c>
      <c r="K134" s="13" t="s">
        <v>19</v>
      </c>
      <c r="L134" s="40">
        <f>L135-L135*0.05</f>
        <v>703</v>
      </c>
      <c r="M134" s="17" t="s">
        <v>1185</v>
      </c>
    </row>
    <row r="135" spans="1:13" ht="15.75" customHeight="1" x14ac:dyDescent="0.25">
      <c r="A135" s="28"/>
      <c r="B135" s="9" t="s">
        <v>32</v>
      </c>
      <c r="C135" s="300"/>
      <c r="D135" s="47">
        <v>96.744</v>
      </c>
      <c r="E135" s="11">
        <v>94</v>
      </c>
      <c r="F135" s="11">
        <v>108</v>
      </c>
      <c r="G135" s="28"/>
      <c r="H135" s="13" t="s">
        <v>27</v>
      </c>
      <c r="I135" s="20">
        <v>730</v>
      </c>
      <c r="J135" s="17" t="s">
        <v>1186</v>
      </c>
      <c r="K135" s="13" t="s">
        <v>27</v>
      </c>
      <c r="L135" s="20">
        <v>740</v>
      </c>
      <c r="M135" s="17" t="s">
        <v>1187</v>
      </c>
    </row>
    <row r="136" spans="1:13" ht="15.75" customHeight="1" x14ac:dyDescent="0.25">
      <c r="A136" s="28"/>
      <c r="B136" s="9" t="s">
        <v>33</v>
      </c>
      <c r="C136" s="301"/>
      <c r="D136" s="47">
        <v>128.11000000000001</v>
      </c>
      <c r="E136" s="11">
        <v>133</v>
      </c>
      <c r="F136" s="11">
        <v>145</v>
      </c>
      <c r="G136" s="28"/>
      <c r="H136" s="13" t="s">
        <v>121</v>
      </c>
      <c r="I136" s="20">
        <v>731</v>
      </c>
      <c r="J136" s="17" t="s">
        <v>1188</v>
      </c>
      <c r="K136" s="13" t="s">
        <v>121</v>
      </c>
      <c r="L136" s="20">
        <v>732</v>
      </c>
      <c r="M136" s="17" t="s">
        <v>1189</v>
      </c>
    </row>
    <row r="137" spans="1:13" ht="15.75" customHeight="1" x14ac:dyDescent="0.25">
      <c r="A137" s="28"/>
      <c r="B137" s="41"/>
      <c r="C137" s="42"/>
      <c r="D137" s="69"/>
      <c r="E137" s="11"/>
      <c r="F137" s="11"/>
      <c r="G137" s="28"/>
      <c r="H137" s="28"/>
      <c r="I137" s="3"/>
      <c r="J137" s="28"/>
      <c r="K137" s="28"/>
      <c r="L137" s="28"/>
      <c r="M137" s="28"/>
    </row>
    <row r="138" spans="1:13" ht="15.75" customHeight="1" x14ac:dyDescent="0.25">
      <c r="A138" s="28"/>
      <c r="B138" s="9" t="s">
        <v>35</v>
      </c>
      <c r="C138" s="302" t="s">
        <v>36</v>
      </c>
      <c r="D138" s="47">
        <v>207.78</v>
      </c>
      <c r="E138" s="11">
        <v>255</v>
      </c>
      <c r="F138" s="11">
        <v>535</v>
      </c>
      <c r="G138" s="28"/>
      <c r="H138" s="31"/>
      <c r="I138" s="3"/>
      <c r="J138" s="28"/>
      <c r="K138" s="28"/>
      <c r="L138" s="28"/>
      <c r="M138" s="28"/>
    </row>
    <row r="139" spans="1:13" ht="15.75" customHeight="1" x14ac:dyDescent="0.25">
      <c r="A139" s="28"/>
      <c r="B139" s="9" t="s">
        <v>37</v>
      </c>
      <c r="C139" s="300"/>
      <c r="D139" s="47">
        <v>444.11</v>
      </c>
      <c r="E139" s="11">
        <v>557</v>
      </c>
      <c r="F139" s="11">
        <v>571</v>
      </c>
      <c r="G139" s="28"/>
      <c r="H139" s="31"/>
      <c r="I139" s="3"/>
      <c r="J139" s="28"/>
      <c r="K139" s="28"/>
      <c r="L139" s="28"/>
      <c r="M139" s="28"/>
    </row>
    <row r="140" spans="1:13" ht="15.75" customHeight="1" x14ac:dyDescent="0.25">
      <c r="A140" s="28"/>
      <c r="B140" s="9" t="s">
        <v>38</v>
      </c>
      <c r="C140" s="300"/>
      <c r="D140" s="47">
        <v>579.55999999999995</v>
      </c>
      <c r="E140" s="11">
        <v>600</v>
      </c>
      <c r="F140" s="11">
        <v>611</v>
      </c>
      <c r="G140" s="28"/>
      <c r="H140" s="409" t="s">
        <v>1154</v>
      </c>
      <c r="I140" s="315"/>
      <c r="J140" s="315"/>
      <c r="K140" s="315"/>
      <c r="L140" s="315"/>
      <c r="M140" s="315"/>
    </row>
    <row r="141" spans="1:13" ht="15.75" customHeight="1" x14ac:dyDescent="0.25">
      <c r="A141" s="28"/>
      <c r="B141" s="9" t="s">
        <v>39</v>
      </c>
      <c r="C141" s="300"/>
      <c r="D141" s="47">
        <v>746.22</v>
      </c>
      <c r="E141" s="11">
        <v>717</v>
      </c>
      <c r="F141" s="11">
        <v>725</v>
      </c>
      <c r="G141" s="28"/>
      <c r="H141" s="315"/>
      <c r="I141" s="315"/>
      <c r="J141" s="315"/>
      <c r="K141" s="315"/>
      <c r="L141" s="315"/>
      <c r="M141" s="315"/>
    </row>
    <row r="142" spans="1:13" ht="15.75" customHeight="1" x14ac:dyDescent="0.25">
      <c r="A142" s="28"/>
      <c r="B142" s="49" t="s">
        <v>41</v>
      </c>
      <c r="C142" s="300"/>
      <c r="D142" s="50">
        <v>869.5</v>
      </c>
      <c r="E142" s="51">
        <v>770</v>
      </c>
      <c r="F142" s="51">
        <v>775</v>
      </c>
      <c r="G142" s="28"/>
      <c r="H142" s="315"/>
      <c r="I142" s="315"/>
      <c r="J142" s="315"/>
      <c r="K142" s="315"/>
      <c r="L142" s="315"/>
      <c r="M142" s="315"/>
    </row>
    <row r="143" spans="1:13" ht="15.75" customHeight="1" x14ac:dyDescent="0.25">
      <c r="A143" s="28"/>
      <c r="B143" s="79"/>
      <c r="C143" s="81"/>
      <c r="D143" s="81"/>
      <c r="E143" s="215"/>
      <c r="F143" s="215"/>
      <c r="G143" s="28"/>
      <c r="H143" s="315"/>
      <c r="I143" s="315"/>
      <c r="J143" s="315"/>
      <c r="K143" s="315"/>
      <c r="L143" s="315"/>
      <c r="M143" s="315"/>
    </row>
    <row r="144" spans="1:13" ht="15.75" customHeight="1" x14ac:dyDescent="0.25">
      <c r="A144" s="28"/>
      <c r="B144" s="9" t="s">
        <v>46</v>
      </c>
      <c r="C144" s="299" t="s">
        <v>47</v>
      </c>
      <c r="D144" s="47">
        <v>88.4</v>
      </c>
      <c r="E144" s="11">
        <v>72</v>
      </c>
      <c r="F144" s="11">
        <v>116</v>
      </c>
      <c r="G144" s="28"/>
      <c r="H144" s="315"/>
      <c r="I144" s="315"/>
      <c r="J144" s="315"/>
      <c r="K144" s="315"/>
      <c r="L144" s="315"/>
      <c r="M144" s="315"/>
    </row>
    <row r="145" spans="1:13" ht="15.75" customHeight="1" x14ac:dyDescent="0.25">
      <c r="A145" s="28"/>
      <c r="B145" s="9" t="s">
        <v>48</v>
      </c>
      <c r="C145" s="300"/>
      <c r="D145" s="47">
        <v>94.6</v>
      </c>
      <c r="E145" s="11">
        <v>80</v>
      </c>
      <c r="F145" s="11">
        <v>136</v>
      </c>
      <c r="G145" s="28"/>
      <c r="H145" s="315"/>
      <c r="I145" s="315"/>
      <c r="J145" s="315"/>
      <c r="K145" s="315"/>
      <c r="L145" s="315"/>
      <c r="M145" s="315"/>
    </row>
    <row r="146" spans="1:13" ht="15.75" customHeight="1" x14ac:dyDescent="0.25">
      <c r="A146" s="28"/>
      <c r="B146" s="41"/>
      <c r="C146" s="42"/>
      <c r="D146" s="69"/>
      <c r="E146" s="11"/>
      <c r="F146" s="11"/>
      <c r="G146" s="28"/>
      <c r="H146" s="315"/>
      <c r="I146" s="315"/>
      <c r="J146" s="315"/>
      <c r="K146" s="315"/>
      <c r="L146" s="315"/>
      <c r="M146" s="315"/>
    </row>
    <row r="147" spans="1:13" ht="15.75" customHeight="1" x14ac:dyDescent="0.25">
      <c r="A147" s="28"/>
      <c r="B147" s="9" t="s">
        <v>50</v>
      </c>
      <c r="C147" s="302" t="s">
        <v>51</v>
      </c>
      <c r="D147" s="47">
        <v>271.44400000000002</v>
      </c>
      <c r="E147" s="11">
        <v>299</v>
      </c>
      <c r="F147" s="11">
        <v>300</v>
      </c>
      <c r="G147" s="28"/>
      <c r="H147" s="315"/>
      <c r="I147" s="315"/>
      <c r="J147" s="315"/>
      <c r="K147" s="315"/>
      <c r="L147" s="315"/>
      <c r="M147" s="315"/>
    </row>
    <row r="148" spans="1:13" ht="15.75" customHeight="1" x14ac:dyDescent="0.25">
      <c r="A148" s="28"/>
      <c r="B148" s="9" t="s">
        <v>54</v>
      </c>
      <c r="C148" s="300"/>
      <c r="D148" s="47">
        <v>550.22199999999998</v>
      </c>
      <c r="E148" s="11">
        <v>580</v>
      </c>
      <c r="F148" s="11">
        <v>572</v>
      </c>
      <c r="G148" s="28"/>
      <c r="H148" s="315"/>
      <c r="I148" s="315"/>
      <c r="J148" s="315"/>
      <c r="K148" s="315"/>
      <c r="L148" s="315"/>
      <c r="M148" s="315"/>
    </row>
    <row r="149" spans="1:13" ht="15.75" customHeight="1" x14ac:dyDescent="0.25">
      <c r="A149" s="28"/>
      <c r="B149" s="9" t="s">
        <v>55</v>
      </c>
      <c r="C149" s="300"/>
      <c r="D149" s="47">
        <v>609</v>
      </c>
      <c r="E149" s="11">
        <v>673</v>
      </c>
      <c r="F149" s="11">
        <v>618</v>
      </c>
      <c r="G149" s="28"/>
      <c r="H149" s="315"/>
      <c r="I149" s="315"/>
      <c r="J149" s="315"/>
      <c r="K149" s="315"/>
      <c r="L149" s="315"/>
      <c r="M149" s="315"/>
    </row>
    <row r="150" spans="1:13" ht="15.75" customHeight="1" x14ac:dyDescent="0.25">
      <c r="A150" s="28"/>
      <c r="B150" s="9" t="s">
        <v>56</v>
      </c>
      <c r="C150" s="300"/>
      <c r="D150" s="47">
        <v>739.11099999999999</v>
      </c>
      <c r="E150" s="11">
        <v>740</v>
      </c>
      <c r="F150" s="11">
        <v>782</v>
      </c>
      <c r="G150" s="28"/>
      <c r="H150" s="315"/>
      <c r="I150" s="315"/>
      <c r="J150" s="315"/>
      <c r="K150" s="315"/>
      <c r="L150" s="315"/>
      <c r="M150" s="315"/>
    </row>
    <row r="151" spans="1:13" ht="15.75" customHeight="1" x14ac:dyDescent="0.25">
      <c r="A151" s="28"/>
      <c r="B151" s="49" t="s">
        <v>57</v>
      </c>
      <c r="C151" s="300"/>
      <c r="D151" s="50">
        <v>746.88900000000001</v>
      </c>
      <c r="E151" s="51">
        <v>763</v>
      </c>
      <c r="F151" s="51">
        <v>632</v>
      </c>
      <c r="G151" s="28"/>
      <c r="H151" s="315"/>
      <c r="I151" s="315"/>
      <c r="J151" s="315"/>
      <c r="K151" s="315"/>
      <c r="L151" s="315"/>
      <c r="M151" s="315"/>
    </row>
    <row r="152" spans="1:13" ht="15.75" customHeight="1" x14ac:dyDescent="0.25">
      <c r="A152" s="28"/>
      <c r="B152" s="79"/>
      <c r="C152" s="81"/>
      <c r="D152" s="81"/>
      <c r="E152" s="215"/>
      <c r="F152" s="215"/>
      <c r="G152" s="28"/>
      <c r="H152" s="28"/>
      <c r="I152" s="3"/>
      <c r="J152" s="28"/>
      <c r="K152" s="28"/>
      <c r="L152" s="28"/>
      <c r="M152" s="28"/>
    </row>
    <row r="153" spans="1:13" ht="15.75" customHeight="1" x14ac:dyDescent="0.25">
      <c r="A153" s="28"/>
      <c r="B153" s="9" t="s">
        <v>60</v>
      </c>
      <c r="C153" s="299" t="s">
        <v>62</v>
      </c>
      <c r="D153" s="47">
        <v>19.36</v>
      </c>
      <c r="E153" s="11">
        <v>27</v>
      </c>
      <c r="F153" s="11">
        <v>34</v>
      </c>
      <c r="G153" s="28"/>
      <c r="H153" s="28"/>
      <c r="I153" s="3"/>
      <c r="J153" s="28"/>
      <c r="K153" s="28"/>
      <c r="L153" s="28"/>
      <c r="M153" s="28"/>
    </row>
    <row r="154" spans="1:13" ht="15.75" customHeight="1" x14ac:dyDescent="0.25">
      <c r="A154" s="28"/>
      <c r="B154" s="9" t="s">
        <v>64</v>
      </c>
      <c r="C154" s="300"/>
      <c r="D154" s="47">
        <v>33.31</v>
      </c>
      <c r="E154" s="11">
        <v>37</v>
      </c>
      <c r="F154" s="11">
        <v>49</v>
      </c>
      <c r="G154" s="28"/>
      <c r="H154" s="28"/>
      <c r="I154" s="3"/>
      <c r="J154" s="28"/>
      <c r="K154" s="28"/>
      <c r="L154" s="28"/>
      <c r="M154" s="28"/>
    </row>
    <row r="155" spans="1:13" ht="15.75" customHeight="1" x14ac:dyDescent="0.25">
      <c r="A155" s="28"/>
      <c r="B155" s="9" t="s">
        <v>65</v>
      </c>
      <c r="C155" s="301"/>
      <c r="D155" s="47">
        <v>41.74</v>
      </c>
      <c r="E155" s="11">
        <v>40</v>
      </c>
      <c r="F155" s="11">
        <v>36</v>
      </c>
      <c r="G155" s="28"/>
      <c r="H155" s="202"/>
      <c r="I155" s="202"/>
      <c r="J155" s="202"/>
      <c r="K155" s="202"/>
      <c r="L155" s="202"/>
      <c r="M155" s="202"/>
    </row>
    <row r="156" spans="1:13" ht="15.75" customHeight="1" x14ac:dyDescent="0.25">
      <c r="A156" s="28"/>
      <c r="B156" s="41"/>
      <c r="C156" s="42"/>
      <c r="D156" s="69"/>
      <c r="E156" s="11"/>
      <c r="F156" s="11"/>
      <c r="G156" s="28"/>
      <c r="H156" s="202"/>
      <c r="I156" s="202"/>
      <c r="J156" s="202"/>
      <c r="K156" s="27"/>
      <c r="L156" s="27"/>
      <c r="M156" s="1"/>
    </row>
    <row r="157" spans="1:13" ht="15.75" customHeight="1" x14ac:dyDescent="0.25">
      <c r="A157" s="28"/>
      <c r="B157" s="9" t="s">
        <v>66</v>
      </c>
      <c r="C157" s="302" t="s">
        <v>68</v>
      </c>
      <c r="D157" s="47">
        <v>204.5</v>
      </c>
      <c r="E157" s="11">
        <v>200</v>
      </c>
      <c r="F157" s="11">
        <v>241</v>
      </c>
      <c r="G157" s="28"/>
      <c r="H157" s="28"/>
      <c r="I157" s="28"/>
      <c r="J157" s="28"/>
      <c r="K157" s="43"/>
      <c r="L157" s="28"/>
      <c r="M157" s="234"/>
    </row>
    <row r="158" spans="1:13" ht="15.75" customHeight="1" x14ac:dyDescent="0.25">
      <c r="A158" s="28"/>
      <c r="B158" s="49" t="s">
        <v>69</v>
      </c>
      <c r="C158" s="300"/>
      <c r="D158" s="50">
        <v>277.7</v>
      </c>
      <c r="E158" s="51">
        <v>275</v>
      </c>
      <c r="F158" s="51">
        <v>321</v>
      </c>
      <c r="G158" s="28"/>
      <c r="H158" s="28"/>
      <c r="I158" s="28"/>
      <c r="J158" s="28"/>
      <c r="K158" s="234"/>
      <c r="L158" s="234"/>
      <c r="M158" s="234"/>
    </row>
    <row r="159" spans="1:13" ht="15.75" customHeight="1" x14ac:dyDescent="0.25">
      <c r="A159" s="28"/>
      <c r="B159" s="44"/>
      <c r="C159" s="46"/>
      <c r="D159" s="46"/>
      <c r="E159" s="216"/>
      <c r="F159" s="216"/>
      <c r="G159" s="28"/>
      <c r="H159" s="28"/>
      <c r="I159" s="28"/>
      <c r="J159" s="28"/>
      <c r="K159" s="234"/>
      <c r="L159" s="28"/>
      <c r="M159" s="234"/>
    </row>
    <row r="160" spans="1:13" ht="15.75" customHeight="1" x14ac:dyDescent="0.25">
      <c r="A160" s="28"/>
      <c r="B160" s="9" t="s">
        <v>69</v>
      </c>
      <c r="C160" s="299" t="s">
        <v>71</v>
      </c>
      <c r="D160" s="47">
        <v>10.283300000000001</v>
      </c>
      <c r="E160" s="11">
        <v>11</v>
      </c>
      <c r="F160" s="11">
        <v>22</v>
      </c>
      <c r="G160" s="28"/>
      <c r="H160" s="28"/>
      <c r="I160" s="28"/>
      <c r="J160" s="28"/>
      <c r="K160" s="234"/>
      <c r="L160" s="234"/>
      <c r="M160" s="234"/>
    </row>
    <row r="161" spans="1:13" ht="15.75" customHeight="1" x14ac:dyDescent="0.25">
      <c r="A161" s="28"/>
      <c r="B161" s="9" t="s">
        <v>72</v>
      </c>
      <c r="C161" s="300"/>
      <c r="D161" s="47">
        <v>11.8833</v>
      </c>
      <c r="E161" s="11">
        <v>11</v>
      </c>
      <c r="F161" s="11">
        <v>32</v>
      </c>
      <c r="G161" s="28"/>
      <c r="H161" s="28"/>
      <c r="I161" s="28"/>
      <c r="J161" s="28"/>
      <c r="K161" s="234"/>
      <c r="L161" s="234"/>
      <c r="M161" s="234"/>
    </row>
    <row r="162" spans="1:13" ht="15.75" customHeight="1" x14ac:dyDescent="0.25">
      <c r="A162" s="28"/>
      <c r="B162" s="9" t="s">
        <v>73</v>
      </c>
      <c r="C162" s="301"/>
      <c r="D162" s="47">
        <v>17.433299999999999</v>
      </c>
      <c r="E162" s="11">
        <v>22</v>
      </c>
      <c r="F162" s="11">
        <v>42</v>
      </c>
      <c r="G162" s="28"/>
      <c r="H162" s="28"/>
      <c r="I162" s="28"/>
      <c r="J162" s="28"/>
      <c r="K162" s="234"/>
      <c r="L162" s="234"/>
      <c r="M162" s="234"/>
    </row>
    <row r="163" spans="1:13" ht="15.75" customHeight="1" x14ac:dyDescent="0.25">
      <c r="A163" s="28"/>
      <c r="B163" s="41"/>
      <c r="C163" s="42"/>
      <c r="D163" s="69"/>
      <c r="E163" s="11"/>
      <c r="F163" s="11"/>
      <c r="G163" s="28"/>
      <c r="H163" s="28"/>
      <c r="I163" s="28"/>
      <c r="J163" s="28"/>
      <c r="K163" s="234"/>
      <c r="L163" s="234"/>
      <c r="M163" s="234"/>
    </row>
    <row r="164" spans="1:13" ht="15.75" customHeight="1" x14ac:dyDescent="0.25">
      <c r="A164" s="28"/>
      <c r="B164" s="9" t="s">
        <v>76</v>
      </c>
      <c r="C164" s="302" t="s">
        <v>77</v>
      </c>
      <c r="D164" s="47">
        <v>117.467</v>
      </c>
      <c r="E164" s="11">
        <v>201</v>
      </c>
      <c r="F164" s="11">
        <v>163</v>
      </c>
      <c r="G164" s="28"/>
      <c r="H164" s="28"/>
      <c r="I164" s="28"/>
      <c r="J164" s="28"/>
      <c r="K164" s="234"/>
      <c r="L164" s="234"/>
      <c r="M164" s="234"/>
    </row>
    <row r="165" spans="1:13" ht="15.75" customHeight="1" x14ac:dyDescent="0.25">
      <c r="A165" s="28"/>
      <c r="B165" s="9" t="s">
        <v>78</v>
      </c>
      <c r="C165" s="300"/>
      <c r="D165" s="47">
        <v>187.833</v>
      </c>
      <c r="E165" s="11">
        <v>166</v>
      </c>
      <c r="F165" s="11">
        <v>189</v>
      </c>
      <c r="G165" s="28"/>
      <c r="H165" s="28"/>
      <c r="I165" s="28"/>
      <c r="J165" s="28"/>
      <c r="K165" s="234"/>
      <c r="L165" s="234"/>
      <c r="M165" s="234"/>
    </row>
    <row r="166" spans="1:13" ht="15.75" customHeight="1" x14ac:dyDescent="0.25">
      <c r="A166" s="28"/>
      <c r="B166" s="9" t="s">
        <v>79</v>
      </c>
      <c r="C166" s="300"/>
      <c r="D166" s="47">
        <v>218.333</v>
      </c>
      <c r="E166" s="11">
        <v>268</v>
      </c>
      <c r="F166" s="11">
        <v>286</v>
      </c>
      <c r="G166" s="28"/>
      <c r="H166" s="28"/>
      <c r="I166" s="3"/>
      <c r="J166" s="28"/>
      <c r="K166" s="28"/>
      <c r="L166" s="28"/>
      <c r="M166" s="28"/>
    </row>
    <row r="167" spans="1:13" ht="15.75" customHeight="1" x14ac:dyDescent="0.25">
      <c r="A167" s="28"/>
      <c r="B167" s="49" t="s">
        <v>80</v>
      </c>
      <c r="C167" s="300"/>
      <c r="D167" s="50">
        <v>238.5</v>
      </c>
      <c r="E167" s="51">
        <v>250</v>
      </c>
      <c r="F167" s="51">
        <v>231</v>
      </c>
      <c r="G167" s="28"/>
      <c r="H167" s="28"/>
      <c r="I167" s="3"/>
      <c r="J167" s="28"/>
      <c r="K167" s="28"/>
      <c r="L167" s="28"/>
      <c r="M167" s="28"/>
    </row>
    <row r="168" spans="1:13" ht="15.75" customHeight="1" x14ac:dyDescent="0.25">
      <c r="A168" s="28"/>
      <c r="B168" s="44"/>
      <c r="C168" s="46"/>
      <c r="D168" s="46"/>
      <c r="E168" s="216"/>
      <c r="F168" s="216"/>
      <c r="G168" s="28"/>
      <c r="H168" s="28"/>
      <c r="I168" s="28"/>
      <c r="J168" s="28"/>
      <c r="K168" s="28"/>
      <c r="L168" s="28"/>
      <c r="M168" s="28"/>
    </row>
    <row r="169" spans="1:13" ht="15.75" customHeight="1" x14ac:dyDescent="0.25">
      <c r="A169" s="28"/>
      <c r="B169" s="9" t="s">
        <v>81</v>
      </c>
      <c r="C169" s="299" t="s">
        <v>82</v>
      </c>
      <c r="D169" s="11">
        <v>2</v>
      </c>
      <c r="E169" s="11">
        <v>2</v>
      </c>
      <c r="F169" s="11">
        <v>2</v>
      </c>
      <c r="G169" s="28"/>
      <c r="H169" s="28"/>
      <c r="I169" s="3"/>
      <c r="J169" s="28"/>
      <c r="K169" s="28"/>
      <c r="L169" s="28"/>
      <c r="M169" s="28"/>
    </row>
    <row r="170" spans="1:13" ht="15.75" customHeight="1" x14ac:dyDescent="0.25">
      <c r="A170" s="28"/>
      <c r="B170" s="9" t="s">
        <v>83</v>
      </c>
      <c r="C170" s="300"/>
      <c r="D170" s="47">
        <v>7.133</v>
      </c>
      <c r="E170" s="11">
        <v>5</v>
      </c>
      <c r="F170" s="11">
        <v>9</v>
      </c>
      <c r="G170" s="28"/>
      <c r="H170" s="28"/>
      <c r="I170" s="3"/>
      <c r="J170" s="28"/>
      <c r="K170" s="28"/>
      <c r="L170" s="28"/>
      <c r="M170" s="28"/>
    </row>
    <row r="171" spans="1:13" ht="15.75" customHeight="1" x14ac:dyDescent="0.25">
      <c r="A171" s="28"/>
      <c r="B171" s="9" t="s">
        <v>84</v>
      </c>
      <c r="C171" s="301"/>
      <c r="D171" s="47">
        <v>10.72</v>
      </c>
      <c r="E171" s="11">
        <v>12</v>
      </c>
      <c r="F171" s="11">
        <v>8</v>
      </c>
      <c r="G171" s="28"/>
      <c r="H171" s="28"/>
      <c r="I171" s="3"/>
      <c r="J171" s="28"/>
      <c r="K171" s="28"/>
      <c r="L171" s="28"/>
      <c r="M171" s="28"/>
    </row>
    <row r="172" spans="1:13" ht="15.75" customHeight="1" x14ac:dyDescent="0.25">
      <c r="A172" s="28"/>
      <c r="B172" s="41"/>
      <c r="C172" s="42"/>
      <c r="D172" s="69"/>
      <c r="E172" s="11"/>
      <c r="F172" s="11"/>
      <c r="G172" s="28"/>
      <c r="H172" s="28"/>
      <c r="I172" s="3"/>
      <c r="J172" s="28"/>
      <c r="K172" s="28"/>
      <c r="L172" s="28"/>
      <c r="M172" s="28"/>
    </row>
    <row r="173" spans="1:13" ht="15.75" customHeight="1" x14ac:dyDescent="0.25">
      <c r="A173" s="28"/>
      <c r="B173" s="9" t="s">
        <v>86</v>
      </c>
      <c r="C173" s="302" t="s">
        <v>87</v>
      </c>
      <c r="D173" s="47">
        <v>20.466999999999999</v>
      </c>
      <c r="E173" s="11">
        <v>20</v>
      </c>
      <c r="F173" s="11">
        <v>22</v>
      </c>
      <c r="G173" s="28"/>
      <c r="H173" s="28"/>
      <c r="I173" s="3"/>
      <c r="J173" s="28"/>
      <c r="K173" s="28"/>
      <c r="L173" s="28"/>
      <c r="M173" s="28"/>
    </row>
    <row r="174" spans="1:13" ht="15.75" customHeight="1" x14ac:dyDescent="0.25">
      <c r="A174" s="28"/>
      <c r="B174" s="49" t="s">
        <v>88</v>
      </c>
      <c r="C174" s="300"/>
      <c r="D174" s="50">
        <v>20.367000000000001</v>
      </c>
      <c r="E174" s="51">
        <v>20</v>
      </c>
      <c r="F174" s="51">
        <v>22</v>
      </c>
      <c r="G174" s="28"/>
      <c r="H174" s="28"/>
      <c r="I174" s="3"/>
      <c r="J174" s="28"/>
      <c r="K174" s="28"/>
      <c r="L174" s="28"/>
      <c r="M174" s="28"/>
    </row>
    <row r="175" spans="1:13" ht="15.75" customHeight="1" x14ac:dyDescent="0.25">
      <c r="A175" s="28"/>
      <c r="B175" s="44"/>
      <c r="C175" s="46"/>
      <c r="D175" s="46"/>
      <c r="E175" s="216"/>
      <c r="F175" s="216"/>
      <c r="G175" s="28"/>
      <c r="H175" s="28"/>
      <c r="I175" s="28"/>
      <c r="J175" s="28"/>
      <c r="K175" s="28"/>
      <c r="L175" s="28"/>
      <c r="M175" s="28"/>
    </row>
    <row r="176" spans="1:13" ht="15.75" customHeight="1" x14ac:dyDescent="0.25">
      <c r="A176" s="28"/>
      <c r="B176" s="9" t="s">
        <v>89</v>
      </c>
      <c r="C176" s="299" t="s">
        <v>90</v>
      </c>
      <c r="D176" s="47">
        <v>5.15</v>
      </c>
      <c r="E176" s="11">
        <v>5</v>
      </c>
      <c r="F176" s="11">
        <v>14</v>
      </c>
      <c r="G176" s="28"/>
      <c r="H176" s="28"/>
      <c r="I176" s="28"/>
      <c r="J176" s="28"/>
      <c r="K176" s="28"/>
      <c r="L176" s="28"/>
      <c r="M176" s="28"/>
    </row>
    <row r="177" spans="1:13" ht="15.75" customHeight="1" x14ac:dyDescent="0.25">
      <c r="A177" s="28"/>
      <c r="B177" s="49" t="s">
        <v>91</v>
      </c>
      <c r="C177" s="300"/>
      <c r="D177" s="50">
        <v>16.2</v>
      </c>
      <c r="E177" s="51">
        <v>11</v>
      </c>
      <c r="F177" s="51">
        <v>20</v>
      </c>
      <c r="G177" s="28"/>
      <c r="H177" s="28"/>
      <c r="I177" s="28"/>
      <c r="J177" s="28"/>
      <c r="K177" s="28"/>
      <c r="L177" s="28"/>
      <c r="M177" s="28"/>
    </row>
    <row r="178" spans="1:13" ht="15.75" customHeight="1" x14ac:dyDescent="0.25">
      <c r="A178" s="28"/>
      <c r="B178" s="41"/>
      <c r="C178" s="42"/>
      <c r="D178" s="69"/>
      <c r="E178" s="201"/>
      <c r="F178" s="201"/>
      <c r="G178" s="28"/>
      <c r="H178" s="28"/>
      <c r="I178" s="28"/>
      <c r="J178" s="28"/>
      <c r="K178" s="28"/>
      <c r="L178" s="28"/>
      <c r="M178" s="28"/>
    </row>
    <row r="179" spans="1:13" ht="15.75" customHeight="1" x14ac:dyDescent="0.25">
      <c r="A179" s="28"/>
      <c r="B179" s="9" t="s">
        <v>94</v>
      </c>
      <c r="C179" s="299" t="s">
        <v>95</v>
      </c>
      <c r="D179" s="47">
        <v>50.082999999999998</v>
      </c>
      <c r="E179" s="11">
        <v>61</v>
      </c>
      <c r="F179" s="11">
        <v>75</v>
      </c>
      <c r="G179" s="28"/>
      <c r="H179" s="28"/>
      <c r="I179" s="28"/>
      <c r="J179" s="28"/>
      <c r="K179" s="28"/>
      <c r="L179" s="28"/>
      <c r="M179" s="28"/>
    </row>
    <row r="180" spans="1:13" ht="15.75" customHeight="1" x14ac:dyDescent="0.25">
      <c r="A180" s="28"/>
      <c r="B180" s="9" t="s">
        <v>96</v>
      </c>
      <c r="C180" s="300"/>
      <c r="D180" s="47">
        <v>93.992999999999995</v>
      </c>
      <c r="E180" s="11">
        <v>97</v>
      </c>
      <c r="F180" s="11">
        <v>92</v>
      </c>
      <c r="G180" s="28"/>
      <c r="H180" s="28"/>
      <c r="I180" s="28"/>
      <c r="J180" s="28"/>
      <c r="K180" s="28"/>
      <c r="L180" s="28"/>
      <c r="M180" s="28"/>
    </row>
    <row r="181" spans="1:13" ht="15.75" customHeight="1" x14ac:dyDescent="0.25">
      <c r="A181" s="28"/>
      <c r="B181" s="9" t="s">
        <v>97</v>
      </c>
      <c r="C181" s="300"/>
      <c r="D181" s="47">
        <v>95.516999999999996</v>
      </c>
      <c r="E181" s="11">
        <v>73</v>
      </c>
      <c r="F181" s="11">
        <v>104</v>
      </c>
      <c r="G181" s="28"/>
      <c r="H181" s="28"/>
      <c r="I181" s="28"/>
      <c r="J181" s="28"/>
      <c r="K181" s="28"/>
      <c r="L181" s="28"/>
      <c r="M181" s="28"/>
    </row>
    <row r="182" spans="1:13" ht="15.75" customHeight="1" x14ac:dyDescent="0.25">
      <c r="A182" s="28"/>
      <c r="B182" s="9" t="s">
        <v>98</v>
      </c>
      <c r="C182" s="300"/>
      <c r="D182" s="47">
        <v>100.92</v>
      </c>
      <c r="E182" s="11">
        <v>103</v>
      </c>
      <c r="F182" s="11">
        <v>97</v>
      </c>
      <c r="G182" s="28"/>
      <c r="H182" s="28"/>
      <c r="I182" s="28"/>
      <c r="J182" s="28"/>
      <c r="K182" s="28"/>
      <c r="L182" s="28"/>
      <c r="M182" s="28"/>
    </row>
    <row r="183" spans="1:13" ht="15.75" customHeight="1" x14ac:dyDescent="0.25">
      <c r="A183" s="28"/>
      <c r="B183" s="9" t="s">
        <v>99</v>
      </c>
      <c r="C183" s="301"/>
      <c r="D183" s="47">
        <v>115.37</v>
      </c>
      <c r="E183" s="11">
        <v>120</v>
      </c>
      <c r="F183" s="11">
        <v>134</v>
      </c>
      <c r="G183" s="28"/>
      <c r="H183" s="28"/>
      <c r="I183" s="28"/>
      <c r="J183" s="28"/>
      <c r="K183" s="28"/>
      <c r="L183" s="28"/>
      <c r="M183" s="28"/>
    </row>
    <row r="184" spans="1:13" ht="15.75" customHeight="1" x14ac:dyDescent="0.2"/>
    <row r="185" spans="1:13" ht="15.75" customHeight="1" x14ac:dyDescent="0.2"/>
    <row r="186" spans="1:13" ht="15.75" customHeight="1" x14ac:dyDescent="0.2"/>
    <row r="187" spans="1:13" ht="15.75" customHeight="1" x14ac:dyDescent="0.2"/>
    <row r="188" spans="1:13" ht="15.75" customHeight="1" x14ac:dyDescent="0.2"/>
    <row r="189" spans="1:13" ht="15.75" customHeight="1" x14ac:dyDescent="0.2"/>
    <row r="190" spans="1:13" ht="15.75" customHeight="1" x14ac:dyDescent="0.2"/>
    <row r="191" spans="1:13" ht="15.75" customHeight="1" x14ac:dyDescent="0.2"/>
    <row r="192" spans="1:13"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0">
    <mergeCell ref="C173:C174"/>
    <mergeCell ref="C176:C177"/>
    <mergeCell ref="C179:C183"/>
    <mergeCell ref="C116:C120"/>
    <mergeCell ref="C132:C136"/>
    <mergeCell ref="C138:C142"/>
    <mergeCell ref="C144:C145"/>
    <mergeCell ref="C147:C151"/>
    <mergeCell ref="C153:C155"/>
    <mergeCell ref="C157:C158"/>
    <mergeCell ref="K132:M132"/>
    <mergeCell ref="H140:M151"/>
    <mergeCell ref="C160:C162"/>
    <mergeCell ref="C164:C167"/>
    <mergeCell ref="C169:C171"/>
    <mergeCell ref="B43:F43"/>
    <mergeCell ref="B47:E47"/>
    <mergeCell ref="B80:F80"/>
    <mergeCell ref="C81:C82"/>
    <mergeCell ref="C44:C46"/>
    <mergeCell ref="C48:C49"/>
    <mergeCell ref="C51:C52"/>
    <mergeCell ref="C54:C58"/>
    <mergeCell ref="C69:C73"/>
    <mergeCell ref="C75:C79"/>
    <mergeCell ref="B50:F50"/>
    <mergeCell ref="B53:F53"/>
    <mergeCell ref="B67:F67"/>
    <mergeCell ref="C32:C33"/>
    <mergeCell ref="B34:F34"/>
    <mergeCell ref="C35:C37"/>
    <mergeCell ref="B38:E38"/>
    <mergeCell ref="C39:C42"/>
    <mergeCell ref="H131:M131"/>
    <mergeCell ref="H132:J132"/>
    <mergeCell ref="B5:E5"/>
    <mergeCell ref="H6:M6"/>
    <mergeCell ref="C7:C11"/>
    <mergeCell ref="H7:J7"/>
    <mergeCell ref="K7:M7"/>
    <mergeCell ref="B12:E12"/>
    <mergeCell ref="B18:F18"/>
    <mergeCell ref="C13:C17"/>
    <mergeCell ref="C19:C20"/>
    <mergeCell ref="B21:E21"/>
    <mergeCell ref="C22:C26"/>
    <mergeCell ref="B27:F27"/>
    <mergeCell ref="C28:C30"/>
    <mergeCell ref="B31:E31"/>
    <mergeCell ref="D130:F130"/>
    <mergeCell ref="H100:J100"/>
    <mergeCell ref="H101:J101"/>
    <mergeCell ref="H102:J102"/>
    <mergeCell ref="B105:F105"/>
    <mergeCell ref="B112:F112"/>
    <mergeCell ref="C97:C99"/>
    <mergeCell ref="C101:C104"/>
    <mergeCell ref="C106:C108"/>
    <mergeCell ref="C110:C111"/>
    <mergeCell ref="C113:C114"/>
    <mergeCell ref="C84:C88"/>
    <mergeCell ref="B89:F89"/>
    <mergeCell ref="B96:F96"/>
    <mergeCell ref="H96:J96"/>
    <mergeCell ref="C90:C92"/>
    <mergeCell ref="C94:C95"/>
    <mergeCell ref="H68:M68"/>
    <mergeCell ref="H69:J69"/>
    <mergeCell ref="K69:M69"/>
    <mergeCell ref="H92:J92"/>
    <mergeCell ref="K92:M92"/>
    <mergeCell ref="H77:M88"/>
    <mergeCell ref="N92:P92"/>
    <mergeCell ref="Q92:V92"/>
    <mergeCell ref="H93:J93"/>
    <mergeCell ref="Q93:V93"/>
    <mergeCell ref="Q98:V98"/>
    <mergeCell ref="H98:J98"/>
    <mergeCell ref="Q99:V99"/>
    <mergeCell ref="Q100:V100"/>
    <mergeCell ref="Q101:V101"/>
    <mergeCell ref="Q102:V102"/>
    <mergeCell ref="H94:J94"/>
    <mergeCell ref="H95:J95"/>
    <mergeCell ref="Q95:V95"/>
    <mergeCell ref="Q96:V96"/>
    <mergeCell ref="Q97:V97"/>
    <mergeCell ref="Q94:V94"/>
    <mergeCell ref="H97:J97"/>
    <mergeCell ref="H99:J99"/>
  </mergeCells>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2:Z1000"/>
  <sheetViews>
    <sheetView workbookViewId="0"/>
  </sheetViews>
  <sheetFormatPr baseColWidth="10" defaultColWidth="12.625" defaultRowHeight="15" customHeight="1" x14ac:dyDescent="0.2"/>
  <cols>
    <col min="1" max="5" width="10" customWidth="1"/>
    <col min="6" max="6" width="9.625" customWidth="1"/>
    <col min="7" max="26" width="10" customWidth="1"/>
  </cols>
  <sheetData>
    <row r="2" spans="2:13" x14ac:dyDescent="0.25">
      <c r="B2" s="28" t="s">
        <v>508</v>
      </c>
      <c r="C2" s="28"/>
      <c r="D2" s="28"/>
      <c r="E2" s="28"/>
      <c r="F2" s="28"/>
      <c r="G2" s="28"/>
      <c r="H2" s="28"/>
      <c r="I2" s="28"/>
      <c r="J2" s="28"/>
      <c r="K2" s="28"/>
      <c r="L2" s="28"/>
    </row>
    <row r="3" spans="2:13" x14ac:dyDescent="0.25">
      <c r="B3" s="28"/>
      <c r="C3" s="23"/>
      <c r="D3" s="23"/>
      <c r="E3" s="23"/>
      <c r="F3" s="23"/>
      <c r="G3" s="23"/>
      <c r="H3" s="28"/>
      <c r="I3" s="28"/>
      <c r="J3" s="28"/>
      <c r="K3" s="28"/>
      <c r="L3" s="28"/>
    </row>
    <row r="4" spans="2:13" ht="36" x14ac:dyDescent="0.2">
      <c r="B4" s="4" t="s">
        <v>0</v>
      </c>
      <c r="C4" s="5" t="s">
        <v>1</v>
      </c>
      <c r="D4" s="5" t="s">
        <v>42</v>
      </c>
      <c r="E4" s="5" t="s">
        <v>43</v>
      </c>
      <c r="F4" s="5" t="s">
        <v>44</v>
      </c>
      <c r="G4" s="7" t="s">
        <v>206</v>
      </c>
      <c r="I4" s="296" t="s">
        <v>45</v>
      </c>
      <c r="J4" s="297"/>
      <c r="K4" s="297"/>
      <c r="L4" s="298"/>
    </row>
    <row r="5" spans="2:13" ht="36.75" customHeight="1" x14ac:dyDescent="0.2">
      <c r="B5" s="310" t="s">
        <v>8</v>
      </c>
      <c r="C5" s="297"/>
      <c r="D5" s="297"/>
      <c r="E5" s="297"/>
      <c r="F5" s="297"/>
      <c r="G5" s="306"/>
      <c r="I5" s="305" t="s">
        <v>10</v>
      </c>
      <c r="J5" s="297"/>
      <c r="K5" s="297"/>
      <c r="L5" s="298"/>
    </row>
    <row r="6" spans="2:13" ht="15.75" customHeight="1" x14ac:dyDescent="0.2">
      <c r="B6" s="9" t="s">
        <v>11</v>
      </c>
      <c r="C6" s="12" t="s">
        <v>12</v>
      </c>
      <c r="D6" s="17">
        <v>800</v>
      </c>
      <c r="E6" s="22">
        <v>800</v>
      </c>
      <c r="F6" s="11">
        <v>860</v>
      </c>
      <c r="G6" s="110">
        <f>((E6-F6)/E6)</f>
        <v>-7.4999999999999997E-2</v>
      </c>
      <c r="I6" s="12"/>
      <c r="J6" s="12" t="s">
        <v>52</v>
      </c>
      <c r="K6" s="12" t="s">
        <v>53</v>
      </c>
      <c r="L6" s="12"/>
    </row>
    <row r="7" spans="2:13" ht="14.25" x14ac:dyDescent="0.2">
      <c r="B7" s="9" t="s">
        <v>11</v>
      </c>
      <c r="C7" s="12" t="s">
        <v>18</v>
      </c>
      <c r="D7" s="17">
        <v>0</v>
      </c>
      <c r="E7" s="22">
        <v>0</v>
      </c>
      <c r="F7" s="11">
        <v>0</v>
      </c>
      <c r="G7" s="110">
        <v>0</v>
      </c>
      <c r="I7" s="12" t="s">
        <v>12</v>
      </c>
      <c r="J7" s="17">
        <v>800</v>
      </c>
      <c r="K7" s="11">
        <v>860</v>
      </c>
      <c r="L7" s="17" t="s">
        <v>1201</v>
      </c>
    </row>
    <row r="8" spans="2:13" ht="25.5" x14ac:dyDescent="0.2">
      <c r="B8" s="9" t="s">
        <v>21</v>
      </c>
      <c r="C8" s="12" t="s">
        <v>59</v>
      </c>
      <c r="D8" s="17">
        <v>440</v>
      </c>
      <c r="E8" s="22">
        <v>532</v>
      </c>
      <c r="F8" s="11">
        <v>439</v>
      </c>
      <c r="G8" s="110">
        <f t="shared" ref="G8:G9" si="0">((E8-F8)/E8)</f>
        <v>0.17481203007518797</v>
      </c>
      <c r="I8" s="12" t="s">
        <v>18</v>
      </c>
      <c r="J8" s="17">
        <v>0</v>
      </c>
      <c r="K8" s="11">
        <v>0</v>
      </c>
      <c r="L8" s="17" t="s">
        <v>1202</v>
      </c>
    </row>
    <row r="9" spans="2:13" ht="25.5" x14ac:dyDescent="0.2">
      <c r="B9" s="9" t="s">
        <v>21</v>
      </c>
      <c r="C9" s="12" t="s">
        <v>63</v>
      </c>
      <c r="D9" s="17">
        <v>160</v>
      </c>
      <c r="E9" s="22">
        <v>204</v>
      </c>
      <c r="F9" s="11">
        <v>155</v>
      </c>
      <c r="G9" s="110">
        <f t="shared" si="0"/>
        <v>0.24019607843137256</v>
      </c>
      <c r="I9" s="305" t="s">
        <v>23</v>
      </c>
      <c r="J9" s="297"/>
      <c r="K9" s="297"/>
      <c r="L9" s="298"/>
    </row>
    <row r="10" spans="2:13" ht="14.25" x14ac:dyDescent="0.2">
      <c r="B10" s="310" t="s">
        <v>29</v>
      </c>
      <c r="C10" s="297"/>
      <c r="D10" s="297"/>
      <c r="E10" s="297"/>
      <c r="F10" s="297"/>
      <c r="G10" s="306"/>
      <c r="I10" s="12" t="s">
        <v>12</v>
      </c>
      <c r="J10" s="17">
        <v>780</v>
      </c>
      <c r="K10" s="11">
        <v>810</v>
      </c>
      <c r="L10" s="17" t="s">
        <v>1203</v>
      </c>
    </row>
    <row r="11" spans="2:13" x14ac:dyDescent="0.25">
      <c r="B11" s="9" t="s">
        <v>11</v>
      </c>
      <c r="C11" s="12" t="s">
        <v>12</v>
      </c>
      <c r="D11" s="17">
        <v>800</v>
      </c>
      <c r="E11" s="22">
        <v>780</v>
      </c>
      <c r="F11" s="22">
        <v>810</v>
      </c>
      <c r="G11" s="110">
        <f>((E11-F11)/E11)</f>
        <v>-3.8461538461538464E-2</v>
      </c>
      <c r="I11" s="12" t="s">
        <v>18</v>
      </c>
      <c r="J11" s="17">
        <v>0</v>
      </c>
      <c r="K11" s="11">
        <v>0</v>
      </c>
      <c r="L11" s="17" t="s">
        <v>1204</v>
      </c>
      <c r="M11" s="28"/>
    </row>
    <row r="12" spans="2:13" ht="14.25" x14ac:dyDescent="0.2">
      <c r="B12" s="9" t="s">
        <v>11</v>
      </c>
      <c r="C12" s="12" t="s">
        <v>18</v>
      </c>
      <c r="D12" s="17">
        <v>0</v>
      </c>
      <c r="E12" s="22">
        <v>0</v>
      </c>
      <c r="F12" s="22">
        <v>0</v>
      </c>
      <c r="G12" s="110">
        <v>0</v>
      </c>
    </row>
    <row r="13" spans="2:13" ht="25.5" x14ac:dyDescent="0.2">
      <c r="B13" s="9" t="s">
        <v>21</v>
      </c>
      <c r="C13" s="12" t="s">
        <v>59</v>
      </c>
      <c r="D13" s="17">
        <v>405</v>
      </c>
      <c r="E13" s="22">
        <v>499</v>
      </c>
      <c r="F13" s="22">
        <v>406</v>
      </c>
      <c r="G13" s="110">
        <f t="shared" ref="G13:G14" si="1">((E13-F13)/E13)</f>
        <v>0.18637274549098196</v>
      </c>
    </row>
    <row r="14" spans="2:13" ht="25.5" x14ac:dyDescent="0.2">
      <c r="B14" s="9" t="s">
        <v>21</v>
      </c>
      <c r="C14" s="12" t="s">
        <v>63</v>
      </c>
      <c r="D14" s="17">
        <v>120</v>
      </c>
      <c r="E14" s="22">
        <v>197</v>
      </c>
      <c r="F14" s="22">
        <v>126</v>
      </c>
      <c r="G14" s="110">
        <f t="shared" si="1"/>
        <v>0.3604060913705584</v>
      </c>
    </row>
    <row r="15" spans="2:13" x14ac:dyDescent="0.2">
      <c r="C15" s="2"/>
      <c r="D15" s="1"/>
    </row>
    <row r="18" spans="2:13" x14ac:dyDescent="0.25">
      <c r="B18" s="21" t="s">
        <v>1205</v>
      </c>
    </row>
    <row r="19" spans="2:13" x14ac:dyDescent="0.25">
      <c r="B19" s="304" t="s">
        <v>662</v>
      </c>
      <c r="C19" s="297"/>
      <c r="D19" s="297"/>
      <c r="E19" s="297"/>
      <c r="F19" s="154"/>
      <c r="I19" s="3"/>
    </row>
    <row r="20" spans="2:13" ht="24" x14ac:dyDescent="0.2">
      <c r="B20" s="4" t="s">
        <v>0</v>
      </c>
      <c r="C20" s="5" t="s">
        <v>1</v>
      </c>
      <c r="D20" s="5" t="s">
        <v>2</v>
      </c>
      <c r="E20" s="5" t="s">
        <v>43</v>
      </c>
      <c r="F20" s="45" t="s">
        <v>125</v>
      </c>
      <c r="H20" s="296" t="s">
        <v>6</v>
      </c>
      <c r="I20" s="297"/>
      <c r="J20" s="297"/>
      <c r="K20" s="297"/>
      <c r="L20" s="297"/>
      <c r="M20" s="298"/>
    </row>
    <row r="21" spans="2:13" ht="15.75" customHeight="1" x14ac:dyDescent="0.2">
      <c r="B21" s="9" t="s">
        <v>7</v>
      </c>
      <c r="C21" s="302" t="s">
        <v>9</v>
      </c>
      <c r="D21" s="11">
        <v>28.1</v>
      </c>
      <c r="E21" s="11">
        <v>38</v>
      </c>
      <c r="F21" s="11">
        <v>41</v>
      </c>
      <c r="H21" s="296" t="s">
        <v>106</v>
      </c>
      <c r="I21" s="297"/>
      <c r="J21" s="298"/>
      <c r="K21" s="296" t="s">
        <v>107</v>
      </c>
      <c r="L21" s="297"/>
      <c r="M21" s="298"/>
    </row>
    <row r="22" spans="2:13" ht="15.75" customHeight="1" x14ac:dyDescent="0.2">
      <c r="B22" s="9" t="s">
        <v>17</v>
      </c>
      <c r="C22" s="300"/>
      <c r="D22" s="11">
        <v>63.911000000000001</v>
      </c>
      <c r="E22" s="11">
        <v>32</v>
      </c>
      <c r="F22" s="11">
        <v>60</v>
      </c>
      <c r="H22" s="13" t="s">
        <v>13</v>
      </c>
      <c r="I22" s="39">
        <f>I24+(I24*0.05)</f>
        <v>687.75</v>
      </c>
      <c r="J22" s="17" t="s">
        <v>1206</v>
      </c>
      <c r="K22" s="13" t="s">
        <v>13</v>
      </c>
      <c r="L22" s="39">
        <f>L24+L24*0.05</f>
        <v>693</v>
      </c>
      <c r="M22" s="17" t="s">
        <v>1207</v>
      </c>
    </row>
    <row r="23" spans="2:13" ht="15.75" customHeight="1" x14ac:dyDescent="0.2">
      <c r="B23" s="9" t="s">
        <v>26</v>
      </c>
      <c r="C23" s="300"/>
      <c r="D23" s="11">
        <v>69.921999999999997</v>
      </c>
      <c r="E23" s="11">
        <v>23</v>
      </c>
      <c r="F23" s="11">
        <v>50</v>
      </c>
      <c r="H23" s="13" t="s">
        <v>19</v>
      </c>
      <c r="I23" s="40">
        <f>I24-(I24*0.05)</f>
        <v>622.25</v>
      </c>
      <c r="J23" s="17" t="s">
        <v>1208</v>
      </c>
      <c r="K23" s="13" t="s">
        <v>19</v>
      </c>
      <c r="L23" s="40">
        <f>L24-L24*0.05</f>
        <v>627</v>
      </c>
      <c r="M23" s="17" t="s">
        <v>1210</v>
      </c>
    </row>
    <row r="24" spans="2:13" ht="15.75" customHeight="1" x14ac:dyDescent="0.2">
      <c r="B24" s="9" t="s">
        <v>32</v>
      </c>
      <c r="C24" s="300"/>
      <c r="D24" s="11">
        <v>96.744</v>
      </c>
      <c r="E24" s="11">
        <v>83</v>
      </c>
      <c r="F24" s="11">
        <v>92</v>
      </c>
      <c r="H24" s="13" t="s">
        <v>27</v>
      </c>
      <c r="I24" s="20">
        <v>655</v>
      </c>
      <c r="J24" s="17" t="s">
        <v>1211</v>
      </c>
      <c r="K24" s="13" t="s">
        <v>27</v>
      </c>
      <c r="L24" s="20">
        <v>660</v>
      </c>
      <c r="M24" s="17" t="s">
        <v>1213</v>
      </c>
    </row>
    <row r="25" spans="2:13" ht="15.75" customHeight="1" x14ac:dyDescent="0.2">
      <c r="B25" s="9" t="s">
        <v>33</v>
      </c>
      <c r="C25" s="301"/>
      <c r="D25" s="11">
        <v>128.11000000000001</v>
      </c>
      <c r="E25" s="11">
        <v>124</v>
      </c>
      <c r="F25" s="11">
        <v>124</v>
      </c>
      <c r="H25" s="13" t="s">
        <v>121</v>
      </c>
      <c r="I25" s="20">
        <v>630</v>
      </c>
      <c r="J25" s="17" t="s">
        <v>1214</v>
      </c>
      <c r="K25" s="13" t="s">
        <v>121</v>
      </c>
      <c r="L25" s="20">
        <v>660</v>
      </c>
      <c r="M25" s="17" t="s">
        <v>1215</v>
      </c>
    </row>
    <row r="26" spans="2:13" ht="15.75" customHeight="1" x14ac:dyDescent="0.25">
      <c r="B26" s="296"/>
      <c r="C26" s="297"/>
      <c r="D26" s="297"/>
      <c r="E26" s="297"/>
      <c r="F26" s="11"/>
      <c r="I26" s="3"/>
    </row>
    <row r="27" spans="2:13" ht="15.75" customHeight="1" x14ac:dyDescent="0.25">
      <c r="B27" s="9" t="s">
        <v>35</v>
      </c>
      <c r="C27" s="302" t="s">
        <v>36</v>
      </c>
      <c r="D27" s="11">
        <v>207.78</v>
      </c>
      <c r="E27" s="11">
        <v>207</v>
      </c>
      <c r="F27" s="11">
        <v>192</v>
      </c>
      <c r="I27" s="3"/>
    </row>
    <row r="28" spans="2:13" ht="15.75" customHeight="1" x14ac:dyDescent="0.25">
      <c r="B28" s="9" t="s">
        <v>37</v>
      </c>
      <c r="C28" s="300"/>
      <c r="D28" s="11">
        <v>444.11</v>
      </c>
      <c r="E28" s="11">
        <v>203</v>
      </c>
      <c r="F28" s="11">
        <v>417</v>
      </c>
      <c r="I28" s="3"/>
    </row>
    <row r="29" spans="2:13" ht="15.75" customHeight="1" x14ac:dyDescent="0.25">
      <c r="B29" s="9" t="s">
        <v>38</v>
      </c>
      <c r="C29" s="300"/>
      <c r="D29" s="11">
        <v>579.55999999999995</v>
      </c>
      <c r="E29" s="11">
        <v>475</v>
      </c>
      <c r="F29" s="11">
        <v>550</v>
      </c>
      <c r="I29" s="3"/>
    </row>
    <row r="30" spans="2:13" ht="15.75" customHeight="1" x14ac:dyDescent="0.25">
      <c r="B30" s="9" t="s">
        <v>39</v>
      </c>
      <c r="C30" s="300"/>
      <c r="D30" s="11">
        <v>746.22</v>
      </c>
      <c r="E30" s="11">
        <v>682</v>
      </c>
      <c r="F30" s="11">
        <v>700</v>
      </c>
      <c r="I30" s="3"/>
    </row>
    <row r="31" spans="2:13" ht="15.75" customHeight="1" x14ac:dyDescent="0.25">
      <c r="B31" s="49" t="s">
        <v>41</v>
      </c>
      <c r="C31" s="300"/>
      <c r="D31" s="51">
        <v>869.5</v>
      </c>
      <c r="E31" s="51">
        <v>694</v>
      </c>
      <c r="F31" s="51">
        <v>790</v>
      </c>
      <c r="I31" s="3"/>
    </row>
    <row r="32" spans="2:13" ht="15.75" customHeight="1" x14ac:dyDescent="0.25">
      <c r="B32" s="308"/>
      <c r="C32" s="297"/>
      <c r="D32" s="297"/>
      <c r="E32" s="297"/>
      <c r="F32" s="306"/>
      <c r="I32" s="3"/>
    </row>
    <row r="33" spans="2:9" ht="15.75" customHeight="1" x14ac:dyDescent="0.25">
      <c r="B33" s="9" t="s">
        <v>46</v>
      </c>
      <c r="C33" s="299" t="s">
        <v>47</v>
      </c>
      <c r="D33" s="11">
        <v>88.4</v>
      </c>
      <c r="E33" s="11">
        <v>110</v>
      </c>
      <c r="F33" s="11">
        <v>98</v>
      </c>
      <c r="I33" s="3"/>
    </row>
    <row r="34" spans="2:9" ht="15.75" customHeight="1" x14ac:dyDescent="0.25">
      <c r="B34" s="9" t="s">
        <v>48</v>
      </c>
      <c r="C34" s="300"/>
      <c r="D34" s="11">
        <v>94.6</v>
      </c>
      <c r="E34" s="11">
        <v>108</v>
      </c>
      <c r="F34" s="11">
        <v>112</v>
      </c>
      <c r="I34" s="3"/>
    </row>
    <row r="35" spans="2:9" ht="15.75" customHeight="1" x14ac:dyDescent="0.25">
      <c r="B35" s="296"/>
      <c r="C35" s="297"/>
      <c r="D35" s="297"/>
      <c r="E35" s="297"/>
      <c r="F35" s="11"/>
      <c r="I35" s="3"/>
    </row>
    <row r="36" spans="2:9" ht="15.75" customHeight="1" x14ac:dyDescent="0.25">
      <c r="B36" s="9" t="s">
        <v>50</v>
      </c>
      <c r="C36" s="302" t="s">
        <v>51</v>
      </c>
      <c r="D36" s="11">
        <v>271.44400000000002</v>
      </c>
      <c r="E36" s="11">
        <v>302</v>
      </c>
      <c r="F36" s="11">
        <v>309</v>
      </c>
      <c r="I36" s="3"/>
    </row>
    <row r="37" spans="2:9" ht="15.75" customHeight="1" x14ac:dyDescent="0.25">
      <c r="B37" s="9" t="s">
        <v>54</v>
      </c>
      <c r="C37" s="300"/>
      <c r="D37" s="11">
        <v>550.22199999999998</v>
      </c>
      <c r="E37" s="11">
        <v>264</v>
      </c>
      <c r="F37" s="11">
        <v>247</v>
      </c>
      <c r="I37" s="3"/>
    </row>
    <row r="38" spans="2:9" ht="15.75" customHeight="1" x14ac:dyDescent="0.25">
      <c r="B38" s="9" t="s">
        <v>55</v>
      </c>
      <c r="C38" s="300"/>
      <c r="D38" s="11">
        <v>609</v>
      </c>
      <c r="E38" s="11">
        <v>621</v>
      </c>
      <c r="F38" s="11">
        <v>652</v>
      </c>
      <c r="I38" s="3"/>
    </row>
    <row r="39" spans="2:9" ht="15.75" customHeight="1" x14ac:dyDescent="0.25">
      <c r="B39" s="9" t="s">
        <v>56</v>
      </c>
      <c r="C39" s="300"/>
      <c r="D39" s="11">
        <v>739.11099999999999</v>
      </c>
      <c r="E39" s="11">
        <v>728</v>
      </c>
      <c r="F39" s="11">
        <v>731</v>
      </c>
      <c r="I39" s="3"/>
    </row>
    <row r="40" spans="2:9" ht="15.75" customHeight="1" x14ac:dyDescent="0.25">
      <c r="B40" s="49" t="s">
        <v>57</v>
      </c>
      <c r="C40" s="300"/>
      <c r="D40" s="51">
        <v>746.88900000000001</v>
      </c>
      <c r="E40" s="51">
        <v>337</v>
      </c>
      <c r="F40" s="51">
        <v>614</v>
      </c>
      <c r="I40" s="3"/>
    </row>
    <row r="41" spans="2:9" ht="15.75" customHeight="1" x14ac:dyDescent="0.25">
      <c r="B41" s="308"/>
      <c r="C41" s="297"/>
      <c r="D41" s="297"/>
      <c r="E41" s="297"/>
      <c r="F41" s="306"/>
      <c r="I41" s="3"/>
    </row>
    <row r="42" spans="2:9" ht="15.75" customHeight="1" x14ac:dyDescent="0.25">
      <c r="B42" s="9" t="s">
        <v>60</v>
      </c>
      <c r="C42" s="299" t="s">
        <v>62</v>
      </c>
      <c r="D42" s="11">
        <v>19.36</v>
      </c>
      <c r="E42" s="11">
        <v>17</v>
      </c>
      <c r="F42" s="11">
        <v>19</v>
      </c>
      <c r="I42" s="3"/>
    </row>
    <row r="43" spans="2:9" ht="15.75" customHeight="1" x14ac:dyDescent="0.25">
      <c r="B43" s="9" t="s">
        <v>64</v>
      </c>
      <c r="C43" s="300"/>
      <c r="D43" s="11">
        <v>33.31</v>
      </c>
      <c r="E43" s="11">
        <v>21</v>
      </c>
      <c r="F43" s="11">
        <v>29</v>
      </c>
      <c r="I43" s="3"/>
    </row>
    <row r="44" spans="2:9" ht="15.75" customHeight="1" x14ac:dyDescent="0.25">
      <c r="B44" s="9" t="s">
        <v>65</v>
      </c>
      <c r="C44" s="301"/>
      <c r="D44" s="11">
        <v>41.74</v>
      </c>
      <c r="E44" s="11">
        <v>13</v>
      </c>
      <c r="F44" s="11">
        <v>38</v>
      </c>
      <c r="I44" s="3"/>
    </row>
    <row r="45" spans="2:9" ht="15.75" customHeight="1" x14ac:dyDescent="0.25">
      <c r="B45" s="296"/>
      <c r="C45" s="297"/>
      <c r="D45" s="297"/>
      <c r="E45" s="297"/>
      <c r="F45" s="11"/>
      <c r="I45" s="3"/>
    </row>
    <row r="46" spans="2:9" ht="15.75" customHeight="1" x14ac:dyDescent="0.25">
      <c r="B46" s="9" t="s">
        <v>66</v>
      </c>
      <c r="C46" s="302" t="s">
        <v>68</v>
      </c>
      <c r="D46" s="11">
        <v>204.5</v>
      </c>
      <c r="E46" s="11">
        <v>217</v>
      </c>
      <c r="F46" s="11">
        <v>230</v>
      </c>
      <c r="I46" s="3"/>
    </row>
    <row r="47" spans="2:9" ht="15.75" customHeight="1" x14ac:dyDescent="0.25">
      <c r="B47" s="49" t="s">
        <v>69</v>
      </c>
      <c r="C47" s="300"/>
      <c r="D47" s="51">
        <v>277.7</v>
      </c>
      <c r="E47" s="51">
        <v>274</v>
      </c>
      <c r="F47" s="51">
        <v>295</v>
      </c>
      <c r="I47" s="3"/>
    </row>
    <row r="48" spans="2:9" ht="15.75" customHeight="1" x14ac:dyDescent="0.25">
      <c r="B48" s="305"/>
      <c r="C48" s="297"/>
      <c r="D48" s="297"/>
      <c r="E48" s="297"/>
      <c r="F48" s="306"/>
      <c r="I48" s="3"/>
    </row>
    <row r="49" spans="2:9" ht="15.75" customHeight="1" x14ac:dyDescent="0.25">
      <c r="B49" s="9" t="s">
        <v>69</v>
      </c>
      <c r="C49" s="299" t="s">
        <v>71</v>
      </c>
      <c r="D49" s="11">
        <v>10.283300000000001</v>
      </c>
      <c r="E49" s="11">
        <v>16</v>
      </c>
      <c r="F49" s="11">
        <v>16</v>
      </c>
      <c r="I49" s="3"/>
    </row>
    <row r="50" spans="2:9" ht="15.75" customHeight="1" x14ac:dyDescent="0.25">
      <c r="B50" s="9" t="s">
        <v>72</v>
      </c>
      <c r="C50" s="300"/>
      <c r="D50" s="11">
        <v>11.8833</v>
      </c>
      <c r="E50" s="11">
        <v>17</v>
      </c>
      <c r="F50" s="11">
        <v>19</v>
      </c>
      <c r="I50" s="3"/>
    </row>
    <row r="51" spans="2:9" ht="15.75" customHeight="1" x14ac:dyDescent="0.25">
      <c r="B51" s="9" t="s">
        <v>73</v>
      </c>
      <c r="C51" s="301"/>
      <c r="D51" s="11">
        <v>17.433299999999999</v>
      </c>
      <c r="E51" s="11">
        <v>20</v>
      </c>
      <c r="F51" s="11">
        <v>23</v>
      </c>
      <c r="I51" s="3"/>
    </row>
    <row r="52" spans="2:9" ht="15.75" customHeight="1" x14ac:dyDescent="0.25">
      <c r="B52" s="296"/>
      <c r="C52" s="297"/>
      <c r="D52" s="297"/>
      <c r="E52" s="297"/>
      <c r="F52" s="11"/>
      <c r="I52" s="3"/>
    </row>
    <row r="53" spans="2:9" ht="15.75" customHeight="1" x14ac:dyDescent="0.25">
      <c r="B53" s="9" t="s">
        <v>76</v>
      </c>
      <c r="C53" s="302" t="s">
        <v>77</v>
      </c>
      <c r="D53" s="11">
        <v>117.467</v>
      </c>
      <c r="E53" s="11">
        <v>137</v>
      </c>
      <c r="F53" s="11">
        <v>205</v>
      </c>
      <c r="I53" s="3"/>
    </row>
    <row r="54" spans="2:9" ht="15.75" customHeight="1" x14ac:dyDescent="0.25">
      <c r="B54" s="9" t="s">
        <v>78</v>
      </c>
      <c r="C54" s="300"/>
      <c r="D54" s="11">
        <v>187.833</v>
      </c>
      <c r="E54" s="11">
        <v>140</v>
      </c>
      <c r="F54" s="11">
        <v>126</v>
      </c>
      <c r="I54" s="3"/>
    </row>
    <row r="55" spans="2:9" ht="15.75" customHeight="1" x14ac:dyDescent="0.25">
      <c r="B55" s="9" t="s">
        <v>79</v>
      </c>
      <c r="C55" s="300"/>
      <c r="D55" s="11">
        <v>218.333</v>
      </c>
      <c r="E55" s="11">
        <v>179</v>
      </c>
      <c r="F55" s="11">
        <v>252</v>
      </c>
      <c r="I55" s="3"/>
    </row>
    <row r="56" spans="2:9" ht="15.75" customHeight="1" x14ac:dyDescent="0.25">
      <c r="B56" s="49" t="s">
        <v>80</v>
      </c>
      <c r="C56" s="300"/>
      <c r="D56" s="51">
        <v>238.5</v>
      </c>
      <c r="E56" s="51">
        <v>118</v>
      </c>
      <c r="F56" s="51">
        <v>100</v>
      </c>
      <c r="I56" s="3"/>
    </row>
    <row r="57" spans="2:9" ht="15.75" customHeight="1" x14ac:dyDescent="0.25">
      <c r="B57" s="305"/>
      <c r="C57" s="297"/>
      <c r="D57" s="297"/>
      <c r="E57" s="297"/>
      <c r="F57" s="306"/>
      <c r="I57" s="3"/>
    </row>
    <row r="58" spans="2:9" ht="15.75" customHeight="1" x14ac:dyDescent="0.25">
      <c r="B58" s="9" t="s">
        <v>81</v>
      </c>
      <c r="C58" s="299" t="s">
        <v>82</v>
      </c>
      <c r="D58" s="11">
        <v>2</v>
      </c>
      <c r="E58" s="11">
        <v>7</v>
      </c>
      <c r="F58" s="11">
        <v>7</v>
      </c>
      <c r="I58" s="3"/>
    </row>
    <row r="59" spans="2:9" ht="15.75" customHeight="1" x14ac:dyDescent="0.25">
      <c r="B59" s="9" t="s">
        <v>83</v>
      </c>
      <c r="C59" s="300"/>
      <c r="D59" s="11">
        <v>7.133</v>
      </c>
      <c r="E59" s="11">
        <v>11</v>
      </c>
      <c r="F59" s="11">
        <v>15</v>
      </c>
      <c r="I59" s="3"/>
    </row>
    <row r="60" spans="2:9" ht="15.75" customHeight="1" x14ac:dyDescent="0.25">
      <c r="B60" s="9" t="s">
        <v>84</v>
      </c>
      <c r="C60" s="301"/>
      <c r="D60" s="11">
        <v>10.72</v>
      </c>
      <c r="E60" s="11">
        <v>6</v>
      </c>
      <c r="F60" s="11">
        <v>7</v>
      </c>
      <c r="I60" s="3"/>
    </row>
    <row r="61" spans="2:9" ht="15.75" customHeight="1" x14ac:dyDescent="0.25">
      <c r="B61" s="296"/>
      <c r="C61" s="297"/>
      <c r="D61" s="297"/>
      <c r="E61" s="297"/>
      <c r="F61" s="11"/>
      <c r="I61" s="3"/>
    </row>
    <row r="62" spans="2:9" ht="15.75" customHeight="1" x14ac:dyDescent="0.25">
      <c r="B62" s="9" t="s">
        <v>86</v>
      </c>
      <c r="C62" s="302" t="s">
        <v>87</v>
      </c>
      <c r="D62" s="11">
        <v>20.466999999999999</v>
      </c>
      <c r="E62" s="11">
        <v>23</v>
      </c>
      <c r="F62" s="11">
        <v>24</v>
      </c>
      <c r="I62" s="3"/>
    </row>
    <row r="63" spans="2:9" ht="15.75" customHeight="1" x14ac:dyDescent="0.25">
      <c r="B63" s="49" t="s">
        <v>88</v>
      </c>
      <c r="C63" s="300"/>
      <c r="D63" s="51">
        <v>20.367000000000001</v>
      </c>
      <c r="E63" s="51">
        <v>22</v>
      </c>
      <c r="F63" s="51">
        <v>23</v>
      </c>
      <c r="I63" s="3"/>
    </row>
    <row r="64" spans="2:9" ht="15.75" customHeight="1" x14ac:dyDescent="0.25">
      <c r="B64" s="305"/>
      <c r="C64" s="297"/>
      <c r="D64" s="297"/>
      <c r="E64" s="297"/>
      <c r="F64" s="306"/>
      <c r="I64" s="3"/>
    </row>
    <row r="65" spans="1:24" ht="15.75" customHeight="1" x14ac:dyDescent="0.25">
      <c r="B65" s="9" t="s">
        <v>89</v>
      </c>
      <c r="C65" s="299" t="s">
        <v>90</v>
      </c>
      <c r="D65" s="11">
        <v>5.15</v>
      </c>
      <c r="E65" s="11">
        <v>17</v>
      </c>
      <c r="F65" s="11">
        <v>18</v>
      </c>
      <c r="I65" s="3"/>
    </row>
    <row r="66" spans="1:24" ht="15.75" customHeight="1" x14ac:dyDescent="0.25">
      <c r="B66" s="49" t="s">
        <v>91</v>
      </c>
      <c r="C66" s="300"/>
      <c r="D66" s="51">
        <v>16.2</v>
      </c>
      <c r="E66" s="51">
        <v>16</v>
      </c>
      <c r="F66" s="51">
        <v>17</v>
      </c>
      <c r="I66" s="3"/>
    </row>
    <row r="67" spans="1:24" ht="15.75" customHeight="1" x14ac:dyDescent="0.25">
      <c r="B67" s="296"/>
      <c r="C67" s="297"/>
      <c r="D67" s="297"/>
      <c r="E67" s="297"/>
      <c r="F67" s="298"/>
      <c r="I67" s="3"/>
    </row>
    <row r="68" spans="1:24" ht="15.75" customHeight="1" x14ac:dyDescent="0.25">
      <c r="B68" s="9" t="s">
        <v>94</v>
      </c>
      <c r="C68" s="299" t="s">
        <v>95</v>
      </c>
      <c r="D68" s="11">
        <v>50.082999999999998</v>
      </c>
      <c r="E68" s="11">
        <v>54</v>
      </c>
      <c r="F68" s="11">
        <v>55</v>
      </c>
      <c r="I68" s="3"/>
    </row>
    <row r="69" spans="1:24" ht="15.75" customHeight="1" x14ac:dyDescent="0.25">
      <c r="B69" s="9" t="s">
        <v>96</v>
      </c>
      <c r="C69" s="300"/>
      <c r="D69" s="11">
        <v>93.992999999999995</v>
      </c>
      <c r="E69" s="11">
        <v>55</v>
      </c>
      <c r="F69" s="11">
        <v>49</v>
      </c>
      <c r="I69" s="3"/>
    </row>
    <row r="70" spans="1:24" ht="15.75" customHeight="1" x14ac:dyDescent="0.25">
      <c r="B70" s="9" t="s">
        <v>97</v>
      </c>
      <c r="C70" s="300"/>
      <c r="D70" s="11">
        <v>95.516999999999996</v>
      </c>
      <c r="E70" s="11">
        <v>48</v>
      </c>
      <c r="F70" s="11">
        <v>51</v>
      </c>
      <c r="I70" s="3"/>
    </row>
    <row r="71" spans="1:24" ht="15.75" customHeight="1" x14ac:dyDescent="0.25">
      <c r="B71" s="9" t="s">
        <v>98</v>
      </c>
      <c r="C71" s="300"/>
      <c r="D71" s="11">
        <v>100.92</v>
      </c>
      <c r="E71" s="11">
        <v>55</v>
      </c>
      <c r="F71" s="11">
        <v>117</v>
      </c>
      <c r="I71" s="3"/>
    </row>
    <row r="72" spans="1:24" ht="15.75" customHeight="1" x14ac:dyDescent="0.25">
      <c r="B72" s="9" t="s">
        <v>99</v>
      </c>
      <c r="C72" s="301"/>
      <c r="D72" s="11">
        <v>115.37</v>
      </c>
      <c r="E72" s="11">
        <v>114</v>
      </c>
      <c r="F72" s="11">
        <v>116</v>
      </c>
      <c r="I72" s="3"/>
    </row>
    <row r="73" spans="1:24" ht="15.75" customHeight="1" x14ac:dyDescent="0.25">
      <c r="B73" s="1"/>
      <c r="C73" s="1"/>
      <c r="D73" s="2"/>
      <c r="E73" s="2"/>
      <c r="F73" s="146"/>
      <c r="I73" s="3"/>
    </row>
    <row r="74" spans="1:24" ht="15.75" customHeight="1" x14ac:dyDescent="0.2"/>
    <row r="75" spans="1:24" ht="15.75" customHeight="1" x14ac:dyDescent="0.25">
      <c r="A75" s="29"/>
      <c r="B75" s="29"/>
      <c r="C75" s="29"/>
      <c r="D75" s="29"/>
      <c r="E75" s="29"/>
      <c r="F75" s="29"/>
      <c r="G75" s="29"/>
      <c r="H75" s="29"/>
      <c r="I75" s="29"/>
      <c r="J75" s="29"/>
      <c r="K75" s="29"/>
      <c r="L75" s="29"/>
      <c r="M75" s="29"/>
      <c r="N75" s="29"/>
      <c r="O75" s="29"/>
      <c r="P75" s="29"/>
      <c r="Q75" s="29"/>
      <c r="R75" s="29"/>
      <c r="S75" s="29"/>
      <c r="T75" s="29"/>
      <c r="U75" s="29"/>
      <c r="V75" s="29"/>
      <c r="W75" s="29"/>
      <c r="X75" s="29"/>
    </row>
    <row r="76" spans="1:24" ht="15.75" customHeight="1" x14ac:dyDescent="0.2"/>
    <row r="77" spans="1:24" ht="15.75" customHeight="1" x14ac:dyDescent="0.25">
      <c r="B77" s="28" t="s">
        <v>508</v>
      </c>
      <c r="C77" s="28"/>
      <c r="D77" s="28"/>
      <c r="E77" s="28"/>
      <c r="F77" s="28"/>
      <c r="G77" s="28"/>
      <c r="H77" s="28"/>
      <c r="I77" s="28"/>
      <c r="J77" s="28"/>
      <c r="K77" s="28"/>
      <c r="L77" s="28"/>
    </row>
    <row r="78" spans="1:24" ht="15.75" customHeight="1" x14ac:dyDescent="0.25">
      <c r="B78" s="28"/>
      <c r="C78" s="23"/>
      <c r="D78" s="23"/>
      <c r="E78" s="23"/>
      <c r="F78" s="23"/>
      <c r="G78" s="23"/>
      <c r="H78" s="28"/>
      <c r="I78" s="28"/>
      <c r="J78" s="28"/>
      <c r="K78" s="28"/>
      <c r="L78" s="28"/>
    </row>
    <row r="79" spans="1:24" ht="15.75" customHeight="1" x14ac:dyDescent="0.2">
      <c r="B79" s="4" t="s">
        <v>0</v>
      </c>
      <c r="C79" s="5" t="s">
        <v>1</v>
      </c>
      <c r="D79" s="5" t="s">
        <v>42</v>
      </c>
      <c r="E79" s="5" t="s">
        <v>43</v>
      </c>
      <c r="F79" s="5" t="s">
        <v>44</v>
      </c>
      <c r="G79" s="7" t="s">
        <v>206</v>
      </c>
      <c r="I79" s="296" t="s">
        <v>45</v>
      </c>
      <c r="J79" s="297"/>
      <c r="K79" s="297"/>
      <c r="L79" s="298"/>
      <c r="O79" s="324" t="s">
        <v>1219</v>
      </c>
      <c r="P79" s="315"/>
      <c r="Q79" s="315"/>
      <c r="R79" s="315"/>
      <c r="S79" s="315"/>
      <c r="T79" s="315"/>
    </row>
    <row r="80" spans="1:24" ht="15.75" customHeight="1" x14ac:dyDescent="0.2">
      <c r="B80" s="310" t="s">
        <v>8</v>
      </c>
      <c r="C80" s="297"/>
      <c r="D80" s="297"/>
      <c r="E80" s="297"/>
      <c r="F80" s="297"/>
      <c r="G80" s="306"/>
      <c r="I80" s="305" t="s">
        <v>10</v>
      </c>
      <c r="J80" s="297"/>
      <c r="K80" s="297"/>
      <c r="L80" s="298"/>
      <c r="O80" s="315"/>
      <c r="P80" s="315"/>
      <c r="Q80" s="315"/>
      <c r="R80" s="315"/>
      <c r="S80" s="315"/>
      <c r="T80" s="315"/>
    </row>
    <row r="81" spans="1:22" ht="15.75" customHeight="1" x14ac:dyDescent="0.2">
      <c r="B81" s="9" t="s">
        <v>11</v>
      </c>
      <c r="C81" s="12" t="s">
        <v>12</v>
      </c>
      <c r="D81" s="17">
        <v>860</v>
      </c>
      <c r="E81" s="22">
        <v>850</v>
      </c>
      <c r="F81" s="11">
        <v>911</v>
      </c>
      <c r="G81" s="110">
        <f>((E81-F81)/E81)</f>
        <v>-7.1764705882352939E-2</v>
      </c>
      <c r="I81" s="12"/>
      <c r="J81" s="12" t="s">
        <v>52</v>
      </c>
      <c r="K81" s="12" t="s">
        <v>53</v>
      </c>
      <c r="L81" s="12"/>
      <c r="O81" s="315"/>
      <c r="P81" s="315"/>
      <c r="Q81" s="315"/>
      <c r="R81" s="315"/>
      <c r="S81" s="315"/>
      <c r="T81" s="315"/>
    </row>
    <row r="82" spans="1:22" ht="15.75" customHeight="1" x14ac:dyDescent="0.2">
      <c r="B82" s="9" t="s">
        <v>11</v>
      </c>
      <c r="C82" s="12" t="s">
        <v>18</v>
      </c>
      <c r="D82" s="17">
        <v>0</v>
      </c>
      <c r="E82" s="22">
        <v>0</v>
      </c>
      <c r="F82" s="11">
        <v>0</v>
      </c>
      <c r="G82" s="110">
        <v>0</v>
      </c>
      <c r="I82" s="12" t="s">
        <v>12</v>
      </c>
      <c r="J82" s="17">
        <v>800</v>
      </c>
      <c r="K82" s="11">
        <v>910</v>
      </c>
      <c r="L82" s="17" t="s">
        <v>1220</v>
      </c>
      <c r="O82" s="315"/>
      <c r="P82" s="315"/>
      <c r="Q82" s="315"/>
      <c r="R82" s="315"/>
      <c r="S82" s="315"/>
      <c r="T82" s="315"/>
    </row>
    <row r="83" spans="1:22" ht="15.75" customHeight="1" x14ac:dyDescent="0.2">
      <c r="B83" s="9" t="s">
        <v>21</v>
      </c>
      <c r="C83" s="12" t="s">
        <v>59</v>
      </c>
      <c r="D83" s="17">
        <v>440</v>
      </c>
      <c r="E83" s="22">
        <v>533</v>
      </c>
      <c r="F83" s="11">
        <v>435</v>
      </c>
      <c r="G83" s="110">
        <f t="shared" ref="G83:G84" si="2">((E83-F83)/E83)</f>
        <v>0.18386491557223264</v>
      </c>
      <c r="I83" s="12" t="s">
        <v>18</v>
      </c>
      <c r="J83" s="17">
        <v>0</v>
      </c>
      <c r="K83" s="11">
        <v>0</v>
      </c>
      <c r="L83" s="17" t="s">
        <v>1221</v>
      </c>
      <c r="O83" s="315"/>
      <c r="P83" s="315"/>
      <c r="Q83" s="315"/>
      <c r="R83" s="315"/>
      <c r="S83" s="315"/>
      <c r="T83" s="315"/>
    </row>
    <row r="84" spans="1:22" ht="15.75" customHeight="1" x14ac:dyDescent="0.2">
      <c r="B84" s="9" t="s">
        <v>21</v>
      </c>
      <c r="C84" s="12" t="s">
        <v>63</v>
      </c>
      <c r="D84" s="17">
        <v>160</v>
      </c>
      <c r="E84" s="22">
        <v>186</v>
      </c>
      <c r="F84" s="11">
        <v>163</v>
      </c>
      <c r="G84" s="110">
        <f t="shared" si="2"/>
        <v>0.12365591397849462</v>
      </c>
      <c r="I84" s="305" t="s">
        <v>23</v>
      </c>
      <c r="J84" s="297"/>
      <c r="K84" s="297"/>
      <c r="L84" s="298"/>
      <c r="O84" s="315"/>
      <c r="P84" s="315"/>
      <c r="Q84" s="315"/>
      <c r="R84" s="315"/>
      <c r="S84" s="315"/>
      <c r="T84" s="315"/>
    </row>
    <row r="85" spans="1:22" ht="15.75" customHeight="1" x14ac:dyDescent="0.2">
      <c r="B85" s="310" t="s">
        <v>29</v>
      </c>
      <c r="C85" s="297"/>
      <c r="D85" s="297"/>
      <c r="E85" s="297"/>
      <c r="F85" s="297"/>
      <c r="G85" s="306"/>
      <c r="I85" s="12" t="s">
        <v>12</v>
      </c>
      <c r="J85" s="17">
        <v>780</v>
      </c>
      <c r="K85" s="11">
        <v>880</v>
      </c>
      <c r="L85" s="17" t="s">
        <v>1223</v>
      </c>
    </row>
    <row r="86" spans="1:22" ht="15.75" customHeight="1" x14ac:dyDescent="0.25">
      <c r="B86" s="9" t="s">
        <v>11</v>
      </c>
      <c r="C86" s="12" t="s">
        <v>12</v>
      </c>
      <c r="D86" s="17">
        <v>810</v>
      </c>
      <c r="E86" s="22">
        <v>800</v>
      </c>
      <c r="F86" s="22">
        <v>878</v>
      </c>
      <c r="G86" s="110">
        <f>((E86-F86)/E86)</f>
        <v>-9.7500000000000003E-2</v>
      </c>
      <c r="I86" s="12" t="s">
        <v>18</v>
      </c>
      <c r="J86" s="17">
        <v>0</v>
      </c>
      <c r="K86" s="11">
        <v>0</v>
      </c>
      <c r="L86" s="17" t="s">
        <v>1225</v>
      </c>
      <c r="M86" s="28"/>
    </row>
    <row r="87" spans="1:22" ht="15.75" customHeight="1" x14ac:dyDescent="0.2">
      <c r="B87" s="9" t="s">
        <v>11</v>
      </c>
      <c r="C87" s="12" t="s">
        <v>18</v>
      </c>
      <c r="D87" s="17">
        <v>0</v>
      </c>
      <c r="E87" s="22">
        <v>0</v>
      </c>
      <c r="F87" s="22">
        <v>0</v>
      </c>
      <c r="G87" s="110">
        <v>0</v>
      </c>
    </row>
    <row r="88" spans="1:22" ht="15.75" customHeight="1" x14ac:dyDescent="0.2">
      <c r="B88" s="9" t="s">
        <v>21</v>
      </c>
      <c r="C88" s="12" t="s">
        <v>59</v>
      </c>
      <c r="D88" s="17">
        <v>430</v>
      </c>
      <c r="E88" s="22">
        <v>491</v>
      </c>
      <c r="F88" s="22">
        <v>416</v>
      </c>
      <c r="G88" s="110">
        <f t="shared" ref="G88:G89" si="3">((E88-F88)/E88)</f>
        <v>0.15274949083503056</v>
      </c>
    </row>
    <row r="89" spans="1:22" ht="15.75" customHeight="1" x14ac:dyDescent="0.2">
      <c r="B89" s="9" t="s">
        <v>21</v>
      </c>
      <c r="C89" s="12" t="s">
        <v>63</v>
      </c>
      <c r="D89" s="17">
        <v>150</v>
      </c>
      <c r="E89" s="22">
        <v>156</v>
      </c>
      <c r="F89" s="22">
        <v>151</v>
      </c>
      <c r="G89" s="110">
        <f t="shared" si="3"/>
        <v>3.2051282051282048E-2</v>
      </c>
    </row>
    <row r="90" spans="1:22" ht="15.75" customHeight="1" x14ac:dyDescent="0.2">
      <c r="C90" s="2"/>
      <c r="D90" s="1"/>
    </row>
    <row r="91" spans="1:22" ht="15.75" customHeight="1" x14ac:dyDescent="0.2"/>
    <row r="92" spans="1:22" ht="15.75" customHeight="1" x14ac:dyDescent="0.2"/>
    <row r="93" spans="1:22" ht="15.75" customHeight="1" x14ac:dyDescent="0.25">
      <c r="A93" s="29"/>
      <c r="B93" s="29"/>
      <c r="C93" s="29"/>
      <c r="D93" s="29"/>
      <c r="E93" s="29"/>
      <c r="F93" s="29"/>
      <c r="G93" s="29"/>
      <c r="H93" s="29"/>
      <c r="I93" s="29"/>
      <c r="J93" s="29"/>
      <c r="K93" s="29"/>
      <c r="L93" s="29"/>
      <c r="M93" s="29"/>
      <c r="N93" s="29"/>
      <c r="O93" s="29"/>
      <c r="P93" s="29"/>
      <c r="Q93" s="29"/>
      <c r="R93" s="29"/>
      <c r="S93" s="29"/>
      <c r="T93" s="29"/>
      <c r="U93" s="29"/>
      <c r="V93" s="29"/>
    </row>
    <row r="94" spans="1:22" ht="15.75" customHeight="1" x14ac:dyDescent="0.2"/>
    <row r="95" spans="1:22" ht="15.75" customHeight="1" x14ac:dyDescent="0.25">
      <c r="B95" s="28" t="s">
        <v>1227</v>
      </c>
      <c r="C95" s="28"/>
      <c r="D95" s="28"/>
      <c r="E95" s="28"/>
      <c r="F95" s="28"/>
      <c r="G95" s="28"/>
      <c r="H95" s="28"/>
      <c r="I95" s="28"/>
      <c r="J95" s="28"/>
      <c r="K95" s="28"/>
      <c r="L95" s="28"/>
    </row>
    <row r="96" spans="1:22" ht="15.75" customHeight="1" x14ac:dyDescent="0.25">
      <c r="B96" s="28"/>
      <c r="C96" s="23"/>
      <c r="D96" s="23"/>
      <c r="E96" s="23"/>
      <c r="F96" s="23"/>
      <c r="G96" s="23"/>
      <c r="H96" s="28"/>
      <c r="I96" s="28"/>
      <c r="J96" s="28"/>
      <c r="K96" s="28"/>
      <c r="L96" s="28"/>
    </row>
    <row r="97" spans="1:22" ht="15.75" customHeight="1" x14ac:dyDescent="0.25">
      <c r="B97" s="4" t="s">
        <v>0</v>
      </c>
      <c r="C97" s="5" t="s">
        <v>1</v>
      </c>
      <c r="D97" s="5" t="s">
        <v>42</v>
      </c>
      <c r="E97" s="5" t="s">
        <v>43</v>
      </c>
      <c r="F97" s="5" t="s">
        <v>44</v>
      </c>
      <c r="G97" s="28"/>
      <c r="I97" s="296" t="s">
        <v>45</v>
      </c>
      <c r="J97" s="297"/>
      <c r="K97" s="297"/>
      <c r="L97" s="298"/>
      <c r="O97" s="324" t="s">
        <v>1228</v>
      </c>
      <c r="P97" s="315"/>
      <c r="Q97" s="315"/>
      <c r="R97" s="315"/>
      <c r="S97" s="315"/>
      <c r="T97" s="315"/>
    </row>
    <row r="98" spans="1:22" ht="15.75" customHeight="1" x14ac:dyDescent="0.25">
      <c r="B98" s="310" t="s">
        <v>8</v>
      </c>
      <c r="C98" s="297"/>
      <c r="D98" s="297"/>
      <c r="E98" s="297"/>
      <c r="F98" s="306"/>
      <c r="G98" s="28"/>
      <c r="I98" s="305" t="s">
        <v>10</v>
      </c>
      <c r="J98" s="297"/>
      <c r="K98" s="297"/>
      <c r="L98" s="298"/>
      <c r="O98" s="315"/>
      <c r="P98" s="315"/>
      <c r="Q98" s="315"/>
      <c r="R98" s="315"/>
      <c r="S98" s="315"/>
      <c r="T98" s="315"/>
    </row>
    <row r="99" spans="1:22" ht="15.75" customHeight="1" x14ac:dyDescent="0.25">
      <c r="B99" s="9" t="s">
        <v>11</v>
      </c>
      <c r="C99" s="12" t="s">
        <v>12</v>
      </c>
      <c r="D99" s="17"/>
      <c r="E99" s="22">
        <v>910</v>
      </c>
      <c r="F99" s="11">
        <v>600</v>
      </c>
      <c r="G99" s="28"/>
      <c r="I99" s="12"/>
      <c r="J99" s="12" t="s">
        <v>52</v>
      </c>
      <c r="K99" s="12" t="s">
        <v>53</v>
      </c>
      <c r="L99" s="12"/>
      <c r="O99" s="315"/>
      <c r="P99" s="315"/>
      <c r="Q99" s="315"/>
      <c r="R99" s="315"/>
      <c r="S99" s="315"/>
      <c r="T99" s="315"/>
    </row>
    <row r="100" spans="1:22" ht="15.75" customHeight="1" x14ac:dyDescent="0.25">
      <c r="B100" s="9" t="s">
        <v>11</v>
      </c>
      <c r="C100" s="12" t="s">
        <v>18</v>
      </c>
      <c r="D100" s="17">
        <v>0</v>
      </c>
      <c r="E100" s="22">
        <v>0</v>
      </c>
      <c r="F100" s="11">
        <v>0</v>
      </c>
      <c r="G100" s="28"/>
      <c r="I100" s="12" t="s">
        <v>12</v>
      </c>
      <c r="J100" s="17">
        <v>800</v>
      </c>
      <c r="K100" s="11">
        <v>600</v>
      </c>
      <c r="L100" s="17" t="s">
        <v>1231</v>
      </c>
      <c r="O100" s="315"/>
      <c r="P100" s="315"/>
      <c r="Q100" s="315"/>
      <c r="R100" s="315"/>
      <c r="S100" s="315"/>
      <c r="T100" s="315"/>
    </row>
    <row r="101" spans="1:22" ht="15.75" customHeight="1" x14ac:dyDescent="0.25">
      <c r="B101" s="9" t="s">
        <v>21</v>
      </c>
      <c r="C101" s="12" t="s">
        <v>59</v>
      </c>
      <c r="D101" s="17">
        <v>440</v>
      </c>
      <c r="E101" s="22">
        <v>568</v>
      </c>
      <c r="F101" s="11">
        <v>467</v>
      </c>
      <c r="G101" s="28"/>
      <c r="I101" s="12" t="s">
        <v>18</v>
      </c>
      <c r="J101" s="17">
        <v>0</v>
      </c>
      <c r="K101" s="11">
        <v>0</v>
      </c>
      <c r="L101" s="17" t="s">
        <v>1233</v>
      </c>
      <c r="O101" s="315"/>
      <c r="P101" s="315"/>
      <c r="Q101" s="315"/>
      <c r="R101" s="315"/>
      <c r="S101" s="315"/>
      <c r="T101" s="315"/>
    </row>
    <row r="102" spans="1:22" ht="15.75" customHeight="1" x14ac:dyDescent="0.25">
      <c r="B102" s="9" t="s">
        <v>21</v>
      </c>
      <c r="C102" s="12" t="s">
        <v>63</v>
      </c>
      <c r="D102" s="17">
        <v>160</v>
      </c>
      <c r="E102" s="22">
        <v>222</v>
      </c>
      <c r="F102" s="11">
        <v>161</v>
      </c>
      <c r="G102" s="28"/>
      <c r="I102" s="305" t="s">
        <v>23</v>
      </c>
      <c r="J102" s="297"/>
      <c r="K102" s="297"/>
      <c r="L102" s="298"/>
      <c r="O102" s="315"/>
      <c r="P102" s="315"/>
      <c r="Q102" s="315"/>
      <c r="R102" s="315"/>
      <c r="S102" s="315"/>
      <c r="T102" s="315"/>
    </row>
    <row r="103" spans="1:22" ht="15.75" customHeight="1" x14ac:dyDescent="0.25">
      <c r="B103" s="310" t="s">
        <v>29</v>
      </c>
      <c r="C103" s="297"/>
      <c r="D103" s="297"/>
      <c r="E103" s="297"/>
      <c r="F103" s="306"/>
      <c r="G103" s="28"/>
      <c r="I103" s="12" t="s">
        <v>12</v>
      </c>
      <c r="J103" s="17">
        <v>780</v>
      </c>
      <c r="K103" s="11">
        <v>570</v>
      </c>
      <c r="L103" s="17" t="s">
        <v>1235</v>
      </c>
    </row>
    <row r="104" spans="1:22" ht="15.75" customHeight="1" x14ac:dyDescent="0.25">
      <c r="B104" s="9" t="s">
        <v>11</v>
      </c>
      <c r="C104" s="12" t="s">
        <v>12</v>
      </c>
      <c r="D104" s="17">
        <v>810</v>
      </c>
      <c r="E104" s="22">
        <v>878</v>
      </c>
      <c r="F104" s="22">
        <v>570</v>
      </c>
      <c r="G104" s="28"/>
      <c r="I104" s="12" t="s">
        <v>18</v>
      </c>
      <c r="J104" s="17">
        <v>0</v>
      </c>
      <c r="K104" s="11">
        <v>0</v>
      </c>
      <c r="L104" s="17" t="s">
        <v>1236</v>
      </c>
      <c r="M104" s="28"/>
    </row>
    <row r="105" spans="1:22" ht="15.75" customHeight="1" x14ac:dyDescent="0.25">
      <c r="B105" s="9" t="s">
        <v>11</v>
      </c>
      <c r="C105" s="12" t="s">
        <v>18</v>
      </c>
      <c r="D105" s="17">
        <v>0</v>
      </c>
      <c r="E105" s="22">
        <v>0</v>
      </c>
      <c r="F105" s="22">
        <v>0</v>
      </c>
      <c r="G105" s="28"/>
    </row>
    <row r="106" spans="1:22" ht="15.75" customHeight="1" x14ac:dyDescent="0.25">
      <c r="B106" s="9" t="s">
        <v>21</v>
      </c>
      <c r="C106" s="12" t="s">
        <v>59</v>
      </c>
      <c r="D106" s="17">
        <v>430</v>
      </c>
      <c r="E106" s="22">
        <v>538</v>
      </c>
      <c r="F106" s="22">
        <v>413</v>
      </c>
      <c r="G106" s="28"/>
    </row>
    <row r="107" spans="1:22" ht="15.75" customHeight="1" x14ac:dyDescent="0.25">
      <c r="B107" s="9" t="s">
        <v>21</v>
      </c>
      <c r="C107" s="12" t="s">
        <v>63</v>
      </c>
      <c r="D107" s="17">
        <v>150</v>
      </c>
      <c r="E107" s="22">
        <v>200</v>
      </c>
      <c r="F107" s="22">
        <v>143</v>
      </c>
      <c r="G107" s="28"/>
    </row>
    <row r="108" spans="1:22" ht="15.75" customHeight="1" x14ac:dyDescent="0.2">
      <c r="C108" s="2"/>
      <c r="D108" s="1"/>
    </row>
    <row r="109" spans="1:22" ht="15.75" customHeight="1" x14ac:dyDescent="0.2"/>
    <row r="110" spans="1:22" ht="15.75" customHeight="1" x14ac:dyDescent="0.25">
      <c r="A110" s="29"/>
      <c r="B110" s="29"/>
      <c r="C110" s="29"/>
      <c r="D110" s="29"/>
      <c r="E110" s="29"/>
      <c r="F110" s="29"/>
      <c r="G110" s="29"/>
      <c r="H110" s="29"/>
      <c r="I110" s="29"/>
      <c r="J110" s="29"/>
      <c r="K110" s="29"/>
      <c r="L110" s="29"/>
      <c r="M110" s="29"/>
      <c r="N110" s="29"/>
      <c r="O110" s="29"/>
      <c r="P110" s="29"/>
      <c r="Q110" s="29"/>
      <c r="R110" s="29"/>
      <c r="S110" s="29"/>
      <c r="T110" s="29"/>
      <c r="U110" s="29"/>
      <c r="V110" s="29"/>
    </row>
    <row r="111" spans="1:22" ht="15.75" customHeight="1" x14ac:dyDescent="0.2"/>
    <row r="112" spans="1:22" ht="15.75" customHeight="1" x14ac:dyDescent="0.25">
      <c r="A112" s="23" t="s">
        <v>115</v>
      </c>
      <c r="B112" s="43" t="s">
        <v>1205</v>
      </c>
    </row>
    <row r="113" spans="1:12" ht="15.75" customHeight="1" x14ac:dyDescent="0.25">
      <c r="A113" s="304" t="s">
        <v>1048</v>
      </c>
      <c r="B113" s="297"/>
      <c r="C113" s="297"/>
      <c r="D113" s="297"/>
      <c r="E113" s="298"/>
      <c r="H113" s="3"/>
    </row>
    <row r="114" spans="1:12" ht="15.75" customHeight="1" x14ac:dyDescent="0.2">
      <c r="A114" s="4" t="s">
        <v>0</v>
      </c>
      <c r="B114" s="5" t="s">
        <v>1</v>
      </c>
      <c r="C114" s="5" t="s">
        <v>2</v>
      </c>
      <c r="D114" s="5" t="s">
        <v>43</v>
      </c>
      <c r="E114" s="45" t="s">
        <v>125</v>
      </c>
      <c r="G114" s="296" t="s">
        <v>6</v>
      </c>
      <c r="H114" s="297"/>
      <c r="I114" s="297"/>
      <c r="J114" s="297"/>
      <c r="K114" s="297"/>
      <c r="L114" s="298"/>
    </row>
    <row r="115" spans="1:12" ht="15.75" customHeight="1" x14ac:dyDescent="0.2">
      <c r="A115" s="9" t="s">
        <v>7</v>
      </c>
      <c r="B115" s="302" t="s">
        <v>9</v>
      </c>
      <c r="C115" s="47">
        <v>28.1</v>
      </c>
      <c r="D115" s="47">
        <v>27</v>
      </c>
      <c r="E115" s="47">
        <v>70</v>
      </c>
      <c r="G115" s="296" t="s">
        <v>106</v>
      </c>
      <c r="H115" s="297"/>
      <c r="I115" s="298"/>
      <c r="J115" s="296" t="s">
        <v>107</v>
      </c>
      <c r="K115" s="297"/>
      <c r="L115" s="298"/>
    </row>
    <row r="116" spans="1:12" ht="15.75" customHeight="1" x14ac:dyDescent="0.2">
      <c r="A116" s="9" t="s">
        <v>17</v>
      </c>
      <c r="B116" s="300"/>
      <c r="C116" s="47">
        <v>63.911000000000001</v>
      </c>
      <c r="D116" s="47">
        <v>63</v>
      </c>
      <c r="E116" s="47">
        <v>77</v>
      </c>
      <c r="G116" s="13" t="s">
        <v>13</v>
      </c>
      <c r="H116" s="39">
        <f>H118+(H118*0.05)</f>
        <v>813.75</v>
      </c>
      <c r="I116" s="17" t="s">
        <v>1241</v>
      </c>
      <c r="J116" s="13" t="s">
        <v>13</v>
      </c>
      <c r="K116" s="39">
        <f>K118+(K118*0.05)</f>
        <v>780.15</v>
      </c>
      <c r="L116" s="17" t="s">
        <v>1242</v>
      </c>
    </row>
    <row r="117" spans="1:12" ht="15.75" customHeight="1" x14ac:dyDescent="0.2">
      <c r="A117" s="9" t="s">
        <v>26</v>
      </c>
      <c r="B117" s="300"/>
      <c r="C117" s="47">
        <v>69.921999999999997</v>
      </c>
      <c r="D117" s="47">
        <v>68</v>
      </c>
      <c r="E117" s="47">
        <v>79</v>
      </c>
      <c r="G117" s="13" t="s">
        <v>19</v>
      </c>
      <c r="H117" s="40">
        <f>H118-(H118*0.05)</f>
        <v>736.25</v>
      </c>
      <c r="I117" s="17" t="s">
        <v>1243</v>
      </c>
      <c r="J117" s="13" t="s">
        <v>19</v>
      </c>
      <c r="K117" s="40">
        <f>K118-(K118*0.05)</f>
        <v>705.85</v>
      </c>
      <c r="L117" s="17" t="s">
        <v>1244</v>
      </c>
    </row>
    <row r="118" spans="1:12" ht="15.75" customHeight="1" x14ac:dyDescent="0.2">
      <c r="A118" s="9" t="s">
        <v>32</v>
      </c>
      <c r="B118" s="300"/>
      <c r="C118" s="47">
        <v>96.744</v>
      </c>
      <c r="D118" s="47">
        <v>93</v>
      </c>
      <c r="E118" s="47">
        <v>108</v>
      </c>
      <c r="G118" s="13" t="s">
        <v>27</v>
      </c>
      <c r="H118" s="20">
        <v>775</v>
      </c>
      <c r="I118" s="17" t="s">
        <v>1245</v>
      </c>
      <c r="J118" s="13" t="s">
        <v>27</v>
      </c>
      <c r="K118" s="20">
        <v>743</v>
      </c>
      <c r="L118" s="17" t="s">
        <v>1246</v>
      </c>
    </row>
    <row r="119" spans="1:12" ht="15.75" customHeight="1" x14ac:dyDescent="0.2">
      <c r="A119" s="9" t="s">
        <v>33</v>
      </c>
      <c r="B119" s="301"/>
      <c r="C119" s="47">
        <v>128.11000000000001</v>
      </c>
      <c r="D119" s="47">
        <v>120</v>
      </c>
      <c r="E119" s="47">
        <v>124</v>
      </c>
      <c r="G119" s="13" t="s">
        <v>121</v>
      </c>
      <c r="H119" s="20">
        <v>774</v>
      </c>
      <c r="I119" s="17" t="s">
        <v>1247</v>
      </c>
      <c r="J119" s="13" t="s">
        <v>121</v>
      </c>
      <c r="K119" s="20"/>
      <c r="L119" s="17" t="s">
        <v>1248</v>
      </c>
    </row>
    <row r="120" spans="1:12" ht="15.75" customHeight="1" x14ac:dyDescent="0.25">
      <c r="A120" s="41"/>
      <c r="B120" s="125"/>
      <c r="C120" s="42"/>
      <c r="D120" s="180"/>
      <c r="E120" s="180"/>
      <c r="H120" s="3"/>
    </row>
    <row r="121" spans="1:12" ht="15.75" customHeight="1" x14ac:dyDescent="0.25">
      <c r="A121" s="126" t="s">
        <v>35</v>
      </c>
      <c r="B121" s="302" t="s">
        <v>36</v>
      </c>
      <c r="C121" s="47">
        <v>207.78</v>
      </c>
      <c r="D121" s="47">
        <v>223</v>
      </c>
      <c r="E121" s="47">
        <v>285</v>
      </c>
      <c r="H121" s="3"/>
      <c r="I121" s="27" t="s">
        <v>241</v>
      </c>
      <c r="J121" s="128">
        <v>43304</v>
      </c>
    </row>
    <row r="122" spans="1:12" ht="15.75" customHeight="1" x14ac:dyDescent="0.25">
      <c r="A122" s="126" t="s">
        <v>37</v>
      </c>
      <c r="B122" s="300"/>
      <c r="C122" s="47">
        <v>444.11</v>
      </c>
      <c r="D122" s="47">
        <v>415</v>
      </c>
      <c r="E122" s="47">
        <v>433</v>
      </c>
      <c r="H122" s="3"/>
    </row>
    <row r="123" spans="1:12" ht="15.75" customHeight="1" x14ac:dyDescent="0.25">
      <c r="A123" s="126" t="s">
        <v>38</v>
      </c>
      <c r="B123" s="300"/>
      <c r="C123" s="47">
        <v>579.55999999999995</v>
      </c>
      <c r="D123" s="47">
        <v>505</v>
      </c>
      <c r="E123" s="47">
        <v>511</v>
      </c>
      <c r="H123" s="3"/>
    </row>
    <row r="124" spans="1:12" ht="15.75" customHeight="1" x14ac:dyDescent="0.25">
      <c r="A124" s="129" t="s">
        <v>39</v>
      </c>
      <c r="B124" s="300"/>
      <c r="C124" s="50">
        <v>746.22</v>
      </c>
      <c r="D124" s="47">
        <v>644</v>
      </c>
      <c r="E124" s="11">
        <v>783</v>
      </c>
      <c r="H124" s="3"/>
    </row>
    <row r="125" spans="1:12" ht="15.75" customHeight="1" x14ac:dyDescent="0.25">
      <c r="A125" s="12" t="s">
        <v>41</v>
      </c>
      <c r="B125" s="301"/>
      <c r="C125" s="71">
        <v>869.5</v>
      </c>
      <c r="D125" s="47">
        <v>1039</v>
      </c>
      <c r="E125" s="47">
        <v>820</v>
      </c>
      <c r="H125" s="3"/>
    </row>
    <row r="126" spans="1:12" ht="15.75" customHeight="1" x14ac:dyDescent="0.25">
      <c r="A126" s="130"/>
      <c r="B126" s="131"/>
      <c r="C126" s="131"/>
      <c r="D126" s="131"/>
      <c r="E126" s="131"/>
      <c r="H126" s="3"/>
    </row>
    <row r="127" spans="1:12" ht="15.75" customHeight="1" x14ac:dyDescent="0.25">
      <c r="A127" s="9" t="s">
        <v>46</v>
      </c>
      <c r="B127" s="299" t="s">
        <v>47</v>
      </c>
      <c r="C127" s="11">
        <v>88.4</v>
      </c>
      <c r="D127" s="47">
        <v>76</v>
      </c>
      <c r="E127" s="47">
        <v>100</v>
      </c>
      <c r="H127" s="3"/>
    </row>
    <row r="128" spans="1:12" ht="15.75" customHeight="1" x14ac:dyDescent="0.25">
      <c r="A128" s="9" t="s">
        <v>48</v>
      </c>
      <c r="B128" s="300"/>
      <c r="C128" s="11">
        <v>94.6</v>
      </c>
      <c r="D128" s="47">
        <v>90</v>
      </c>
      <c r="E128" s="47">
        <v>115</v>
      </c>
      <c r="H128" s="3"/>
    </row>
    <row r="129" spans="1:8" ht="15.75" customHeight="1" x14ac:dyDescent="0.25">
      <c r="A129" s="41"/>
      <c r="B129" s="125"/>
      <c r="C129" s="42"/>
      <c r="D129" s="47"/>
      <c r="E129" s="180"/>
      <c r="H129" s="3"/>
    </row>
    <row r="130" spans="1:8" ht="15.75" customHeight="1" x14ac:dyDescent="0.25">
      <c r="A130" s="126" t="s">
        <v>50</v>
      </c>
      <c r="B130" s="302" t="s">
        <v>51</v>
      </c>
      <c r="C130" s="47">
        <v>271.44</v>
      </c>
      <c r="D130" s="47">
        <v>275</v>
      </c>
      <c r="E130" s="11">
        <v>247</v>
      </c>
      <c r="H130" s="3"/>
    </row>
    <row r="131" spans="1:8" ht="15.75" customHeight="1" x14ac:dyDescent="0.25">
      <c r="A131" s="126" t="s">
        <v>54</v>
      </c>
      <c r="B131" s="300"/>
      <c r="C131" s="47">
        <v>550.22199999999998</v>
      </c>
      <c r="D131" s="47">
        <v>624</v>
      </c>
      <c r="E131" s="11">
        <v>330</v>
      </c>
      <c r="H131" s="3"/>
    </row>
    <row r="132" spans="1:8" ht="15.75" customHeight="1" x14ac:dyDescent="0.25">
      <c r="A132" s="126" t="s">
        <v>55</v>
      </c>
      <c r="B132" s="300"/>
      <c r="C132" s="47">
        <v>746.8</v>
      </c>
      <c r="D132" s="47">
        <v>776</v>
      </c>
      <c r="E132" s="11">
        <v>729</v>
      </c>
      <c r="H132" s="3"/>
    </row>
    <row r="133" spans="1:8" ht="15.75" customHeight="1" x14ac:dyDescent="0.25">
      <c r="A133" s="129" t="s">
        <v>56</v>
      </c>
      <c r="B133" s="300"/>
      <c r="C133" s="50">
        <v>768.33333333333337</v>
      </c>
      <c r="D133" s="47">
        <v>734</v>
      </c>
      <c r="E133" s="11">
        <v>750</v>
      </c>
      <c r="H133" s="3"/>
    </row>
    <row r="134" spans="1:8" ht="15.75" customHeight="1" x14ac:dyDescent="0.25">
      <c r="A134" s="8" t="s">
        <v>57</v>
      </c>
      <c r="B134" s="301"/>
      <c r="C134" s="71">
        <v>609</v>
      </c>
      <c r="D134" s="47">
        <v>613</v>
      </c>
      <c r="E134" s="11">
        <v>600</v>
      </c>
      <c r="H134" s="3"/>
    </row>
    <row r="135" spans="1:8" ht="15.75" customHeight="1" x14ac:dyDescent="0.25">
      <c r="A135" s="130"/>
      <c r="B135" s="131"/>
      <c r="C135" s="131"/>
      <c r="D135" s="131"/>
      <c r="E135" s="131"/>
      <c r="H135" s="3"/>
    </row>
    <row r="136" spans="1:8" ht="15.75" customHeight="1" x14ac:dyDescent="0.25">
      <c r="A136" s="9" t="s">
        <v>60</v>
      </c>
      <c r="B136" s="299" t="s">
        <v>62</v>
      </c>
      <c r="C136" s="47">
        <v>19.741666666666667</v>
      </c>
      <c r="D136" s="47">
        <v>23</v>
      </c>
      <c r="E136" s="53">
        <v>28</v>
      </c>
      <c r="H136" s="3"/>
    </row>
    <row r="137" spans="1:8" ht="15.75" customHeight="1" x14ac:dyDescent="0.25">
      <c r="A137" s="9" t="s">
        <v>65</v>
      </c>
      <c r="B137" s="300"/>
      <c r="C137" s="11">
        <v>42</v>
      </c>
      <c r="D137" s="47">
        <v>43</v>
      </c>
      <c r="E137" s="54">
        <v>30</v>
      </c>
      <c r="H137" s="3"/>
    </row>
    <row r="138" spans="1:8" ht="15.75" customHeight="1" x14ac:dyDescent="0.25">
      <c r="A138" s="9" t="s">
        <v>64</v>
      </c>
      <c r="B138" s="301"/>
      <c r="C138" s="11">
        <v>42</v>
      </c>
      <c r="D138" s="47">
        <v>50</v>
      </c>
      <c r="E138" s="55">
        <v>54</v>
      </c>
      <c r="H138" s="3"/>
    </row>
    <row r="139" spans="1:8" ht="15.75" customHeight="1" x14ac:dyDescent="0.25">
      <c r="A139" s="41"/>
      <c r="B139" s="125"/>
      <c r="C139" s="42"/>
      <c r="D139" s="47"/>
      <c r="E139" s="180"/>
      <c r="H139" s="3"/>
    </row>
    <row r="140" spans="1:8" ht="15.75" customHeight="1" x14ac:dyDescent="0.25">
      <c r="A140" s="129" t="s">
        <v>66</v>
      </c>
      <c r="B140" s="302" t="s">
        <v>68</v>
      </c>
      <c r="C140" s="50">
        <v>204.5</v>
      </c>
      <c r="D140" s="47">
        <v>186</v>
      </c>
      <c r="E140" s="11">
        <v>219</v>
      </c>
      <c r="H140" s="3"/>
    </row>
    <row r="141" spans="1:8" ht="15.75" customHeight="1" x14ac:dyDescent="0.25">
      <c r="A141" s="12" t="s">
        <v>69</v>
      </c>
      <c r="B141" s="301"/>
      <c r="C141" s="71">
        <v>277.7</v>
      </c>
      <c r="D141" s="47">
        <v>236</v>
      </c>
      <c r="E141" s="11">
        <v>293</v>
      </c>
      <c r="H141" s="3"/>
    </row>
    <row r="142" spans="1:8" ht="15.75" customHeight="1" x14ac:dyDescent="0.25">
      <c r="A142" s="132"/>
      <c r="B142" s="133"/>
      <c r="C142" s="133"/>
      <c r="D142" s="133"/>
      <c r="E142" s="133"/>
      <c r="H142" s="3"/>
    </row>
    <row r="143" spans="1:8" ht="15.75" customHeight="1" x14ac:dyDescent="0.25">
      <c r="A143" s="56" t="s">
        <v>69</v>
      </c>
      <c r="B143" s="303" t="s">
        <v>71</v>
      </c>
      <c r="C143" s="47">
        <v>12</v>
      </c>
      <c r="D143" s="47">
        <v>13</v>
      </c>
      <c r="E143" s="11">
        <v>17</v>
      </c>
      <c r="H143" s="3"/>
    </row>
    <row r="144" spans="1:8" ht="15.75" customHeight="1" x14ac:dyDescent="0.25">
      <c r="A144" s="56" t="s">
        <v>72</v>
      </c>
      <c r="B144" s="300"/>
      <c r="C144" s="47">
        <v>14</v>
      </c>
      <c r="D144" s="47">
        <v>13</v>
      </c>
      <c r="E144" s="11">
        <v>22</v>
      </c>
      <c r="H144" s="3"/>
    </row>
    <row r="145" spans="1:8" ht="15.75" customHeight="1" x14ac:dyDescent="0.25">
      <c r="A145" s="56" t="s">
        <v>73</v>
      </c>
      <c r="B145" s="301"/>
      <c r="C145" s="47">
        <v>17.43333333333333</v>
      </c>
      <c r="D145" s="47">
        <v>16</v>
      </c>
      <c r="E145" s="11">
        <v>26</v>
      </c>
      <c r="H145" s="3"/>
    </row>
    <row r="146" spans="1:8" ht="15.75" customHeight="1" x14ac:dyDescent="0.25">
      <c r="A146" s="92"/>
      <c r="B146" s="69"/>
      <c r="C146" s="69"/>
      <c r="D146" s="47"/>
      <c r="E146" s="180"/>
      <c r="H146" s="3"/>
    </row>
    <row r="147" spans="1:8" ht="15.75" customHeight="1" x14ac:dyDescent="0.25">
      <c r="A147" s="56" t="s">
        <v>80</v>
      </c>
      <c r="B147" s="309" t="s">
        <v>77</v>
      </c>
      <c r="C147" s="47">
        <v>117</v>
      </c>
      <c r="D147" s="47">
        <v>136</v>
      </c>
      <c r="E147" s="11">
        <v>111</v>
      </c>
      <c r="H147" s="3"/>
    </row>
    <row r="148" spans="1:8" ht="15.75" customHeight="1" x14ac:dyDescent="0.25">
      <c r="A148" s="56" t="s">
        <v>78</v>
      </c>
      <c r="B148" s="300"/>
      <c r="C148" s="47">
        <v>188</v>
      </c>
      <c r="D148" s="47">
        <v>211</v>
      </c>
      <c r="E148" s="11">
        <v>194</v>
      </c>
      <c r="H148" s="3"/>
    </row>
    <row r="149" spans="1:8" ht="15.75" customHeight="1" x14ac:dyDescent="0.25">
      <c r="A149" s="56" t="s">
        <v>76</v>
      </c>
      <c r="B149" s="300"/>
      <c r="C149" s="50">
        <v>218</v>
      </c>
      <c r="D149" s="47">
        <v>189</v>
      </c>
      <c r="E149" s="11">
        <v>224</v>
      </c>
      <c r="H149" s="3"/>
    </row>
    <row r="150" spans="1:8" ht="15.75" customHeight="1" x14ac:dyDescent="0.25">
      <c r="A150" s="57" t="s">
        <v>79</v>
      </c>
      <c r="B150" s="300"/>
      <c r="C150" s="134">
        <v>239</v>
      </c>
      <c r="D150" s="47">
        <v>274</v>
      </c>
      <c r="E150" s="11">
        <v>251</v>
      </c>
      <c r="H150" s="3"/>
    </row>
    <row r="151" spans="1:8" ht="15.75" customHeight="1" x14ac:dyDescent="0.25">
      <c r="A151" s="132"/>
      <c r="B151" s="133"/>
      <c r="C151" s="133"/>
      <c r="D151" s="133"/>
      <c r="E151" s="133"/>
      <c r="H151" s="3"/>
    </row>
    <row r="152" spans="1:8" ht="15.75" customHeight="1" x14ac:dyDescent="0.25">
      <c r="A152" s="9" t="s">
        <v>81</v>
      </c>
      <c r="B152" s="299" t="s">
        <v>82</v>
      </c>
      <c r="C152" s="11">
        <v>2</v>
      </c>
      <c r="D152" s="47">
        <v>2</v>
      </c>
      <c r="E152" s="11">
        <v>6</v>
      </c>
      <c r="H152" s="3"/>
    </row>
    <row r="153" spans="1:8" ht="15.75" customHeight="1" x14ac:dyDescent="0.25">
      <c r="A153" s="9" t="s">
        <v>83</v>
      </c>
      <c r="B153" s="300"/>
      <c r="C153" s="11">
        <v>7.133</v>
      </c>
      <c r="D153" s="47">
        <v>7</v>
      </c>
      <c r="E153" s="11">
        <v>10</v>
      </c>
      <c r="H153" s="3"/>
    </row>
    <row r="154" spans="1:8" ht="15.75" customHeight="1" x14ac:dyDescent="0.25">
      <c r="A154" s="9" t="s">
        <v>155</v>
      </c>
      <c r="B154" s="301"/>
      <c r="C154" s="11">
        <v>10.72</v>
      </c>
      <c r="D154" s="47">
        <v>10</v>
      </c>
      <c r="E154" s="11">
        <v>16</v>
      </c>
      <c r="H154" s="3"/>
    </row>
    <row r="155" spans="1:8" ht="15.75" customHeight="1" x14ac:dyDescent="0.25">
      <c r="A155" s="41"/>
      <c r="B155" s="125"/>
      <c r="C155" s="42"/>
      <c r="D155" s="47">
        <v>0</v>
      </c>
      <c r="E155" s="180"/>
      <c r="H155" s="3"/>
    </row>
    <row r="156" spans="1:8" ht="15.75" customHeight="1" x14ac:dyDescent="0.25">
      <c r="A156" s="129" t="s">
        <v>86</v>
      </c>
      <c r="B156" s="302" t="s">
        <v>87</v>
      </c>
      <c r="C156" s="51">
        <v>19</v>
      </c>
      <c r="D156" s="47">
        <v>19</v>
      </c>
      <c r="E156" s="11">
        <v>22</v>
      </c>
      <c r="H156" s="3"/>
    </row>
    <row r="157" spans="1:8" ht="15.75" customHeight="1" x14ac:dyDescent="0.25">
      <c r="A157" s="12" t="s">
        <v>88</v>
      </c>
      <c r="B157" s="301"/>
      <c r="C157" s="25">
        <v>20</v>
      </c>
      <c r="D157" s="47">
        <v>23</v>
      </c>
      <c r="E157" s="11">
        <v>35</v>
      </c>
      <c r="H157" s="3"/>
    </row>
    <row r="158" spans="1:8" ht="15.75" customHeight="1" x14ac:dyDescent="0.25">
      <c r="A158" s="132"/>
      <c r="B158" s="133"/>
      <c r="C158" s="133"/>
      <c r="D158" s="133"/>
      <c r="E158" s="133"/>
      <c r="H158" s="3"/>
    </row>
    <row r="159" spans="1:8" ht="15.75" customHeight="1" x14ac:dyDescent="0.25">
      <c r="A159" s="8" t="s">
        <v>89</v>
      </c>
      <c r="B159" s="302" t="s">
        <v>90</v>
      </c>
      <c r="C159" s="25">
        <v>6</v>
      </c>
      <c r="D159" s="47">
        <v>5</v>
      </c>
      <c r="E159" s="11">
        <v>19</v>
      </c>
      <c r="H159" s="3"/>
    </row>
    <row r="160" spans="1:8" ht="15.75" customHeight="1" x14ac:dyDescent="0.25">
      <c r="A160" s="126" t="s">
        <v>91</v>
      </c>
      <c r="B160" s="301"/>
      <c r="C160" s="11">
        <v>16</v>
      </c>
      <c r="D160" s="47">
        <v>13</v>
      </c>
      <c r="E160" s="11">
        <v>27</v>
      </c>
      <c r="H160" s="3"/>
    </row>
    <row r="161" spans="1:26" ht="15.75" customHeight="1" x14ac:dyDescent="0.25">
      <c r="A161" s="135"/>
      <c r="B161" s="136"/>
      <c r="C161" s="136"/>
      <c r="D161" s="47"/>
      <c r="E161" s="180"/>
      <c r="H161" s="3"/>
    </row>
    <row r="162" spans="1:26" ht="15.75" customHeight="1" x14ac:dyDescent="0.25">
      <c r="A162" s="9" t="s">
        <v>94</v>
      </c>
      <c r="B162" s="299" t="s">
        <v>95</v>
      </c>
      <c r="C162" s="47">
        <v>49.666666666666664</v>
      </c>
      <c r="D162" s="47">
        <v>47</v>
      </c>
      <c r="E162" s="11">
        <v>60</v>
      </c>
      <c r="H162" s="3"/>
    </row>
    <row r="163" spans="1:26" ht="15.75" customHeight="1" x14ac:dyDescent="0.25">
      <c r="A163" s="9" t="s">
        <v>96</v>
      </c>
      <c r="B163" s="300"/>
      <c r="C163" s="47">
        <v>122</v>
      </c>
      <c r="D163" s="47">
        <v>125</v>
      </c>
      <c r="E163" s="11">
        <v>104</v>
      </c>
      <c r="H163" s="3"/>
    </row>
    <row r="164" spans="1:26" ht="15.75" customHeight="1" x14ac:dyDescent="0.25">
      <c r="A164" s="9" t="s">
        <v>97</v>
      </c>
      <c r="B164" s="300"/>
      <c r="C164" s="47">
        <v>130</v>
      </c>
      <c r="D164" s="47">
        <v>150</v>
      </c>
      <c r="E164" s="11">
        <v>110</v>
      </c>
      <c r="H164" s="3"/>
    </row>
    <row r="165" spans="1:26" ht="15.75" customHeight="1" x14ac:dyDescent="0.25">
      <c r="A165" s="9" t="s">
        <v>98</v>
      </c>
      <c r="B165" s="300"/>
      <c r="C165" s="47">
        <v>142</v>
      </c>
      <c r="D165" s="47">
        <v>122</v>
      </c>
      <c r="E165" s="11">
        <v>120</v>
      </c>
      <c r="H165" s="3"/>
    </row>
    <row r="166" spans="1:26" ht="15.75" customHeight="1" x14ac:dyDescent="0.25">
      <c r="A166" s="9" t="s">
        <v>99</v>
      </c>
      <c r="B166" s="301"/>
      <c r="C166" s="47">
        <v>146</v>
      </c>
      <c r="D166" s="47">
        <v>166</v>
      </c>
      <c r="E166" s="11">
        <v>130</v>
      </c>
      <c r="H166" s="3"/>
    </row>
    <row r="167" spans="1:26" ht="15.75" customHeight="1" x14ac:dyDescent="0.25">
      <c r="G167" s="123"/>
    </row>
    <row r="168" spans="1:26" ht="15.75" customHeight="1" x14ac:dyDescent="0.25">
      <c r="G168" s="123"/>
    </row>
    <row r="169" spans="1:26" ht="15.75" customHeight="1" x14ac:dyDescent="0.25">
      <c r="A169" s="29"/>
      <c r="B169" s="29"/>
      <c r="C169" s="29"/>
      <c r="D169" s="29"/>
      <c r="E169" s="29"/>
      <c r="F169" s="29"/>
      <c r="G169" s="29"/>
      <c r="H169" s="29"/>
      <c r="I169" s="29"/>
      <c r="J169" s="29"/>
      <c r="K169" s="29"/>
      <c r="L169" s="29"/>
      <c r="M169" s="29"/>
      <c r="N169" s="29"/>
      <c r="O169" s="29"/>
      <c r="P169" s="29"/>
      <c r="Q169" s="29"/>
      <c r="R169" s="29"/>
      <c r="S169" s="29"/>
      <c r="T169" s="29"/>
      <c r="U169" s="29"/>
      <c r="V169" s="29"/>
      <c r="W169" s="28"/>
      <c r="X169" s="28"/>
      <c r="Y169" s="28"/>
      <c r="Z169" s="28"/>
    </row>
    <row r="170" spans="1:26" ht="15.75" customHeight="1" x14ac:dyDescent="0.25">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5.75" customHeight="1" x14ac:dyDescent="0.25">
      <c r="A171" s="23" t="s">
        <v>115</v>
      </c>
      <c r="B171" s="43" t="s">
        <v>1205</v>
      </c>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5.75" customHeight="1" x14ac:dyDescent="0.25">
      <c r="A172" s="304" t="s">
        <v>1249</v>
      </c>
      <c r="B172" s="297"/>
      <c r="C172" s="373"/>
      <c r="D172" s="297"/>
      <c r="E172" s="298"/>
      <c r="F172" s="28"/>
      <c r="G172" s="28"/>
      <c r="H172" s="3"/>
      <c r="I172" s="28"/>
      <c r="J172" s="28"/>
      <c r="K172" s="28"/>
      <c r="L172" s="28"/>
      <c r="M172" s="28"/>
      <c r="N172" s="28"/>
      <c r="O172" s="28"/>
      <c r="P172" s="28"/>
      <c r="Q172" s="28"/>
      <c r="R172" s="28"/>
      <c r="S172" s="28"/>
      <c r="T172" s="28"/>
      <c r="U172" s="28"/>
      <c r="V172" s="28"/>
      <c r="W172" s="28"/>
      <c r="X172" s="28"/>
      <c r="Y172" s="28"/>
      <c r="Z172" s="28"/>
    </row>
    <row r="173" spans="1:26" ht="15.75" customHeight="1" x14ac:dyDescent="0.25">
      <c r="A173" s="4" t="s">
        <v>0</v>
      </c>
      <c r="B173" s="5" t="s">
        <v>1</v>
      </c>
      <c r="C173" s="5" t="s">
        <v>2</v>
      </c>
      <c r="D173" s="5" t="s">
        <v>43</v>
      </c>
      <c r="E173" s="45" t="s">
        <v>125</v>
      </c>
      <c r="F173" s="28"/>
      <c r="G173" s="296" t="s">
        <v>6</v>
      </c>
      <c r="H173" s="297"/>
      <c r="I173" s="297"/>
      <c r="J173" s="297"/>
      <c r="K173" s="297"/>
      <c r="L173" s="298"/>
      <c r="M173" s="28"/>
      <c r="N173" s="28"/>
      <c r="O173" s="28"/>
      <c r="P173" s="28"/>
      <c r="Q173" s="28"/>
      <c r="R173" s="28"/>
      <c r="S173" s="28"/>
      <c r="T173" s="28"/>
      <c r="U173" s="28"/>
      <c r="V173" s="28"/>
      <c r="W173" s="28"/>
      <c r="X173" s="28"/>
      <c r="Y173" s="28"/>
      <c r="Z173" s="28"/>
    </row>
    <row r="174" spans="1:26" ht="15.75" customHeight="1" x14ac:dyDescent="0.25">
      <c r="A174" s="9" t="s">
        <v>7</v>
      </c>
      <c r="B174" s="302" t="s">
        <v>9</v>
      </c>
      <c r="C174" s="47">
        <v>28.1</v>
      </c>
      <c r="D174" s="47">
        <v>70</v>
      </c>
      <c r="E174" s="47">
        <v>71</v>
      </c>
      <c r="F174" s="28"/>
      <c r="G174" s="296" t="s">
        <v>106</v>
      </c>
      <c r="H174" s="297"/>
      <c r="I174" s="298"/>
      <c r="J174" s="296" t="s">
        <v>107</v>
      </c>
      <c r="K174" s="297"/>
      <c r="L174" s="298"/>
      <c r="M174" s="28"/>
      <c r="N174" s="28"/>
      <c r="O174" s="28"/>
      <c r="P174" s="28"/>
      <c r="Q174" s="28"/>
      <c r="R174" s="28"/>
      <c r="S174" s="28"/>
      <c r="T174" s="28"/>
      <c r="U174" s="28"/>
      <c r="V174" s="28"/>
      <c r="W174" s="28"/>
      <c r="X174" s="28"/>
      <c r="Y174" s="28"/>
      <c r="Z174" s="28"/>
    </row>
    <row r="175" spans="1:26" ht="15.75" customHeight="1" x14ac:dyDescent="0.25">
      <c r="A175" s="9" t="s">
        <v>17</v>
      </c>
      <c r="B175" s="300"/>
      <c r="C175" s="47">
        <v>63.911000000000001</v>
      </c>
      <c r="D175" s="47">
        <v>77</v>
      </c>
      <c r="E175" s="47">
        <v>68</v>
      </c>
      <c r="F175" s="28"/>
      <c r="G175" s="13" t="s">
        <v>13</v>
      </c>
      <c r="H175" s="39">
        <f>H177+(H177*0.05)</f>
        <v>780.15</v>
      </c>
      <c r="I175" s="17" t="s">
        <v>1250</v>
      </c>
      <c r="J175" s="13" t="s">
        <v>13</v>
      </c>
      <c r="K175" s="39">
        <f>K177+(K177*0.05)</f>
        <v>745.5</v>
      </c>
      <c r="L175" s="17" t="s">
        <v>1251</v>
      </c>
      <c r="M175" s="28"/>
      <c r="N175" s="28"/>
      <c r="O175" s="28"/>
      <c r="P175" s="28"/>
      <c r="Q175" s="28"/>
      <c r="R175" s="28"/>
      <c r="S175" s="28"/>
      <c r="T175" s="28"/>
      <c r="U175" s="28"/>
      <c r="V175" s="28"/>
      <c r="W175" s="28"/>
      <c r="X175" s="28"/>
      <c r="Y175" s="28"/>
      <c r="Z175" s="28"/>
    </row>
    <row r="176" spans="1:26" ht="15.75" customHeight="1" x14ac:dyDescent="0.25">
      <c r="A176" s="9" t="s">
        <v>26</v>
      </c>
      <c r="B176" s="300"/>
      <c r="C176" s="47">
        <v>69.921999999999997</v>
      </c>
      <c r="D176" s="47">
        <v>79</v>
      </c>
      <c r="E176" s="47">
        <v>71</v>
      </c>
      <c r="F176" s="28"/>
      <c r="G176" s="13" t="s">
        <v>19</v>
      </c>
      <c r="H176" s="40">
        <f>H177-(H177*0.05)</f>
        <v>705.85</v>
      </c>
      <c r="I176" s="17" t="s">
        <v>1252</v>
      </c>
      <c r="J176" s="13" t="s">
        <v>19</v>
      </c>
      <c r="K176" s="40">
        <f>K177-(K177*0.05)</f>
        <v>674.5</v>
      </c>
      <c r="L176" s="17" t="s">
        <v>1253</v>
      </c>
      <c r="M176" s="28"/>
      <c r="N176" s="28"/>
      <c r="O176" s="28"/>
      <c r="P176" s="28"/>
      <c r="Q176" s="28"/>
      <c r="R176" s="28"/>
      <c r="S176" s="28"/>
      <c r="T176" s="28"/>
      <c r="U176" s="28"/>
      <c r="V176" s="28"/>
      <c r="W176" s="28"/>
      <c r="X176" s="28"/>
      <c r="Y176" s="28"/>
      <c r="Z176" s="28"/>
    </row>
    <row r="177" spans="1:26" ht="15.75" customHeight="1" x14ac:dyDescent="0.25">
      <c r="A177" s="9" t="s">
        <v>32</v>
      </c>
      <c r="B177" s="300"/>
      <c r="C177" s="47">
        <v>96.744</v>
      </c>
      <c r="D177" s="47">
        <v>108</v>
      </c>
      <c r="E177" s="47">
        <v>104</v>
      </c>
      <c r="F177" s="28"/>
      <c r="G177" s="13" t="s">
        <v>27</v>
      </c>
      <c r="H177" s="20">
        <v>743</v>
      </c>
      <c r="I177" s="17" t="s">
        <v>1254</v>
      </c>
      <c r="J177" s="13" t="s">
        <v>27</v>
      </c>
      <c r="K177" s="20">
        <v>710</v>
      </c>
      <c r="L177" s="17" t="s">
        <v>1255</v>
      </c>
      <c r="M177" s="28"/>
      <c r="N177" s="28"/>
      <c r="O177" s="28"/>
      <c r="P177" s="28"/>
      <c r="Q177" s="28"/>
      <c r="R177" s="28"/>
      <c r="S177" s="28"/>
      <c r="T177" s="28"/>
      <c r="U177" s="28"/>
      <c r="V177" s="28"/>
      <c r="W177" s="28"/>
      <c r="X177" s="28"/>
      <c r="Y177" s="28"/>
      <c r="Z177" s="28"/>
    </row>
    <row r="178" spans="1:26" ht="15.75" customHeight="1" x14ac:dyDescent="0.25">
      <c r="A178" s="9" t="s">
        <v>33</v>
      </c>
      <c r="B178" s="301"/>
      <c r="C178" s="47">
        <v>128.11000000000001</v>
      </c>
      <c r="D178" s="47">
        <v>124</v>
      </c>
      <c r="E178" s="47">
        <v>126</v>
      </c>
      <c r="F178" s="28"/>
      <c r="G178" s="13" t="s">
        <v>121</v>
      </c>
      <c r="H178" s="20">
        <v>774</v>
      </c>
      <c r="I178" s="17" t="s">
        <v>1256</v>
      </c>
      <c r="J178" s="13" t="s">
        <v>121</v>
      </c>
      <c r="K178" s="20">
        <v>711</v>
      </c>
      <c r="L178" s="17" t="s">
        <v>1257</v>
      </c>
      <c r="M178" s="28"/>
      <c r="N178" s="28"/>
      <c r="O178" s="28"/>
      <c r="P178" s="28"/>
      <c r="Q178" s="28"/>
      <c r="R178" s="28"/>
      <c r="S178" s="28"/>
      <c r="T178" s="28"/>
      <c r="U178" s="28"/>
      <c r="V178" s="28"/>
      <c r="W178" s="28"/>
      <c r="X178" s="28"/>
      <c r="Y178" s="28"/>
      <c r="Z178" s="28"/>
    </row>
    <row r="179" spans="1:26" ht="15.75" customHeight="1" x14ac:dyDescent="0.25">
      <c r="A179" s="41"/>
      <c r="B179" s="125"/>
      <c r="C179" s="42"/>
      <c r="D179" s="180"/>
      <c r="E179" s="180"/>
      <c r="F179" s="28"/>
      <c r="G179" s="28"/>
      <c r="H179" s="3"/>
      <c r="I179" s="28"/>
      <c r="J179" s="28"/>
      <c r="K179" s="28"/>
      <c r="L179" s="28"/>
      <c r="M179" s="28"/>
      <c r="N179" s="28"/>
      <c r="O179" s="28"/>
      <c r="P179" s="28"/>
      <c r="Q179" s="28"/>
      <c r="R179" s="28"/>
      <c r="S179" s="28"/>
      <c r="T179" s="28"/>
      <c r="U179" s="28"/>
      <c r="V179" s="28"/>
      <c r="W179" s="28"/>
      <c r="X179" s="28"/>
      <c r="Y179" s="28"/>
      <c r="Z179" s="28"/>
    </row>
    <row r="180" spans="1:26" ht="15.75" customHeight="1" x14ac:dyDescent="0.25">
      <c r="A180" s="126" t="s">
        <v>35</v>
      </c>
      <c r="B180" s="302" t="s">
        <v>36</v>
      </c>
      <c r="C180" s="47">
        <v>207.78</v>
      </c>
      <c r="D180" s="47">
        <v>285</v>
      </c>
      <c r="E180" s="47">
        <v>347</v>
      </c>
      <c r="F180" s="28"/>
      <c r="G180" s="28"/>
      <c r="H180" s="3"/>
      <c r="I180" s="27" t="s">
        <v>241</v>
      </c>
      <c r="J180" s="412">
        <v>43590</v>
      </c>
      <c r="K180" s="315"/>
      <c r="L180" s="315"/>
      <c r="M180" s="28"/>
      <c r="N180" s="28"/>
      <c r="O180" s="28"/>
      <c r="P180" s="28"/>
      <c r="Q180" s="28"/>
      <c r="R180" s="28"/>
      <c r="S180" s="28"/>
      <c r="T180" s="28"/>
      <c r="U180" s="28"/>
      <c r="V180" s="28"/>
      <c r="W180" s="28"/>
      <c r="X180" s="28"/>
      <c r="Y180" s="28"/>
      <c r="Z180" s="28"/>
    </row>
    <row r="181" spans="1:26" ht="15.75" customHeight="1" x14ac:dyDescent="0.25">
      <c r="A181" s="126" t="s">
        <v>37</v>
      </c>
      <c r="B181" s="300"/>
      <c r="C181" s="47">
        <v>444.11</v>
      </c>
      <c r="D181" s="47">
        <v>433</v>
      </c>
      <c r="E181" s="47">
        <v>396</v>
      </c>
      <c r="F181" s="28"/>
      <c r="G181" s="28"/>
      <c r="H181" s="3"/>
      <c r="I181" s="28"/>
      <c r="J181" s="28"/>
      <c r="K181" s="28"/>
      <c r="L181" s="28"/>
      <c r="M181" s="28"/>
      <c r="N181" s="28"/>
      <c r="O181" s="28"/>
      <c r="P181" s="28"/>
      <c r="Q181" s="28"/>
      <c r="R181" s="28"/>
      <c r="S181" s="28"/>
      <c r="T181" s="28"/>
      <c r="U181" s="28"/>
      <c r="V181" s="28"/>
      <c r="W181" s="28"/>
      <c r="X181" s="28"/>
      <c r="Y181" s="28"/>
      <c r="Z181" s="28"/>
    </row>
    <row r="182" spans="1:26" ht="15.75" customHeight="1" x14ac:dyDescent="0.25">
      <c r="A182" s="126" t="s">
        <v>38</v>
      </c>
      <c r="B182" s="300"/>
      <c r="C182" s="47">
        <v>579.55999999999995</v>
      </c>
      <c r="D182" s="47">
        <v>511</v>
      </c>
      <c r="E182" s="47">
        <v>510</v>
      </c>
      <c r="F182" s="28"/>
      <c r="G182" s="28"/>
      <c r="H182" s="3"/>
      <c r="I182" s="28"/>
      <c r="J182" s="28"/>
      <c r="K182" s="28"/>
      <c r="L182" s="28"/>
      <c r="M182" s="28"/>
      <c r="N182" s="28"/>
      <c r="O182" s="28"/>
      <c r="P182" s="28"/>
      <c r="Q182" s="28"/>
      <c r="R182" s="28"/>
      <c r="S182" s="28"/>
      <c r="T182" s="28"/>
      <c r="U182" s="28"/>
      <c r="V182" s="28"/>
      <c r="W182" s="28"/>
      <c r="X182" s="28"/>
      <c r="Y182" s="28"/>
      <c r="Z182" s="28"/>
    </row>
    <row r="183" spans="1:26" ht="15.75" customHeight="1" x14ac:dyDescent="0.25">
      <c r="A183" s="129" t="s">
        <v>39</v>
      </c>
      <c r="B183" s="300"/>
      <c r="C183" s="50">
        <v>746.22</v>
      </c>
      <c r="D183" s="11">
        <v>783</v>
      </c>
      <c r="E183" s="11">
        <v>715</v>
      </c>
      <c r="F183" s="28"/>
      <c r="G183" s="28"/>
      <c r="H183" s="3"/>
      <c r="I183" s="28"/>
      <c r="J183" s="28"/>
      <c r="K183" s="28"/>
      <c r="L183" s="28"/>
      <c r="M183" s="28"/>
      <c r="N183" s="28"/>
      <c r="O183" s="28"/>
      <c r="P183" s="28"/>
      <c r="Q183" s="28"/>
      <c r="R183" s="28"/>
      <c r="S183" s="28"/>
      <c r="T183" s="28"/>
      <c r="U183" s="28"/>
      <c r="V183" s="28"/>
      <c r="W183" s="28"/>
      <c r="X183" s="28"/>
      <c r="Y183" s="28"/>
      <c r="Z183" s="28"/>
    </row>
    <row r="184" spans="1:26" ht="15.75" customHeight="1" x14ac:dyDescent="0.25">
      <c r="A184" s="12" t="s">
        <v>41</v>
      </c>
      <c r="B184" s="301"/>
      <c r="C184" s="71">
        <v>869.5</v>
      </c>
      <c r="D184" s="47">
        <v>820</v>
      </c>
      <c r="E184" s="47">
        <v>778</v>
      </c>
      <c r="F184" s="28"/>
      <c r="G184" s="28"/>
      <c r="H184" s="3"/>
      <c r="I184" s="28"/>
      <c r="J184" s="28"/>
      <c r="K184" s="28"/>
      <c r="L184" s="28"/>
      <c r="M184" s="28"/>
      <c r="N184" s="28"/>
      <c r="O184" s="28"/>
      <c r="P184" s="28"/>
      <c r="Q184" s="28"/>
      <c r="R184" s="28"/>
      <c r="S184" s="28"/>
      <c r="T184" s="28"/>
      <c r="U184" s="28"/>
      <c r="V184" s="28"/>
      <c r="W184" s="28"/>
      <c r="X184" s="28"/>
      <c r="Y184" s="28"/>
      <c r="Z184" s="28"/>
    </row>
    <row r="185" spans="1:26" ht="15.75" customHeight="1" x14ac:dyDescent="0.25">
      <c r="A185" s="130"/>
      <c r="B185" s="131"/>
      <c r="C185" s="131"/>
      <c r="D185" s="131"/>
      <c r="E185" s="131"/>
      <c r="F185" s="28"/>
      <c r="G185" s="28"/>
      <c r="H185" s="3"/>
      <c r="I185" s="28"/>
      <c r="J185" s="28"/>
      <c r="K185" s="28"/>
      <c r="L185" s="28"/>
      <c r="M185" s="28"/>
      <c r="N185" s="28"/>
      <c r="O185" s="28"/>
      <c r="P185" s="28"/>
      <c r="Q185" s="28"/>
      <c r="R185" s="28"/>
      <c r="S185" s="28"/>
      <c r="T185" s="28"/>
      <c r="U185" s="28"/>
      <c r="V185" s="28"/>
      <c r="W185" s="28"/>
      <c r="X185" s="28"/>
      <c r="Y185" s="28"/>
      <c r="Z185" s="28"/>
    </row>
    <row r="186" spans="1:26" ht="15.75" customHeight="1" x14ac:dyDescent="0.25">
      <c r="A186" s="9" t="s">
        <v>46</v>
      </c>
      <c r="B186" s="299" t="s">
        <v>47</v>
      </c>
      <c r="C186" s="11">
        <v>88.4</v>
      </c>
      <c r="D186" s="47">
        <v>100</v>
      </c>
      <c r="E186" s="47">
        <v>99</v>
      </c>
      <c r="F186" s="28"/>
      <c r="G186" s="28"/>
      <c r="H186" s="3"/>
      <c r="I186" s="28"/>
      <c r="J186" s="28"/>
      <c r="K186" s="28"/>
      <c r="L186" s="28"/>
      <c r="M186" s="28"/>
      <c r="N186" s="28"/>
      <c r="O186" s="28"/>
      <c r="P186" s="28"/>
      <c r="Q186" s="28"/>
      <c r="R186" s="28"/>
      <c r="S186" s="28"/>
      <c r="T186" s="28"/>
      <c r="U186" s="28"/>
      <c r="V186" s="28"/>
      <c r="W186" s="28"/>
      <c r="X186" s="28"/>
      <c r="Y186" s="28"/>
      <c r="Z186" s="28"/>
    </row>
    <row r="187" spans="1:26" ht="15.75" customHeight="1" x14ac:dyDescent="0.25">
      <c r="A187" s="9" t="s">
        <v>48</v>
      </c>
      <c r="B187" s="300"/>
      <c r="C187" s="11">
        <v>94.6</v>
      </c>
      <c r="D187" s="47">
        <v>115</v>
      </c>
      <c r="E187" s="47">
        <v>125</v>
      </c>
      <c r="F187" s="28"/>
      <c r="G187" s="28"/>
      <c r="H187" s="3"/>
      <c r="I187" s="28"/>
      <c r="J187" s="28"/>
      <c r="K187" s="28"/>
      <c r="L187" s="28"/>
      <c r="M187" s="28"/>
      <c r="N187" s="28"/>
      <c r="O187" s="28"/>
      <c r="P187" s="28"/>
      <c r="Q187" s="28"/>
      <c r="R187" s="28"/>
      <c r="S187" s="28"/>
      <c r="T187" s="28"/>
      <c r="U187" s="28"/>
      <c r="V187" s="28"/>
      <c r="W187" s="28"/>
      <c r="X187" s="28"/>
      <c r="Y187" s="28"/>
      <c r="Z187" s="28"/>
    </row>
    <row r="188" spans="1:26" ht="15.75" customHeight="1" x14ac:dyDescent="0.25">
      <c r="A188" s="41"/>
      <c r="B188" s="125"/>
      <c r="C188" s="42"/>
      <c r="D188" s="180"/>
      <c r="E188" s="180"/>
      <c r="F188" s="28"/>
      <c r="G188" s="28"/>
      <c r="H188" s="3"/>
      <c r="I188" s="28"/>
      <c r="J188" s="28"/>
      <c r="K188" s="28"/>
      <c r="L188" s="28"/>
      <c r="M188" s="28"/>
      <c r="N188" s="28"/>
      <c r="O188" s="28"/>
      <c r="P188" s="28"/>
      <c r="Q188" s="28"/>
      <c r="R188" s="28"/>
      <c r="S188" s="28"/>
      <c r="T188" s="28"/>
      <c r="U188" s="28"/>
      <c r="V188" s="28"/>
      <c r="W188" s="28"/>
      <c r="X188" s="28"/>
      <c r="Y188" s="28"/>
      <c r="Z188" s="28"/>
    </row>
    <row r="189" spans="1:26" ht="15.75" customHeight="1" x14ac:dyDescent="0.25">
      <c r="A189" s="126" t="s">
        <v>50</v>
      </c>
      <c r="B189" s="302" t="s">
        <v>51</v>
      </c>
      <c r="C189" s="47">
        <v>271.44</v>
      </c>
      <c r="D189" s="11">
        <v>247</v>
      </c>
      <c r="E189" s="11">
        <v>275</v>
      </c>
      <c r="F189" s="28"/>
      <c r="G189" s="28"/>
      <c r="H189" s="3"/>
      <c r="I189" s="28"/>
      <c r="J189" s="28"/>
      <c r="K189" s="28"/>
      <c r="L189" s="28"/>
      <c r="M189" s="28"/>
      <c r="N189" s="28"/>
      <c r="O189" s="28"/>
      <c r="P189" s="28"/>
      <c r="Q189" s="28"/>
      <c r="R189" s="28"/>
      <c r="S189" s="28"/>
      <c r="T189" s="28"/>
      <c r="U189" s="28"/>
      <c r="V189" s="28"/>
      <c r="W189" s="28"/>
      <c r="X189" s="28"/>
      <c r="Y189" s="28"/>
      <c r="Z189" s="28"/>
    </row>
    <row r="190" spans="1:26" ht="15.75" customHeight="1" x14ac:dyDescent="0.25">
      <c r="A190" s="126" t="s">
        <v>54</v>
      </c>
      <c r="B190" s="300"/>
      <c r="C190" s="47">
        <v>550.22199999999998</v>
      </c>
      <c r="D190" s="11">
        <v>330</v>
      </c>
      <c r="E190" s="11">
        <v>257</v>
      </c>
      <c r="F190" s="28"/>
      <c r="G190" s="28"/>
      <c r="H190" s="3"/>
      <c r="I190" s="28"/>
      <c r="J190" s="28"/>
      <c r="K190" s="28"/>
      <c r="L190" s="28"/>
      <c r="M190" s="28"/>
      <c r="N190" s="28"/>
      <c r="O190" s="28"/>
      <c r="P190" s="28"/>
      <c r="Q190" s="28"/>
      <c r="R190" s="28"/>
      <c r="S190" s="28"/>
      <c r="T190" s="28"/>
      <c r="U190" s="28"/>
      <c r="V190" s="28"/>
      <c r="W190" s="28"/>
      <c r="X190" s="28"/>
      <c r="Y190" s="28"/>
      <c r="Z190" s="28"/>
    </row>
    <row r="191" spans="1:26" ht="15.75" customHeight="1" x14ac:dyDescent="0.25">
      <c r="A191" s="126" t="s">
        <v>55</v>
      </c>
      <c r="B191" s="300"/>
      <c r="C191" s="47">
        <v>746.8</v>
      </c>
      <c r="D191" s="11">
        <v>729</v>
      </c>
      <c r="E191" s="11">
        <v>413</v>
      </c>
      <c r="F191" s="28"/>
      <c r="G191" s="28"/>
      <c r="H191" s="3"/>
      <c r="I191" s="28"/>
      <c r="J191" s="28"/>
      <c r="K191" s="28"/>
      <c r="L191" s="28"/>
      <c r="M191" s="28"/>
      <c r="N191" s="28"/>
      <c r="O191" s="28"/>
      <c r="P191" s="28"/>
      <c r="Q191" s="28"/>
      <c r="R191" s="28"/>
      <c r="S191" s="28"/>
      <c r="T191" s="28"/>
      <c r="U191" s="28"/>
      <c r="V191" s="28"/>
      <c r="W191" s="28"/>
      <c r="X191" s="28"/>
      <c r="Y191" s="28"/>
      <c r="Z191" s="28"/>
    </row>
    <row r="192" spans="1:26" ht="15.75" customHeight="1" x14ac:dyDescent="0.25">
      <c r="A192" s="129" t="s">
        <v>56</v>
      </c>
      <c r="B192" s="300"/>
      <c r="C192" s="50">
        <v>768.33333333333337</v>
      </c>
      <c r="D192" s="11">
        <v>750</v>
      </c>
      <c r="E192" s="11">
        <v>665</v>
      </c>
      <c r="F192" s="28"/>
      <c r="G192" s="28"/>
      <c r="H192" s="3"/>
      <c r="I192" s="28"/>
      <c r="J192" s="28"/>
      <c r="K192" s="28"/>
      <c r="L192" s="28"/>
      <c r="M192" s="28"/>
      <c r="N192" s="28"/>
      <c r="O192" s="28"/>
      <c r="P192" s="28"/>
      <c r="Q192" s="28"/>
      <c r="R192" s="28"/>
      <c r="S192" s="28"/>
      <c r="T192" s="28"/>
      <c r="U192" s="28"/>
      <c r="V192" s="28"/>
      <c r="W192" s="28"/>
      <c r="X192" s="28"/>
      <c r="Y192" s="28"/>
      <c r="Z192" s="28"/>
    </row>
    <row r="193" spans="1:26" ht="15.75" customHeight="1" x14ac:dyDescent="0.25">
      <c r="A193" s="8" t="s">
        <v>57</v>
      </c>
      <c r="B193" s="301"/>
      <c r="C193" s="71">
        <v>609</v>
      </c>
      <c r="D193" s="11">
        <v>600</v>
      </c>
      <c r="E193" s="11">
        <v>323</v>
      </c>
      <c r="F193" s="28"/>
      <c r="G193" s="28"/>
      <c r="H193" s="3"/>
      <c r="I193" s="28"/>
      <c r="J193" s="28"/>
      <c r="K193" s="28"/>
      <c r="L193" s="28"/>
      <c r="M193" s="28"/>
      <c r="N193" s="28"/>
      <c r="O193" s="28"/>
      <c r="P193" s="28"/>
      <c r="Q193" s="28"/>
      <c r="R193" s="28"/>
      <c r="S193" s="28"/>
      <c r="T193" s="28"/>
      <c r="U193" s="28"/>
      <c r="V193" s="28"/>
      <c r="W193" s="28"/>
      <c r="X193" s="28"/>
      <c r="Y193" s="28"/>
      <c r="Z193" s="28"/>
    </row>
    <row r="194" spans="1:26" ht="15.75" customHeight="1" x14ac:dyDescent="0.25">
      <c r="A194" s="130"/>
      <c r="B194" s="131"/>
      <c r="C194" s="131"/>
      <c r="D194" s="131"/>
      <c r="E194" s="131"/>
      <c r="F194" s="28"/>
      <c r="G194" s="28"/>
      <c r="H194" s="3"/>
      <c r="I194" s="28"/>
      <c r="J194" s="28"/>
      <c r="K194" s="28"/>
      <c r="L194" s="28"/>
      <c r="M194" s="28"/>
      <c r="N194" s="28"/>
      <c r="O194" s="28"/>
      <c r="P194" s="28"/>
      <c r="Q194" s="28"/>
      <c r="R194" s="28"/>
      <c r="S194" s="28"/>
      <c r="T194" s="28"/>
      <c r="U194" s="28"/>
      <c r="V194" s="28"/>
      <c r="W194" s="28"/>
      <c r="X194" s="28"/>
      <c r="Y194" s="28"/>
      <c r="Z194" s="28"/>
    </row>
    <row r="195" spans="1:26" ht="15.75" customHeight="1" x14ac:dyDescent="0.25">
      <c r="A195" s="9" t="s">
        <v>60</v>
      </c>
      <c r="B195" s="299" t="s">
        <v>62</v>
      </c>
      <c r="C195" s="47">
        <v>19.741666666666667</v>
      </c>
      <c r="D195" s="53">
        <v>28</v>
      </c>
      <c r="E195" s="53"/>
      <c r="F195" s="28"/>
      <c r="G195" s="28"/>
      <c r="H195" s="3"/>
      <c r="I195" s="28"/>
      <c r="J195" s="28"/>
      <c r="K195" s="28"/>
      <c r="L195" s="28"/>
      <c r="M195" s="28"/>
      <c r="N195" s="28"/>
      <c r="O195" s="28"/>
      <c r="P195" s="28"/>
      <c r="Q195" s="28"/>
      <c r="R195" s="28"/>
      <c r="S195" s="28"/>
      <c r="T195" s="28"/>
      <c r="U195" s="28"/>
      <c r="V195" s="28"/>
      <c r="W195" s="28"/>
      <c r="X195" s="28"/>
      <c r="Y195" s="28"/>
      <c r="Z195" s="28"/>
    </row>
    <row r="196" spans="1:26" ht="15.75" customHeight="1" x14ac:dyDescent="0.25">
      <c r="A196" s="9" t="s">
        <v>65</v>
      </c>
      <c r="B196" s="300"/>
      <c r="C196" s="11">
        <v>42</v>
      </c>
      <c r="D196" s="54">
        <v>30</v>
      </c>
      <c r="E196" s="54"/>
      <c r="F196" s="28"/>
      <c r="G196" s="28"/>
      <c r="H196" s="3"/>
      <c r="I196" s="28"/>
      <c r="J196" s="28"/>
      <c r="K196" s="28"/>
      <c r="L196" s="28"/>
      <c r="M196" s="28"/>
      <c r="N196" s="28"/>
      <c r="O196" s="28"/>
      <c r="P196" s="28"/>
      <c r="Q196" s="28"/>
      <c r="R196" s="28"/>
      <c r="S196" s="28"/>
      <c r="T196" s="28"/>
      <c r="U196" s="28"/>
      <c r="V196" s="28"/>
      <c r="W196" s="28"/>
      <c r="X196" s="28"/>
      <c r="Y196" s="28"/>
      <c r="Z196" s="28"/>
    </row>
    <row r="197" spans="1:26" ht="15.75" customHeight="1" x14ac:dyDescent="0.25">
      <c r="A197" s="9" t="s">
        <v>64</v>
      </c>
      <c r="B197" s="301"/>
      <c r="C197" s="11">
        <v>42</v>
      </c>
      <c r="D197" s="55">
        <v>54</v>
      </c>
      <c r="E197" s="55"/>
      <c r="F197" s="28"/>
      <c r="G197" s="28"/>
      <c r="H197" s="3"/>
      <c r="I197" s="28"/>
      <c r="J197" s="28"/>
      <c r="K197" s="28"/>
      <c r="L197" s="28"/>
      <c r="M197" s="28"/>
      <c r="N197" s="28"/>
      <c r="O197" s="28"/>
      <c r="P197" s="28"/>
      <c r="Q197" s="28"/>
      <c r="R197" s="28"/>
      <c r="S197" s="28"/>
      <c r="T197" s="28"/>
      <c r="U197" s="28"/>
      <c r="V197" s="28"/>
      <c r="W197" s="28"/>
      <c r="X197" s="28"/>
      <c r="Y197" s="28"/>
      <c r="Z197" s="28"/>
    </row>
    <row r="198" spans="1:26" ht="15.75" customHeight="1" x14ac:dyDescent="0.25">
      <c r="A198" s="41"/>
      <c r="B198" s="125"/>
      <c r="C198" s="42"/>
      <c r="D198" s="180"/>
      <c r="E198" s="180"/>
      <c r="F198" s="28"/>
      <c r="G198" s="28"/>
      <c r="H198" s="3"/>
      <c r="I198" s="28"/>
      <c r="J198" s="28"/>
      <c r="K198" s="28"/>
      <c r="L198" s="28"/>
      <c r="M198" s="28"/>
      <c r="N198" s="28"/>
      <c r="O198" s="28"/>
      <c r="P198" s="28"/>
      <c r="Q198" s="28"/>
      <c r="R198" s="28"/>
      <c r="S198" s="28"/>
      <c r="T198" s="28"/>
      <c r="U198" s="28"/>
      <c r="V198" s="28"/>
      <c r="W198" s="28"/>
      <c r="X198" s="28"/>
      <c r="Y198" s="28"/>
      <c r="Z198" s="28"/>
    </row>
    <row r="199" spans="1:26" ht="15.75" customHeight="1" x14ac:dyDescent="0.25">
      <c r="A199" s="129" t="s">
        <v>66</v>
      </c>
      <c r="B199" s="302" t="s">
        <v>68</v>
      </c>
      <c r="C199" s="50">
        <v>204.5</v>
      </c>
      <c r="D199" s="11">
        <v>219</v>
      </c>
      <c r="E199" s="11"/>
      <c r="F199" s="28"/>
      <c r="G199" s="28"/>
      <c r="H199" s="3"/>
      <c r="I199" s="28"/>
      <c r="J199" s="28"/>
      <c r="K199" s="28"/>
      <c r="L199" s="28"/>
      <c r="M199" s="28"/>
      <c r="N199" s="28"/>
      <c r="O199" s="28"/>
      <c r="P199" s="28"/>
      <c r="Q199" s="28"/>
      <c r="R199" s="28"/>
      <c r="S199" s="28"/>
      <c r="T199" s="28"/>
      <c r="U199" s="28"/>
      <c r="V199" s="28"/>
      <c r="W199" s="28"/>
      <c r="X199" s="28"/>
      <c r="Y199" s="28"/>
      <c r="Z199" s="28"/>
    </row>
    <row r="200" spans="1:26" ht="15.75" customHeight="1" x14ac:dyDescent="0.25">
      <c r="A200" s="12" t="s">
        <v>69</v>
      </c>
      <c r="B200" s="301"/>
      <c r="C200" s="71">
        <v>277.7</v>
      </c>
      <c r="D200" s="11">
        <v>293</v>
      </c>
      <c r="E200" s="11"/>
      <c r="F200" s="28"/>
      <c r="G200" s="28"/>
      <c r="H200" s="3"/>
      <c r="I200" s="28"/>
      <c r="J200" s="28"/>
      <c r="K200" s="28"/>
      <c r="L200" s="28"/>
      <c r="M200" s="28"/>
      <c r="N200" s="28"/>
      <c r="O200" s="28"/>
      <c r="P200" s="28"/>
      <c r="Q200" s="28"/>
      <c r="R200" s="28"/>
      <c r="S200" s="28"/>
      <c r="T200" s="28"/>
      <c r="U200" s="28"/>
      <c r="V200" s="28"/>
      <c r="W200" s="28"/>
      <c r="X200" s="28"/>
      <c r="Y200" s="28"/>
      <c r="Z200" s="28"/>
    </row>
    <row r="201" spans="1:26" ht="15.75" customHeight="1" x14ac:dyDescent="0.25">
      <c r="A201" s="132"/>
      <c r="B201" s="133"/>
      <c r="C201" s="133"/>
      <c r="D201" s="133"/>
      <c r="E201" s="133"/>
      <c r="F201" s="28"/>
      <c r="G201" s="28"/>
      <c r="H201" s="3"/>
      <c r="I201" s="28"/>
      <c r="J201" s="28"/>
      <c r="K201" s="28"/>
      <c r="L201" s="28"/>
      <c r="M201" s="28"/>
      <c r="N201" s="28"/>
      <c r="O201" s="28"/>
      <c r="P201" s="28"/>
      <c r="Q201" s="28"/>
      <c r="R201" s="28"/>
      <c r="S201" s="28"/>
      <c r="T201" s="28"/>
      <c r="U201" s="28"/>
      <c r="V201" s="28"/>
      <c r="W201" s="28"/>
      <c r="X201" s="28"/>
      <c r="Y201" s="28"/>
      <c r="Z201" s="28"/>
    </row>
    <row r="202" spans="1:26" ht="15.75" customHeight="1" x14ac:dyDescent="0.25">
      <c r="A202" s="56" t="s">
        <v>69</v>
      </c>
      <c r="B202" s="303" t="s">
        <v>71</v>
      </c>
      <c r="C202" s="47">
        <v>12</v>
      </c>
      <c r="D202" s="11">
        <v>17</v>
      </c>
      <c r="E202" s="11"/>
      <c r="F202" s="28"/>
      <c r="G202" s="28"/>
      <c r="H202" s="3"/>
      <c r="I202" s="28"/>
      <c r="J202" s="28"/>
      <c r="K202" s="28"/>
      <c r="L202" s="28"/>
      <c r="M202" s="28"/>
      <c r="N202" s="28"/>
      <c r="O202" s="28"/>
      <c r="P202" s="28"/>
      <c r="Q202" s="28"/>
      <c r="R202" s="28"/>
      <c r="S202" s="28"/>
      <c r="T202" s="28"/>
      <c r="U202" s="28"/>
      <c r="V202" s="28"/>
      <c r="W202" s="28"/>
      <c r="X202" s="28"/>
      <c r="Y202" s="28"/>
      <c r="Z202" s="28"/>
    </row>
    <row r="203" spans="1:26" ht="15.75" customHeight="1" x14ac:dyDescent="0.25">
      <c r="A203" s="56" t="s">
        <v>72</v>
      </c>
      <c r="B203" s="300"/>
      <c r="C203" s="47">
        <v>14</v>
      </c>
      <c r="D203" s="11">
        <v>22</v>
      </c>
      <c r="E203" s="11"/>
      <c r="F203" s="28"/>
      <c r="G203" s="28"/>
      <c r="H203" s="3"/>
      <c r="I203" s="28"/>
      <c r="J203" s="28"/>
      <c r="K203" s="28"/>
      <c r="L203" s="28"/>
      <c r="M203" s="28"/>
      <c r="N203" s="28"/>
      <c r="O203" s="28"/>
      <c r="P203" s="28"/>
      <c r="Q203" s="28"/>
      <c r="R203" s="28"/>
      <c r="S203" s="28"/>
      <c r="T203" s="28"/>
      <c r="U203" s="28"/>
      <c r="V203" s="28"/>
      <c r="W203" s="28"/>
      <c r="X203" s="28"/>
      <c r="Y203" s="28"/>
      <c r="Z203" s="28"/>
    </row>
    <row r="204" spans="1:26" ht="15.75" customHeight="1" x14ac:dyDescent="0.25">
      <c r="A204" s="56" t="s">
        <v>73</v>
      </c>
      <c r="B204" s="301"/>
      <c r="C204" s="47">
        <v>17.43333333333333</v>
      </c>
      <c r="D204" s="11">
        <v>26</v>
      </c>
      <c r="E204" s="11"/>
      <c r="F204" s="28"/>
      <c r="G204" s="28"/>
      <c r="H204" s="3"/>
      <c r="I204" s="28"/>
      <c r="J204" s="28"/>
      <c r="K204" s="28"/>
      <c r="L204" s="28"/>
      <c r="M204" s="28"/>
      <c r="N204" s="28"/>
      <c r="O204" s="28"/>
      <c r="P204" s="28"/>
      <c r="Q204" s="28"/>
      <c r="R204" s="28"/>
      <c r="S204" s="28"/>
      <c r="T204" s="28"/>
      <c r="U204" s="28"/>
      <c r="V204" s="28"/>
      <c r="W204" s="28"/>
      <c r="X204" s="28"/>
      <c r="Y204" s="28"/>
      <c r="Z204" s="28"/>
    </row>
    <row r="205" spans="1:26" ht="15.75" customHeight="1" x14ac:dyDescent="0.25">
      <c r="A205" s="92"/>
      <c r="B205" s="69"/>
      <c r="C205" s="69"/>
      <c r="D205" s="180"/>
      <c r="E205" s="180"/>
      <c r="F205" s="28"/>
      <c r="G205" s="28"/>
      <c r="H205" s="3"/>
      <c r="I205" s="28"/>
      <c r="J205" s="28"/>
      <c r="K205" s="28"/>
      <c r="L205" s="28"/>
      <c r="M205" s="28"/>
      <c r="N205" s="28"/>
      <c r="O205" s="28"/>
      <c r="P205" s="28"/>
      <c r="Q205" s="28"/>
      <c r="R205" s="28"/>
      <c r="S205" s="28"/>
      <c r="T205" s="28"/>
      <c r="U205" s="28"/>
      <c r="V205" s="28"/>
      <c r="W205" s="28"/>
      <c r="X205" s="28"/>
      <c r="Y205" s="28"/>
      <c r="Z205" s="28"/>
    </row>
    <row r="206" spans="1:26" ht="15.75" customHeight="1" x14ac:dyDescent="0.25">
      <c r="A206" s="56" t="s">
        <v>80</v>
      </c>
      <c r="B206" s="309" t="s">
        <v>77</v>
      </c>
      <c r="C206" s="47">
        <v>117</v>
      </c>
      <c r="D206" s="11">
        <v>111</v>
      </c>
      <c r="E206" s="11"/>
      <c r="F206" s="28"/>
      <c r="G206" s="28"/>
      <c r="H206" s="3"/>
      <c r="I206" s="28"/>
      <c r="J206" s="28"/>
      <c r="K206" s="28"/>
      <c r="L206" s="28"/>
      <c r="M206" s="28"/>
      <c r="N206" s="28"/>
      <c r="O206" s="28"/>
      <c r="P206" s="28"/>
      <c r="Q206" s="28"/>
      <c r="R206" s="28"/>
      <c r="S206" s="28"/>
      <c r="T206" s="28"/>
      <c r="U206" s="28"/>
      <c r="V206" s="28"/>
      <c r="W206" s="28"/>
      <c r="X206" s="28"/>
      <c r="Y206" s="28"/>
      <c r="Z206" s="28"/>
    </row>
    <row r="207" spans="1:26" ht="15.75" customHeight="1" x14ac:dyDescent="0.25">
      <c r="A207" s="56" t="s">
        <v>78</v>
      </c>
      <c r="B207" s="300"/>
      <c r="C207" s="47">
        <v>188</v>
      </c>
      <c r="D207" s="11">
        <v>194</v>
      </c>
      <c r="E207" s="11"/>
      <c r="F207" s="28"/>
      <c r="G207" s="28"/>
      <c r="H207" s="3"/>
      <c r="I207" s="28"/>
      <c r="J207" s="28"/>
      <c r="K207" s="28"/>
      <c r="L207" s="28"/>
      <c r="M207" s="28"/>
      <c r="N207" s="28"/>
      <c r="O207" s="28"/>
      <c r="P207" s="28"/>
      <c r="Q207" s="28"/>
      <c r="R207" s="28"/>
      <c r="S207" s="28"/>
      <c r="T207" s="28"/>
      <c r="U207" s="28"/>
      <c r="V207" s="28"/>
      <c r="W207" s="28"/>
      <c r="X207" s="28"/>
      <c r="Y207" s="28"/>
      <c r="Z207" s="28"/>
    </row>
    <row r="208" spans="1:26" ht="15.75" customHeight="1" x14ac:dyDescent="0.25">
      <c r="A208" s="56" t="s">
        <v>76</v>
      </c>
      <c r="B208" s="300"/>
      <c r="C208" s="50">
        <v>218</v>
      </c>
      <c r="D208" s="11">
        <v>224</v>
      </c>
      <c r="E208" s="11"/>
      <c r="F208" s="28"/>
      <c r="G208" s="28"/>
      <c r="H208" s="3"/>
      <c r="I208" s="28"/>
      <c r="J208" s="28"/>
      <c r="K208" s="28"/>
      <c r="L208" s="28"/>
      <c r="M208" s="28"/>
      <c r="N208" s="28"/>
      <c r="O208" s="28"/>
      <c r="P208" s="28"/>
      <c r="Q208" s="28"/>
      <c r="R208" s="28"/>
      <c r="S208" s="28"/>
      <c r="T208" s="28"/>
      <c r="U208" s="28"/>
      <c r="V208" s="28"/>
      <c r="W208" s="28"/>
      <c r="X208" s="28"/>
      <c r="Y208" s="28"/>
      <c r="Z208" s="28"/>
    </row>
    <row r="209" spans="1:26" ht="15.75" customHeight="1" x14ac:dyDescent="0.25">
      <c r="A209" s="57" t="s">
        <v>79</v>
      </c>
      <c r="B209" s="300"/>
      <c r="C209" s="134">
        <v>239</v>
      </c>
      <c r="D209" s="11">
        <v>251</v>
      </c>
      <c r="E209" s="11"/>
      <c r="F209" s="28"/>
      <c r="G209" s="28"/>
      <c r="H209" s="3"/>
      <c r="I209" s="28"/>
      <c r="J209" s="28"/>
      <c r="K209" s="28"/>
      <c r="L209" s="28"/>
      <c r="M209" s="28"/>
      <c r="N209" s="28"/>
      <c r="O209" s="28"/>
      <c r="P209" s="28"/>
      <c r="Q209" s="28"/>
      <c r="R209" s="28"/>
      <c r="S209" s="28"/>
      <c r="T209" s="28"/>
      <c r="U209" s="28"/>
      <c r="V209" s="28"/>
      <c r="W209" s="28"/>
      <c r="X209" s="28"/>
      <c r="Y209" s="28"/>
      <c r="Z209" s="28"/>
    </row>
    <row r="210" spans="1:26" ht="15.75" customHeight="1" x14ac:dyDescent="0.25">
      <c r="A210" s="132"/>
      <c r="B210" s="133"/>
      <c r="C210" s="133"/>
      <c r="D210" s="133"/>
      <c r="E210" s="133"/>
      <c r="F210" s="28"/>
      <c r="G210" s="28"/>
      <c r="H210" s="3"/>
      <c r="I210" s="28"/>
      <c r="J210" s="28"/>
      <c r="K210" s="28"/>
      <c r="L210" s="28"/>
      <c r="M210" s="28"/>
      <c r="N210" s="28"/>
      <c r="O210" s="28"/>
      <c r="P210" s="28"/>
      <c r="Q210" s="28"/>
      <c r="R210" s="28"/>
      <c r="S210" s="28"/>
      <c r="T210" s="28"/>
      <c r="U210" s="28"/>
      <c r="V210" s="28"/>
      <c r="W210" s="28"/>
      <c r="X210" s="28"/>
      <c r="Y210" s="28"/>
      <c r="Z210" s="28"/>
    </row>
    <row r="211" spans="1:26" ht="15.75" customHeight="1" x14ac:dyDescent="0.25">
      <c r="A211" s="9" t="s">
        <v>81</v>
      </c>
      <c r="B211" s="299" t="s">
        <v>82</v>
      </c>
      <c r="C211" s="11">
        <v>2</v>
      </c>
      <c r="D211" s="11">
        <v>6</v>
      </c>
      <c r="E211" s="11"/>
      <c r="F211" s="28"/>
      <c r="G211" s="28"/>
      <c r="H211" s="3"/>
      <c r="I211" s="28"/>
      <c r="J211" s="28"/>
      <c r="K211" s="28"/>
      <c r="L211" s="28"/>
      <c r="M211" s="28"/>
      <c r="N211" s="28"/>
      <c r="O211" s="28"/>
      <c r="P211" s="28"/>
      <c r="Q211" s="28"/>
      <c r="R211" s="28"/>
      <c r="S211" s="28"/>
      <c r="T211" s="28"/>
      <c r="U211" s="28"/>
      <c r="V211" s="28"/>
      <c r="W211" s="28"/>
      <c r="X211" s="28"/>
      <c r="Y211" s="28"/>
      <c r="Z211" s="28"/>
    </row>
    <row r="212" spans="1:26" ht="15.75" customHeight="1" x14ac:dyDescent="0.25">
      <c r="A212" s="9" t="s">
        <v>83</v>
      </c>
      <c r="B212" s="300"/>
      <c r="C212" s="11">
        <v>7.133</v>
      </c>
      <c r="D212" s="11">
        <v>10</v>
      </c>
      <c r="E212" s="11"/>
      <c r="F212" s="28"/>
      <c r="G212" s="28"/>
      <c r="H212" s="3"/>
      <c r="I212" s="28"/>
      <c r="J212" s="28"/>
      <c r="K212" s="28"/>
      <c r="L212" s="28"/>
      <c r="M212" s="28"/>
      <c r="N212" s="28"/>
      <c r="O212" s="28"/>
      <c r="P212" s="28"/>
      <c r="Q212" s="28"/>
      <c r="R212" s="28"/>
      <c r="S212" s="28"/>
      <c r="T212" s="28"/>
      <c r="U212" s="28"/>
      <c r="V212" s="28"/>
      <c r="W212" s="28"/>
      <c r="X212" s="28"/>
      <c r="Y212" s="28"/>
      <c r="Z212" s="28"/>
    </row>
    <row r="213" spans="1:26" ht="15.75" customHeight="1" x14ac:dyDescent="0.25">
      <c r="A213" s="9" t="s">
        <v>155</v>
      </c>
      <c r="B213" s="301"/>
      <c r="C213" s="11">
        <v>10.72</v>
      </c>
      <c r="D213" s="11">
        <v>16</v>
      </c>
      <c r="E213" s="11"/>
      <c r="F213" s="28"/>
      <c r="G213" s="28"/>
      <c r="H213" s="3"/>
      <c r="I213" s="28"/>
      <c r="J213" s="28"/>
      <c r="K213" s="28"/>
      <c r="L213" s="28"/>
      <c r="M213" s="28"/>
      <c r="N213" s="28"/>
      <c r="O213" s="28"/>
      <c r="P213" s="28"/>
      <c r="Q213" s="28"/>
      <c r="R213" s="28"/>
      <c r="S213" s="28"/>
      <c r="T213" s="28"/>
      <c r="U213" s="28"/>
      <c r="V213" s="28"/>
      <c r="W213" s="28"/>
      <c r="X213" s="28"/>
      <c r="Y213" s="28"/>
      <c r="Z213" s="28"/>
    </row>
    <row r="214" spans="1:26" ht="15.75" customHeight="1" x14ac:dyDescent="0.25">
      <c r="A214" s="41"/>
      <c r="B214" s="125"/>
      <c r="C214" s="42"/>
      <c r="D214" s="180"/>
      <c r="E214" s="180"/>
      <c r="F214" s="28"/>
      <c r="G214" s="28"/>
      <c r="H214" s="3"/>
      <c r="I214" s="28"/>
      <c r="J214" s="28"/>
      <c r="K214" s="28"/>
      <c r="L214" s="28"/>
      <c r="M214" s="28"/>
      <c r="N214" s="28"/>
      <c r="O214" s="28"/>
      <c r="P214" s="28"/>
      <c r="Q214" s="28"/>
      <c r="R214" s="28"/>
      <c r="S214" s="28"/>
      <c r="T214" s="28"/>
      <c r="U214" s="28"/>
      <c r="V214" s="28"/>
      <c r="W214" s="28"/>
      <c r="X214" s="28"/>
      <c r="Y214" s="28"/>
      <c r="Z214" s="28"/>
    </row>
    <row r="215" spans="1:26" ht="15.75" customHeight="1" x14ac:dyDescent="0.25">
      <c r="A215" s="129" t="s">
        <v>86</v>
      </c>
      <c r="B215" s="302" t="s">
        <v>87</v>
      </c>
      <c r="C215" s="51">
        <v>19</v>
      </c>
      <c r="D215" s="11">
        <v>22</v>
      </c>
      <c r="E215" s="11"/>
      <c r="F215" s="28"/>
      <c r="G215" s="28"/>
      <c r="H215" s="3"/>
      <c r="I215" s="28"/>
      <c r="J215" s="28"/>
      <c r="K215" s="28"/>
      <c r="L215" s="28"/>
      <c r="M215" s="28"/>
      <c r="N215" s="28"/>
      <c r="O215" s="28"/>
      <c r="P215" s="28"/>
      <c r="Q215" s="28"/>
      <c r="R215" s="28"/>
      <c r="S215" s="28"/>
      <c r="T215" s="28"/>
      <c r="U215" s="28"/>
      <c r="V215" s="28"/>
      <c r="W215" s="28"/>
      <c r="X215" s="28"/>
      <c r="Y215" s="28"/>
      <c r="Z215" s="28"/>
    </row>
    <row r="216" spans="1:26" ht="15.75" customHeight="1" x14ac:dyDescent="0.25">
      <c r="A216" s="12" t="s">
        <v>88</v>
      </c>
      <c r="B216" s="301"/>
      <c r="C216" s="25">
        <v>20</v>
      </c>
      <c r="D216" s="11">
        <v>35</v>
      </c>
      <c r="E216" s="11"/>
      <c r="F216" s="28"/>
      <c r="G216" s="28"/>
      <c r="H216" s="3"/>
      <c r="I216" s="28"/>
      <c r="J216" s="28"/>
      <c r="K216" s="28"/>
      <c r="L216" s="28"/>
      <c r="M216" s="28"/>
      <c r="N216" s="28"/>
      <c r="O216" s="28"/>
      <c r="P216" s="28"/>
      <c r="Q216" s="28"/>
      <c r="R216" s="28"/>
      <c r="S216" s="28"/>
      <c r="T216" s="28"/>
      <c r="U216" s="28"/>
      <c r="V216" s="28"/>
      <c r="W216" s="28"/>
      <c r="X216" s="28"/>
      <c r="Y216" s="28"/>
      <c r="Z216" s="28"/>
    </row>
    <row r="217" spans="1:26" ht="15.75" customHeight="1" x14ac:dyDescent="0.25">
      <c r="A217" s="132"/>
      <c r="B217" s="133"/>
      <c r="C217" s="133"/>
      <c r="D217" s="133"/>
      <c r="E217" s="133"/>
      <c r="F217" s="28"/>
      <c r="G217" s="28"/>
      <c r="H217" s="3"/>
      <c r="I217" s="28"/>
      <c r="J217" s="28"/>
      <c r="K217" s="28"/>
      <c r="L217" s="28"/>
      <c r="M217" s="28"/>
      <c r="N217" s="28"/>
      <c r="O217" s="28"/>
      <c r="P217" s="28"/>
      <c r="Q217" s="28"/>
      <c r="R217" s="28"/>
      <c r="S217" s="28"/>
      <c r="T217" s="28"/>
      <c r="U217" s="28"/>
      <c r="V217" s="28"/>
      <c r="W217" s="28"/>
      <c r="X217" s="28"/>
      <c r="Y217" s="28"/>
      <c r="Z217" s="28"/>
    </row>
    <row r="218" spans="1:26" ht="15.75" customHeight="1" x14ac:dyDescent="0.25">
      <c r="A218" s="8" t="s">
        <v>89</v>
      </c>
      <c r="B218" s="302" t="s">
        <v>90</v>
      </c>
      <c r="C218" s="25">
        <v>6</v>
      </c>
      <c r="D218" s="11">
        <v>19</v>
      </c>
      <c r="E218" s="11"/>
      <c r="F218" s="28"/>
      <c r="G218" s="28"/>
      <c r="H218" s="3"/>
      <c r="I218" s="28"/>
      <c r="J218" s="28"/>
      <c r="K218" s="28"/>
      <c r="L218" s="28"/>
      <c r="M218" s="28"/>
      <c r="N218" s="28"/>
      <c r="O218" s="28"/>
      <c r="P218" s="28"/>
      <c r="Q218" s="28"/>
      <c r="R218" s="28"/>
      <c r="S218" s="28"/>
      <c r="T218" s="28"/>
      <c r="U218" s="28"/>
      <c r="V218" s="28"/>
      <c r="W218" s="28"/>
      <c r="X218" s="28"/>
      <c r="Y218" s="28"/>
      <c r="Z218" s="28"/>
    </row>
    <row r="219" spans="1:26" ht="15.75" customHeight="1" x14ac:dyDescent="0.25">
      <c r="A219" s="126" t="s">
        <v>91</v>
      </c>
      <c r="B219" s="301"/>
      <c r="C219" s="11">
        <v>16</v>
      </c>
      <c r="D219" s="11">
        <v>27</v>
      </c>
      <c r="E219" s="11"/>
      <c r="F219" s="28"/>
      <c r="G219" s="28"/>
      <c r="H219" s="3"/>
      <c r="I219" s="28"/>
      <c r="J219" s="28"/>
      <c r="K219" s="28"/>
      <c r="L219" s="28"/>
      <c r="M219" s="28"/>
      <c r="N219" s="28"/>
      <c r="O219" s="28"/>
      <c r="P219" s="28"/>
      <c r="Q219" s="28"/>
      <c r="R219" s="28"/>
      <c r="S219" s="28"/>
      <c r="T219" s="28"/>
      <c r="U219" s="28"/>
      <c r="V219" s="28"/>
      <c r="W219" s="28"/>
      <c r="X219" s="28"/>
      <c r="Y219" s="28"/>
      <c r="Z219" s="28"/>
    </row>
    <row r="220" spans="1:26" ht="15.75" customHeight="1" x14ac:dyDescent="0.25">
      <c r="A220" s="135"/>
      <c r="B220" s="136"/>
      <c r="C220" s="136"/>
      <c r="D220" s="180"/>
      <c r="E220" s="180"/>
      <c r="F220" s="28"/>
      <c r="G220" s="28"/>
      <c r="H220" s="3"/>
      <c r="I220" s="28"/>
      <c r="J220" s="28"/>
      <c r="K220" s="28"/>
      <c r="L220" s="28"/>
      <c r="M220" s="28"/>
      <c r="N220" s="28"/>
      <c r="O220" s="28"/>
      <c r="P220" s="28"/>
      <c r="Q220" s="28"/>
      <c r="R220" s="28"/>
      <c r="S220" s="28"/>
      <c r="T220" s="28"/>
      <c r="U220" s="28"/>
      <c r="V220" s="28"/>
      <c r="W220" s="28"/>
      <c r="X220" s="28"/>
      <c r="Y220" s="28"/>
      <c r="Z220" s="28"/>
    </row>
    <row r="221" spans="1:26" ht="15.75" customHeight="1" x14ac:dyDescent="0.25">
      <c r="A221" s="9" t="s">
        <v>94</v>
      </c>
      <c r="B221" s="299" t="s">
        <v>95</v>
      </c>
      <c r="C221" s="47">
        <v>49.666666666666664</v>
      </c>
      <c r="D221" s="11">
        <v>60</v>
      </c>
      <c r="E221" s="11"/>
      <c r="F221" s="28"/>
      <c r="G221" s="28"/>
      <c r="H221" s="3"/>
      <c r="I221" s="28"/>
      <c r="J221" s="28"/>
      <c r="K221" s="28"/>
      <c r="L221" s="28"/>
      <c r="M221" s="28"/>
      <c r="N221" s="28"/>
      <c r="O221" s="28"/>
      <c r="P221" s="28"/>
      <c r="Q221" s="28"/>
      <c r="R221" s="28"/>
      <c r="S221" s="28"/>
      <c r="T221" s="28"/>
      <c r="U221" s="28"/>
      <c r="V221" s="28"/>
      <c r="W221" s="28"/>
      <c r="X221" s="28"/>
      <c r="Y221" s="28"/>
      <c r="Z221" s="28"/>
    </row>
    <row r="222" spans="1:26" ht="15.75" customHeight="1" x14ac:dyDescent="0.25">
      <c r="A222" s="9" t="s">
        <v>96</v>
      </c>
      <c r="B222" s="300"/>
      <c r="C222" s="47">
        <v>122</v>
      </c>
      <c r="D222" s="11">
        <v>104</v>
      </c>
      <c r="E222" s="11"/>
      <c r="F222" s="28"/>
      <c r="G222" s="28"/>
      <c r="H222" s="3"/>
      <c r="I222" s="28"/>
      <c r="J222" s="28"/>
      <c r="K222" s="28"/>
      <c r="L222" s="28"/>
      <c r="M222" s="28"/>
      <c r="N222" s="28"/>
      <c r="O222" s="28"/>
      <c r="P222" s="28"/>
      <c r="Q222" s="28"/>
      <c r="R222" s="28"/>
      <c r="S222" s="28"/>
      <c r="T222" s="28"/>
      <c r="U222" s="28"/>
      <c r="V222" s="28"/>
      <c r="W222" s="28"/>
      <c r="X222" s="28"/>
      <c r="Y222" s="28"/>
      <c r="Z222" s="28"/>
    </row>
    <row r="223" spans="1:26" ht="15.75" customHeight="1" x14ac:dyDescent="0.25">
      <c r="A223" s="9" t="s">
        <v>97</v>
      </c>
      <c r="B223" s="300"/>
      <c r="C223" s="47">
        <v>130</v>
      </c>
      <c r="D223" s="11">
        <v>110</v>
      </c>
      <c r="E223" s="11"/>
      <c r="F223" s="28"/>
      <c r="G223" s="28"/>
      <c r="H223" s="3"/>
      <c r="I223" s="28"/>
      <c r="J223" s="28"/>
      <c r="K223" s="28"/>
      <c r="L223" s="28"/>
      <c r="M223" s="28"/>
      <c r="N223" s="28"/>
      <c r="O223" s="28"/>
      <c r="P223" s="28"/>
      <c r="Q223" s="28"/>
      <c r="R223" s="28"/>
      <c r="S223" s="28"/>
      <c r="T223" s="28"/>
      <c r="U223" s="28"/>
      <c r="V223" s="28"/>
      <c r="W223" s="28"/>
      <c r="X223" s="28"/>
      <c r="Y223" s="28"/>
      <c r="Z223" s="28"/>
    </row>
    <row r="224" spans="1:26" ht="15.75" customHeight="1" x14ac:dyDescent="0.25">
      <c r="A224" s="9" t="s">
        <v>98</v>
      </c>
      <c r="B224" s="300"/>
      <c r="C224" s="47">
        <v>142</v>
      </c>
      <c r="D224" s="11">
        <v>120</v>
      </c>
      <c r="E224" s="11"/>
      <c r="F224" s="28"/>
      <c r="G224" s="28"/>
      <c r="H224" s="3"/>
      <c r="I224" s="28"/>
      <c r="J224" s="28"/>
      <c r="K224" s="28"/>
      <c r="L224" s="28"/>
      <c r="M224" s="28"/>
      <c r="N224" s="28"/>
      <c r="O224" s="28"/>
      <c r="P224" s="28"/>
      <c r="Q224" s="28"/>
      <c r="R224" s="28"/>
      <c r="S224" s="28"/>
      <c r="T224" s="28"/>
      <c r="U224" s="28"/>
      <c r="V224" s="28"/>
      <c r="W224" s="28"/>
      <c r="X224" s="28"/>
      <c r="Y224" s="28"/>
      <c r="Z224" s="28"/>
    </row>
    <row r="225" spans="1:26" ht="15.75" customHeight="1" x14ac:dyDescent="0.25">
      <c r="A225" s="9" t="s">
        <v>99</v>
      </c>
      <c r="B225" s="301"/>
      <c r="C225" s="47">
        <v>146</v>
      </c>
      <c r="D225" s="11">
        <v>130</v>
      </c>
      <c r="E225" s="11"/>
      <c r="F225" s="28"/>
      <c r="G225" s="28"/>
      <c r="H225" s="3"/>
      <c r="I225" s="28"/>
      <c r="J225" s="28"/>
      <c r="K225" s="28"/>
      <c r="L225" s="28"/>
      <c r="M225" s="28"/>
      <c r="N225" s="28"/>
      <c r="O225" s="28"/>
      <c r="P225" s="28"/>
      <c r="Q225" s="28"/>
      <c r="R225" s="28"/>
      <c r="S225" s="28"/>
      <c r="T225" s="28"/>
      <c r="U225" s="28"/>
      <c r="V225" s="28"/>
      <c r="W225" s="28"/>
      <c r="X225" s="28"/>
      <c r="Y225" s="28"/>
      <c r="Z225" s="28"/>
    </row>
    <row r="226" spans="1:26" ht="15.75" customHeight="1" x14ac:dyDescent="0.2"/>
    <row r="227" spans="1:26" ht="15.75" customHeight="1" x14ac:dyDescent="0.2"/>
    <row r="228" spans="1:26" ht="15.75" customHeight="1" x14ac:dyDescent="0.2"/>
    <row r="229" spans="1:26" ht="15.75" customHeight="1" x14ac:dyDescent="0.25">
      <c r="A229" s="29"/>
      <c r="B229" s="29"/>
      <c r="C229" s="29"/>
      <c r="D229" s="29"/>
      <c r="E229" s="29"/>
      <c r="F229" s="29"/>
      <c r="G229" s="29"/>
      <c r="H229" s="29"/>
      <c r="I229" s="29"/>
      <c r="J229" s="29"/>
      <c r="K229" s="29"/>
      <c r="L229" s="29"/>
      <c r="M229" s="29"/>
      <c r="N229" s="29"/>
      <c r="O229" s="29"/>
      <c r="P229" s="29"/>
      <c r="Q229" s="29"/>
      <c r="R229" s="29"/>
      <c r="S229" s="29"/>
      <c r="T229" s="29"/>
      <c r="U229" s="29"/>
      <c r="V229" s="29"/>
      <c r="W229" s="28"/>
      <c r="X229" s="28"/>
      <c r="Y229" s="28"/>
      <c r="Z229" s="28"/>
    </row>
    <row r="230" spans="1:26" ht="15.75" customHeight="1" x14ac:dyDescent="0.25">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5.75" customHeight="1" x14ac:dyDescent="0.25">
      <c r="A231" s="28"/>
      <c r="B231" s="28" t="s">
        <v>1227</v>
      </c>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5.75" customHeight="1" x14ac:dyDescent="0.25">
      <c r="A232" s="28"/>
      <c r="B232" s="28"/>
      <c r="C232" s="23"/>
      <c r="D232" s="23"/>
      <c r="E232" s="23"/>
      <c r="F232" s="23"/>
      <c r="G232" s="23"/>
      <c r="H232" s="28"/>
      <c r="I232" s="28"/>
      <c r="J232" s="28"/>
      <c r="K232" s="28"/>
      <c r="L232" s="28"/>
      <c r="M232" s="28"/>
      <c r="N232" s="28"/>
      <c r="O232" s="28"/>
      <c r="P232" s="28"/>
      <c r="Q232" s="28"/>
      <c r="R232" s="28"/>
      <c r="S232" s="28"/>
      <c r="T232" s="28"/>
      <c r="U232" s="28"/>
      <c r="V232" s="28"/>
      <c r="W232" s="28"/>
      <c r="X232" s="28"/>
      <c r="Y232" s="28"/>
      <c r="Z232" s="28"/>
    </row>
    <row r="233" spans="1:26" ht="15.75" customHeight="1" x14ac:dyDescent="0.25">
      <c r="A233" s="28"/>
      <c r="B233" s="4" t="s">
        <v>0</v>
      </c>
      <c r="C233" s="5" t="s">
        <v>1</v>
      </c>
      <c r="D233" s="5" t="s">
        <v>42</v>
      </c>
      <c r="E233" s="5" t="s">
        <v>43</v>
      </c>
      <c r="F233" s="5" t="s">
        <v>44</v>
      </c>
      <c r="G233" s="28"/>
      <c r="H233" s="28"/>
      <c r="I233" s="296" t="s">
        <v>45</v>
      </c>
      <c r="J233" s="297"/>
      <c r="K233" s="297"/>
      <c r="L233" s="298"/>
      <c r="M233" s="28"/>
      <c r="N233" s="28"/>
      <c r="O233" s="324" t="s">
        <v>1228</v>
      </c>
      <c r="P233" s="315"/>
      <c r="Q233" s="315"/>
      <c r="R233" s="315"/>
      <c r="S233" s="315"/>
      <c r="T233" s="315"/>
      <c r="U233" s="28"/>
      <c r="V233" s="28"/>
      <c r="W233" s="28"/>
      <c r="X233" s="28"/>
      <c r="Y233" s="28"/>
      <c r="Z233" s="28"/>
    </row>
    <row r="234" spans="1:26" ht="15.75" customHeight="1" x14ac:dyDescent="0.25">
      <c r="A234" s="28"/>
      <c r="B234" s="310" t="s">
        <v>8</v>
      </c>
      <c r="C234" s="297"/>
      <c r="D234" s="297"/>
      <c r="E234" s="297"/>
      <c r="F234" s="306"/>
      <c r="G234" s="28"/>
      <c r="H234" s="28"/>
      <c r="I234" s="305" t="s">
        <v>10</v>
      </c>
      <c r="J234" s="297"/>
      <c r="K234" s="297"/>
      <c r="L234" s="298"/>
      <c r="M234" s="28"/>
      <c r="N234" s="28"/>
      <c r="O234" s="315"/>
      <c r="P234" s="315"/>
      <c r="Q234" s="315"/>
      <c r="R234" s="315"/>
      <c r="S234" s="315"/>
      <c r="T234" s="315"/>
      <c r="U234" s="28"/>
      <c r="V234" s="28"/>
      <c r="W234" s="28"/>
      <c r="X234" s="28"/>
      <c r="Y234" s="28"/>
      <c r="Z234" s="28"/>
    </row>
    <row r="235" spans="1:26" ht="15.75" customHeight="1" x14ac:dyDescent="0.25">
      <c r="A235" s="28"/>
      <c r="B235" s="9" t="s">
        <v>11</v>
      </c>
      <c r="C235" s="12" t="s">
        <v>12</v>
      </c>
      <c r="D235" s="17"/>
      <c r="E235" s="22">
        <v>600</v>
      </c>
      <c r="F235" s="11">
        <v>800</v>
      </c>
      <c r="G235" s="28"/>
      <c r="H235" s="28"/>
      <c r="I235" s="12"/>
      <c r="J235" s="12" t="s">
        <v>52</v>
      </c>
      <c r="K235" s="12" t="s">
        <v>53</v>
      </c>
      <c r="L235" s="12"/>
      <c r="M235" s="28"/>
      <c r="N235" s="28"/>
      <c r="O235" s="315"/>
      <c r="P235" s="315"/>
      <c r="Q235" s="315"/>
      <c r="R235" s="315"/>
      <c r="S235" s="315"/>
      <c r="T235" s="315"/>
      <c r="U235" s="28"/>
      <c r="V235" s="28"/>
      <c r="W235" s="28"/>
      <c r="X235" s="28"/>
      <c r="Y235" s="28"/>
      <c r="Z235" s="28"/>
    </row>
    <row r="236" spans="1:26" ht="15.75" customHeight="1" x14ac:dyDescent="0.25">
      <c r="A236" s="28"/>
      <c r="B236" s="9" t="s">
        <v>11</v>
      </c>
      <c r="C236" s="12" t="s">
        <v>18</v>
      </c>
      <c r="D236" s="17">
        <v>0</v>
      </c>
      <c r="E236" s="22">
        <v>0</v>
      </c>
      <c r="F236" s="11">
        <v>0</v>
      </c>
      <c r="G236" s="28"/>
      <c r="H236" s="28"/>
      <c r="I236" s="12" t="s">
        <v>12</v>
      </c>
      <c r="J236" s="17">
        <v>600</v>
      </c>
      <c r="K236" s="11">
        <v>800</v>
      </c>
      <c r="L236" s="17" t="s">
        <v>1275</v>
      </c>
      <c r="M236" s="28"/>
      <c r="N236" s="28"/>
      <c r="O236" s="315"/>
      <c r="P236" s="315"/>
      <c r="Q236" s="315"/>
      <c r="R236" s="315"/>
      <c r="S236" s="315"/>
      <c r="T236" s="315"/>
      <c r="U236" s="28"/>
      <c r="V236" s="28"/>
      <c r="W236" s="28"/>
      <c r="X236" s="28"/>
      <c r="Y236" s="28"/>
      <c r="Z236" s="28"/>
    </row>
    <row r="237" spans="1:26" ht="15.75" customHeight="1" x14ac:dyDescent="0.25">
      <c r="A237" s="28"/>
      <c r="B237" s="9" t="s">
        <v>21</v>
      </c>
      <c r="C237" s="12" t="s">
        <v>59</v>
      </c>
      <c r="D237" s="17">
        <v>440</v>
      </c>
      <c r="E237" s="22">
        <v>374</v>
      </c>
      <c r="F237" s="11">
        <v>437</v>
      </c>
      <c r="G237" s="28"/>
      <c r="H237" s="28"/>
      <c r="I237" s="12" t="s">
        <v>18</v>
      </c>
      <c r="J237" s="17">
        <v>0</v>
      </c>
      <c r="K237" s="11">
        <v>0</v>
      </c>
      <c r="L237" s="17" t="s">
        <v>1276</v>
      </c>
      <c r="M237" s="28"/>
      <c r="N237" s="28"/>
      <c r="O237" s="315"/>
      <c r="P237" s="315"/>
      <c r="Q237" s="315"/>
      <c r="R237" s="315"/>
      <c r="S237" s="315"/>
      <c r="T237" s="315"/>
      <c r="U237" s="28"/>
      <c r="V237" s="28"/>
      <c r="W237" s="28"/>
      <c r="X237" s="28"/>
      <c r="Y237" s="28"/>
      <c r="Z237" s="28"/>
    </row>
    <row r="238" spans="1:26" ht="15.75" customHeight="1" x14ac:dyDescent="0.25">
      <c r="A238" s="28"/>
      <c r="B238" s="9" t="s">
        <v>21</v>
      </c>
      <c r="C238" s="12" t="s">
        <v>63</v>
      </c>
      <c r="D238" s="17">
        <v>160</v>
      </c>
      <c r="E238" s="22">
        <v>120</v>
      </c>
      <c r="F238" s="11">
        <v>167</v>
      </c>
      <c r="G238" s="28"/>
      <c r="H238" s="28"/>
      <c r="I238" s="305" t="s">
        <v>23</v>
      </c>
      <c r="J238" s="297"/>
      <c r="K238" s="297"/>
      <c r="L238" s="298"/>
      <c r="M238" s="28"/>
      <c r="N238" s="28"/>
      <c r="O238" s="315"/>
      <c r="P238" s="315"/>
      <c r="Q238" s="315"/>
      <c r="R238" s="315"/>
      <c r="S238" s="315"/>
      <c r="T238" s="315"/>
      <c r="U238" s="28"/>
      <c r="V238" s="28"/>
      <c r="W238" s="28"/>
      <c r="X238" s="28"/>
      <c r="Y238" s="28"/>
      <c r="Z238" s="28"/>
    </row>
    <row r="239" spans="1:26" ht="15.75" customHeight="1" x14ac:dyDescent="0.25">
      <c r="A239" s="28"/>
      <c r="B239" s="9" t="s">
        <v>21</v>
      </c>
      <c r="C239" s="12" t="s">
        <v>218</v>
      </c>
      <c r="D239" s="17">
        <v>0</v>
      </c>
      <c r="E239" s="22">
        <v>0</v>
      </c>
      <c r="F239" s="11">
        <v>67</v>
      </c>
      <c r="G239" s="28"/>
      <c r="H239" s="28"/>
      <c r="I239" s="12" t="s">
        <v>12</v>
      </c>
      <c r="J239" s="17">
        <v>570</v>
      </c>
      <c r="K239" s="11">
        <v>780</v>
      </c>
      <c r="L239" s="17" t="s">
        <v>1278</v>
      </c>
      <c r="M239" s="28"/>
      <c r="N239" s="28"/>
      <c r="O239" s="28"/>
      <c r="P239" s="28"/>
      <c r="Q239" s="28"/>
      <c r="R239" s="28"/>
      <c r="S239" s="28"/>
      <c r="T239" s="28"/>
      <c r="U239" s="28"/>
      <c r="V239" s="28"/>
      <c r="W239" s="28"/>
      <c r="X239" s="28"/>
      <c r="Y239" s="28"/>
      <c r="Z239" s="28"/>
    </row>
    <row r="240" spans="1:26" ht="15.75" customHeight="1" x14ac:dyDescent="0.25">
      <c r="A240" s="28"/>
      <c r="B240" s="310" t="s">
        <v>29</v>
      </c>
      <c r="C240" s="297"/>
      <c r="D240" s="297"/>
      <c r="E240" s="297"/>
      <c r="F240" s="306"/>
      <c r="G240" s="28"/>
      <c r="H240" s="28"/>
      <c r="I240" s="12" t="s">
        <v>18</v>
      </c>
      <c r="J240" s="17">
        <v>0</v>
      </c>
      <c r="K240" s="11">
        <v>0</v>
      </c>
      <c r="L240" s="17" t="s">
        <v>1281</v>
      </c>
      <c r="M240" s="28"/>
      <c r="N240" s="28"/>
      <c r="O240" s="28"/>
      <c r="P240" s="28"/>
      <c r="Q240" s="28"/>
      <c r="R240" s="28"/>
      <c r="S240" s="28"/>
      <c r="T240" s="28"/>
      <c r="U240" s="28"/>
      <c r="V240" s="28"/>
      <c r="W240" s="28"/>
      <c r="X240" s="28"/>
      <c r="Y240" s="28"/>
      <c r="Z240" s="28"/>
    </row>
    <row r="241" spans="1:26" ht="15.75" customHeight="1" x14ac:dyDescent="0.25">
      <c r="A241" s="28"/>
      <c r="B241" s="9" t="s">
        <v>11</v>
      </c>
      <c r="C241" s="12" t="s">
        <v>12</v>
      </c>
      <c r="D241" s="17"/>
      <c r="E241" s="22">
        <v>570</v>
      </c>
      <c r="F241" s="22">
        <v>780</v>
      </c>
      <c r="G241" s="28"/>
      <c r="H241" s="28"/>
      <c r="I241" s="28"/>
      <c r="J241" s="28"/>
      <c r="K241" s="28"/>
      <c r="L241" s="28"/>
      <c r="M241" s="28"/>
      <c r="N241" s="28"/>
      <c r="O241" s="28"/>
      <c r="P241" s="28"/>
      <c r="Q241" s="28"/>
      <c r="R241" s="28"/>
      <c r="S241" s="28"/>
      <c r="T241" s="28"/>
      <c r="U241" s="28"/>
      <c r="V241" s="28"/>
      <c r="W241" s="28"/>
      <c r="X241" s="28"/>
      <c r="Y241" s="28"/>
      <c r="Z241" s="28"/>
    </row>
    <row r="242" spans="1:26" ht="15.75" customHeight="1" x14ac:dyDescent="0.25">
      <c r="A242" s="28"/>
      <c r="B242" s="9" t="s">
        <v>11</v>
      </c>
      <c r="C242" s="12" t="s">
        <v>18</v>
      </c>
      <c r="D242" s="17">
        <v>0</v>
      </c>
      <c r="E242" s="22">
        <v>0</v>
      </c>
      <c r="F242" s="22">
        <v>0</v>
      </c>
      <c r="G242" s="28"/>
      <c r="H242" s="28"/>
      <c r="I242" s="28"/>
      <c r="J242" s="28"/>
      <c r="K242" s="28"/>
      <c r="L242" s="28"/>
      <c r="M242" s="28"/>
      <c r="N242" s="28"/>
      <c r="O242" s="28"/>
      <c r="P242" s="28"/>
      <c r="Q242" s="28"/>
      <c r="R242" s="28"/>
      <c r="S242" s="28"/>
      <c r="T242" s="28"/>
      <c r="U242" s="28"/>
      <c r="V242" s="28"/>
      <c r="W242" s="28"/>
      <c r="X242" s="28"/>
      <c r="Y242" s="28"/>
      <c r="Z242" s="28"/>
    </row>
    <row r="243" spans="1:26" ht="15.75" customHeight="1" x14ac:dyDescent="0.25">
      <c r="A243" s="28"/>
      <c r="B243" s="9" t="s">
        <v>21</v>
      </c>
      <c r="C243" s="12" t="s">
        <v>59</v>
      </c>
      <c r="D243" s="17">
        <v>430</v>
      </c>
      <c r="E243" s="22">
        <v>318</v>
      </c>
      <c r="F243" s="22">
        <v>420</v>
      </c>
      <c r="G243" s="28"/>
      <c r="H243" s="28"/>
      <c r="I243" s="28"/>
      <c r="J243" s="28"/>
      <c r="K243" s="28"/>
      <c r="L243" s="28"/>
      <c r="M243" s="28"/>
      <c r="N243" s="28"/>
      <c r="O243" s="28"/>
      <c r="P243" s="28"/>
      <c r="Q243" s="28"/>
      <c r="R243" s="28"/>
      <c r="S243" s="28"/>
      <c r="T243" s="28"/>
      <c r="U243" s="28"/>
      <c r="V243" s="28"/>
      <c r="W243" s="28"/>
      <c r="X243" s="28"/>
      <c r="Y243" s="28"/>
      <c r="Z243" s="28"/>
    </row>
    <row r="244" spans="1:26" ht="15.75" customHeight="1" x14ac:dyDescent="0.2">
      <c r="B244" s="9" t="s">
        <v>21</v>
      </c>
      <c r="C244" s="12" t="s">
        <v>63</v>
      </c>
      <c r="D244" s="17">
        <v>150</v>
      </c>
      <c r="E244" s="22">
        <v>120</v>
      </c>
      <c r="F244" s="22">
        <v>153</v>
      </c>
    </row>
    <row r="245" spans="1:26" ht="15.75" customHeight="1" x14ac:dyDescent="0.2">
      <c r="B245" s="9" t="s">
        <v>21</v>
      </c>
      <c r="C245" s="12" t="s">
        <v>218</v>
      </c>
      <c r="D245" s="17">
        <v>0</v>
      </c>
      <c r="E245" s="22">
        <v>67</v>
      </c>
      <c r="F245" s="11">
        <v>0</v>
      </c>
    </row>
    <row r="246" spans="1:26" ht="15.75" customHeight="1" x14ac:dyDescent="0.2"/>
    <row r="247" spans="1:26" ht="15.75" customHeight="1" x14ac:dyDescent="0.2"/>
    <row r="248" spans="1:26" ht="15.75" customHeight="1" x14ac:dyDescent="0.2"/>
    <row r="249" spans="1:26" ht="15.75" customHeight="1" x14ac:dyDescent="0.25">
      <c r="A249" s="29"/>
      <c r="B249" s="29"/>
      <c r="C249" s="29"/>
      <c r="D249" s="29"/>
      <c r="E249" s="29"/>
      <c r="F249" s="29"/>
      <c r="G249" s="29"/>
      <c r="H249" s="29"/>
      <c r="I249" s="29"/>
      <c r="J249" s="29"/>
      <c r="K249" s="29"/>
      <c r="L249" s="29"/>
      <c r="M249" s="29"/>
      <c r="N249" s="29"/>
      <c r="O249" s="29"/>
      <c r="P249" s="29"/>
      <c r="Q249" s="29"/>
      <c r="R249" s="29"/>
      <c r="S249" s="29"/>
      <c r="T249" s="29"/>
      <c r="U249" s="29"/>
      <c r="V249" s="29"/>
      <c r="W249" s="28"/>
      <c r="X249" s="28"/>
      <c r="Y249" s="28"/>
      <c r="Z249" s="28"/>
    </row>
    <row r="250" spans="1:26" ht="15.75" customHeight="1" x14ac:dyDescent="0.25">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5.75" customHeight="1" x14ac:dyDescent="0.25">
      <c r="A251" s="23" t="s">
        <v>115</v>
      </c>
      <c r="B251" s="43" t="s">
        <v>1205</v>
      </c>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5.75" customHeight="1" x14ac:dyDescent="0.25">
      <c r="A252" s="304" t="s">
        <v>1249</v>
      </c>
      <c r="B252" s="297"/>
      <c r="C252" s="373"/>
      <c r="D252" s="297"/>
      <c r="E252" s="298"/>
      <c r="F252" s="28"/>
      <c r="G252" s="28"/>
      <c r="H252" s="3"/>
      <c r="I252" s="28"/>
      <c r="J252" s="28"/>
      <c r="K252" s="28"/>
      <c r="L252" s="28"/>
      <c r="M252" s="28"/>
      <c r="N252" s="28"/>
      <c r="O252" s="28"/>
      <c r="P252" s="28"/>
      <c r="Q252" s="28"/>
      <c r="R252" s="28"/>
      <c r="S252" s="28"/>
      <c r="T252" s="28"/>
      <c r="U252" s="28"/>
      <c r="V252" s="28"/>
      <c r="W252" s="28"/>
      <c r="X252" s="28"/>
      <c r="Y252" s="28"/>
      <c r="Z252" s="28"/>
    </row>
    <row r="253" spans="1:26" ht="15.75" customHeight="1" x14ac:dyDescent="0.25">
      <c r="A253" s="4" t="s">
        <v>0</v>
      </c>
      <c r="B253" s="5" t="s">
        <v>1</v>
      </c>
      <c r="C253" s="5" t="s">
        <v>2</v>
      </c>
      <c r="D253" s="5" t="s">
        <v>43</v>
      </c>
      <c r="E253" s="45" t="s">
        <v>125</v>
      </c>
      <c r="F253" s="28"/>
      <c r="G253" s="296" t="s">
        <v>6</v>
      </c>
      <c r="H253" s="297"/>
      <c r="I253" s="297"/>
      <c r="J253" s="297"/>
      <c r="K253" s="297"/>
      <c r="L253" s="298"/>
      <c r="M253" s="28"/>
      <c r="N253" s="28"/>
      <c r="O253" s="28"/>
      <c r="P253" s="28"/>
      <c r="Q253" s="28"/>
      <c r="R253" s="28"/>
      <c r="S253" s="28"/>
      <c r="T253" s="28"/>
      <c r="U253" s="28"/>
      <c r="V253" s="28"/>
      <c r="W253" s="28"/>
      <c r="X253" s="28"/>
      <c r="Y253" s="28"/>
      <c r="Z253" s="28"/>
    </row>
    <row r="254" spans="1:26" ht="15.75" customHeight="1" x14ac:dyDescent="0.25">
      <c r="A254" s="9" t="s">
        <v>7</v>
      </c>
      <c r="B254" s="302" t="s">
        <v>9</v>
      </c>
      <c r="C254" s="47">
        <v>28.1</v>
      </c>
      <c r="D254" s="47">
        <v>70</v>
      </c>
      <c r="E254" s="47">
        <v>71</v>
      </c>
      <c r="F254" s="28"/>
      <c r="G254" s="296" t="s">
        <v>106</v>
      </c>
      <c r="H254" s="297"/>
      <c r="I254" s="298"/>
      <c r="J254" s="296" t="s">
        <v>107</v>
      </c>
      <c r="K254" s="297"/>
      <c r="L254" s="298"/>
      <c r="M254" s="28"/>
      <c r="N254" s="28"/>
      <c r="O254" s="28"/>
      <c r="P254" s="28"/>
      <c r="Q254" s="28"/>
      <c r="R254" s="28"/>
      <c r="S254" s="28"/>
      <c r="T254" s="28"/>
      <c r="U254" s="28"/>
      <c r="V254" s="28"/>
      <c r="W254" s="28"/>
      <c r="X254" s="28"/>
      <c r="Y254" s="28"/>
      <c r="Z254" s="28"/>
    </row>
    <row r="255" spans="1:26" ht="15.75" customHeight="1" x14ac:dyDescent="0.25">
      <c r="A255" s="9" t="s">
        <v>17</v>
      </c>
      <c r="B255" s="300"/>
      <c r="C255" s="47">
        <v>63.911000000000001</v>
      </c>
      <c r="D255" s="47">
        <v>77</v>
      </c>
      <c r="E255" s="47">
        <v>68</v>
      </c>
      <c r="F255" s="28"/>
      <c r="G255" s="13" t="s">
        <v>13</v>
      </c>
      <c r="H255" s="39">
        <f>H257+(H257*0.05)</f>
        <v>780.15</v>
      </c>
      <c r="I255" s="17" t="s">
        <v>1287</v>
      </c>
      <c r="J255" s="13" t="s">
        <v>13</v>
      </c>
      <c r="K255" s="39">
        <f>K257+(K257*0.05)</f>
        <v>756</v>
      </c>
      <c r="L255" s="17" t="s">
        <v>1288</v>
      </c>
      <c r="M255" s="28"/>
      <c r="N255" s="28"/>
      <c r="O255" s="28"/>
      <c r="P255" s="28"/>
      <c r="Q255" s="28"/>
      <c r="R255" s="28"/>
      <c r="S255" s="28"/>
      <c r="T255" s="28"/>
      <c r="U255" s="28"/>
      <c r="V255" s="28"/>
      <c r="W255" s="28"/>
      <c r="X255" s="28"/>
      <c r="Y255" s="28"/>
      <c r="Z255" s="28"/>
    </row>
    <row r="256" spans="1:26" ht="15.75" customHeight="1" x14ac:dyDescent="0.25">
      <c r="A256" s="9" t="s">
        <v>26</v>
      </c>
      <c r="B256" s="300"/>
      <c r="C256" s="47">
        <v>69.921999999999997</v>
      </c>
      <c r="D256" s="47">
        <v>79</v>
      </c>
      <c r="E256" s="47">
        <v>71</v>
      </c>
      <c r="F256" s="28"/>
      <c r="G256" s="13" t="s">
        <v>19</v>
      </c>
      <c r="H256" s="40">
        <f>H257-(H257*0.05)</f>
        <v>705.85</v>
      </c>
      <c r="I256" s="17" t="s">
        <v>1290</v>
      </c>
      <c r="J256" s="13" t="s">
        <v>19</v>
      </c>
      <c r="K256" s="40">
        <f>K257-(K257*0.05)</f>
        <v>684</v>
      </c>
      <c r="L256" s="17" t="s">
        <v>1292</v>
      </c>
      <c r="M256" s="28"/>
      <c r="N256" s="28"/>
      <c r="O256" s="28"/>
      <c r="P256" s="28"/>
      <c r="Q256" s="28"/>
      <c r="R256" s="28"/>
      <c r="S256" s="28"/>
      <c r="T256" s="28"/>
      <c r="U256" s="28"/>
      <c r="V256" s="28"/>
      <c r="W256" s="28"/>
      <c r="X256" s="28"/>
      <c r="Y256" s="28"/>
      <c r="Z256" s="28"/>
    </row>
    <row r="257" spans="1:26" ht="15.75" customHeight="1" x14ac:dyDescent="0.25">
      <c r="A257" s="9" t="s">
        <v>32</v>
      </c>
      <c r="B257" s="300"/>
      <c r="C257" s="47">
        <v>96.744</v>
      </c>
      <c r="D257" s="47">
        <v>108</v>
      </c>
      <c r="E257" s="47">
        <v>104</v>
      </c>
      <c r="F257" s="28"/>
      <c r="G257" s="13" t="s">
        <v>27</v>
      </c>
      <c r="H257" s="20">
        <v>743</v>
      </c>
      <c r="I257" s="17" t="s">
        <v>1294</v>
      </c>
      <c r="J257" s="13" t="s">
        <v>27</v>
      </c>
      <c r="K257" s="20">
        <v>720</v>
      </c>
      <c r="L257" s="17" t="s">
        <v>1296</v>
      </c>
      <c r="M257" s="28"/>
      <c r="N257" s="28"/>
      <c r="O257" s="28"/>
      <c r="P257" s="28"/>
      <c r="Q257" s="28"/>
      <c r="R257" s="28"/>
      <c r="S257" s="28"/>
      <c r="T257" s="28"/>
      <c r="U257" s="28"/>
      <c r="V257" s="28"/>
      <c r="W257" s="28"/>
      <c r="X257" s="28"/>
      <c r="Y257" s="28"/>
      <c r="Z257" s="28"/>
    </row>
    <row r="258" spans="1:26" ht="15.75" customHeight="1" x14ac:dyDescent="0.25">
      <c r="A258" s="9" t="s">
        <v>33</v>
      </c>
      <c r="B258" s="301"/>
      <c r="C258" s="47">
        <v>128.11000000000001</v>
      </c>
      <c r="D258" s="47">
        <v>124</v>
      </c>
      <c r="E258" s="47">
        <v>126</v>
      </c>
      <c r="F258" s="28"/>
      <c r="G258" s="13" t="s">
        <v>121</v>
      </c>
      <c r="H258" s="20">
        <v>774</v>
      </c>
      <c r="I258" s="17" t="s">
        <v>1299</v>
      </c>
      <c r="J258" s="13" t="s">
        <v>121</v>
      </c>
      <c r="K258" s="20">
        <v>721</v>
      </c>
      <c r="L258" s="17" t="s">
        <v>1301</v>
      </c>
      <c r="M258" s="28"/>
      <c r="N258" s="28"/>
      <c r="O258" s="28"/>
      <c r="P258" s="28"/>
      <c r="Q258" s="28"/>
      <c r="R258" s="28"/>
      <c r="S258" s="28"/>
      <c r="T258" s="28"/>
      <c r="U258" s="28"/>
      <c r="V258" s="28"/>
      <c r="W258" s="28"/>
      <c r="X258" s="28"/>
      <c r="Y258" s="28"/>
      <c r="Z258" s="28"/>
    </row>
    <row r="259" spans="1:26" ht="15.75" customHeight="1" x14ac:dyDescent="0.25">
      <c r="A259" s="41"/>
      <c r="B259" s="125"/>
      <c r="C259" s="42"/>
      <c r="D259" s="180"/>
      <c r="E259" s="180"/>
      <c r="F259" s="28"/>
      <c r="G259" s="28"/>
      <c r="H259" s="3"/>
      <c r="I259" s="28"/>
      <c r="J259" s="28"/>
      <c r="K259" s="28"/>
      <c r="L259" s="28"/>
      <c r="M259" s="28"/>
      <c r="N259" s="28"/>
      <c r="O259" s="28"/>
      <c r="P259" s="28"/>
      <c r="Q259" s="28"/>
      <c r="R259" s="28"/>
      <c r="S259" s="28"/>
      <c r="T259" s="28"/>
      <c r="U259" s="28"/>
      <c r="V259" s="28"/>
      <c r="W259" s="28"/>
      <c r="X259" s="28"/>
      <c r="Y259" s="28"/>
      <c r="Z259" s="28"/>
    </row>
    <row r="260" spans="1:26" ht="15.75" customHeight="1" x14ac:dyDescent="0.25">
      <c r="A260" s="126" t="s">
        <v>35</v>
      </c>
      <c r="B260" s="302" t="s">
        <v>36</v>
      </c>
      <c r="C260" s="47">
        <v>207.78</v>
      </c>
      <c r="D260" s="47">
        <v>285</v>
      </c>
      <c r="E260" s="47">
        <v>322</v>
      </c>
      <c r="F260" s="28"/>
      <c r="G260" s="28"/>
      <c r="H260" s="3"/>
      <c r="I260" s="27" t="s">
        <v>241</v>
      </c>
      <c r="J260" s="412">
        <v>43660</v>
      </c>
      <c r="K260" s="315"/>
      <c r="L260" s="315"/>
      <c r="M260" s="28"/>
      <c r="N260" s="28"/>
      <c r="O260" s="28"/>
      <c r="P260" s="28"/>
      <c r="Q260" s="28"/>
      <c r="R260" s="28"/>
      <c r="S260" s="28"/>
      <c r="T260" s="28"/>
      <c r="U260" s="28"/>
      <c r="V260" s="28"/>
      <c r="W260" s="28"/>
      <c r="X260" s="28"/>
      <c r="Y260" s="28"/>
      <c r="Z260" s="28"/>
    </row>
    <row r="261" spans="1:26" ht="15.75" customHeight="1" x14ac:dyDescent="0.25">
      <c r="A261" s="126" t="s">
        <v>37</v>
      </c>
      <c r="B261" s="300"/>
      <c r="C261" s="47">
        <v>444.11</v>
      </c>
      <c r="D261" s="47">
        <v>433</v>
      </c>
      <c r="E261" s="47">
        <v>396</v>
      </c>
      <c r="F261" s="28"/>
      <c r="G261" s="28"/>
      <c r="H261" s="3"/>
      <c r="I261" s="28"/>
      <c r="J261" s="28"/>
      <c r="K261" s="28"/>
      <c r="L261" s="28"/>
      <c r="M261" s="28"/>
      <c r="N261" s="28"/>
      <c r="O261" s="28"/>
      <c r="P261" s="28"/>
      <c r="Q261" s="28"/>
      <c r="R261" s="28"/>
      <c r="S261" s="28"/>
      <c r="T261" s="28"/>
      <c r="U261" s="28"/>
      <c r="V261" s="28"/>
      <c r="W261" s="28"/>
      <c r="X261" s="28"/>
      <c r="Y261" s="28"/>
      <c r="Z261" s="28"/>
    </row>
    <row r="262" spans="1:26" ht="15.75" customHeight="1" x14ac:dyDescent="0.25">
      <c r="A262" s="126" t="s">
        <v>38</v>
      </c>
      <c r="B262" s="300"/>
      <c r="C262" s="47">
        <v>579.55999999999995</v>
      </c>
      <c r="D262" s="47">
        <v>511</v>
      </c>
      <c r="E262" s="47">
        <v>500</v>
      </c>
      <c r="F262" s="28"/>
      <c r="G262" s="28"/>
      <c r="H262" s="3"/>
      <c r="I262" s="28"/>
      <c r="J262" s="28"/>
      <c r="K262" s="28"/>
      <c r="L262" s="28"/>
      <c r="M262" s="28"/>
      <c r="N262" s="28"/>
      <c r="O262" s="28"/>
      <c r="P262" s="28"/>
      <c r="Q262" s="28"/>
      <c r="R262" s="28"/>
      <c r="S262" s="28"/>
      <c r="T262" s="28"/>
      <c r="U262" s="28"/>
      <c r="V262" s="28"/>
      <c r="W262" s="28"/>
      <c r="X262" s="28"/>
      <c r="Y262" s="28"/>
      <c r="Z262" s="28"/>
    </row>
    <row r="263" spans="1:26" ht="15.75" customHeight="1" x14ac:dyDescent="0.25">
      <c r="A263" s="129" t="s">
        <v>39</v>
      </c>
      <c r="B263" s="300"/>
      <c r="C263" s="50">
        <v>746.22</v>
      </c>
      <c r="D263" s="11">
        <v>783</v>
      </c>
      <c r="E263" s="11">
        <v>737</v>
      </c>
      <c r="F263" s="28"/>
      <c r="G263" s="28"/>
      <c r="H263" s="3"/>
      <c r="I263" s="28"/>
      <c r="J263" s="28"/>
      <c r="K263" s="28"/>
      <c r="L263" s="28"/>
      <c r="M263" s="28"/>
      <c r="N263" s="28"/>
      <c r="O263" s="28"/>
      <c r="P263" s="28"/>
      <c r="Q263" s="28"/>
      <c r="R263" s="28"/>
      <c r="S263" s="28"/>
      <c r="T263" s="28"/>
      <c r="U263" s="28"/>
      <c r="V263" s="28"/>
      <c r="W263" s="28"/>
      <c r="X263" s="28"/>
      <c r="Y263" s="28"/>
      <c r="Z263" s="28"/>
    </row>
    <row r="264" spans="1:26" ht="15.75" customHeight="1" x14ac:dyDescent="0.25">
      <c r="A264" s="12" t="s">
        <v>41</v>
      </c>
      <c r="B264" s="301"/>
      <c r="C264" s="71">
        <v>869.5</v>
      </c>
      <c r="D264" s="47">
        <v>820</v>
      </c>
      <c r="E264" s="47">
        <v>756</v>
      </c>
      <c r="F264" s="28"/>
      <c r="G264" s="28"/>
      <c r="H264" s="3"/>
      <c r="I264" s="28"/>
      <c r="J264" s="28"/>
      <c r="K264" s="28"/>
      <c r="L264" s="28"/>
      <c r="M264" s="28"/>
      <c r="N264" s="28"/>
      <c r="O264" s="28"/>
      <c r="P264" s="28"/>
      <c r="Q264" s="28"/>
      <c r="R264" s="28"/>
      <c r="S264" s="28"/>
      <c r="T264" s="28"/>
      <c r="U264" s="28"/>
      <c r="V264" s="28"/>
      <c r="W264" s="28"/>
      <c r="X264" s="28"/>
      <c r="Y264" s="28"/>
      <c r="Z264" s="28"/>
    </row>
    <row r="265" spans="1:26" ht="15.75" customHeight="1" x14ac:dyDescent="0.25">
      <c r="A265" s="130"/>
      <c r="B265" s="131"/>
      <c r="C265" s="131"/>
      <c r="D265" s="131"/>
      <c r="E265" s="131"/>
      <c r="F265" s="28"/>
      <c r="G265" s="28"/>
      <c r="H265" s="3"/>
      <c r="I265" s="28"/>
      <c r="J265" s="28"/>
      <c r="K265" s="28"/>
      <c r="L265" s="28"/>
      <c r="M265" s="28"/>
      <c r="N265" s="28"/>
      <c r="O265" s="28"/>
      <c r="P265" s="28"/>
      <c r="Q265" s="28"/>
      <c r="R265" s="28"/>
      <c r="S265" s="28"/>
      <c r="T265" s="28"/>
      <c r="U265" s="28"/>
      <c r="V265" s="28"/>
      <c r="W265" s="28"/>
      <c r="X265" s="28"/>
      <c r="Y265" s="28"/>
      <c r="Z265" s="28"/>
    </row>
    <row r="266" spans="1:26" ht="15.75" customHeight="1" x14ac:dyDescent="0.25">
      <c r="A266" s="9" t="s">
        <v>46</v>
      </c>
      <c r="B266" s="299" t="s">
        <v>47</v>
      </c>
      <c r="C266" s="11">
        <v>88.4</v>
      </c>
      <c r="D266" s="47">
        <v>100</v>
      </c>
      <c r="E266" s="47">
        <v>100</v>
      </c>
      <c r="F266" s="28"/>
      <c r="G266" s="28"/>
      <c r="H266" s="3"/>
      <c r="I266" s="28"/>
      <c r="J266" s="28"/>
      <c r="K266" s="28"/>
      <c r="L266" s="28"/>
      <c r="M266" s="28"/>
      <c r="N266" s="28"/>
      <c r="O266" s="28"/>
      <c r="P266" s="28"/>
      <c r="Q266" s="28"/>
      <c r="R266" s="28"/>
      <c r="S266" s="28"/>
      <c r="T266" s="28"/>
      <c r="U266" s="28"/>
      <c r="V266" s="28"/>
      <c r="W266" s="28"/>
      <c r="X266" s="28"/>
      <c r="Y266" s="28"/>
      <c r="Z266" s="28"/>
    </row>
    <row r="267" spans="1:26" ht="15.75" customHeight="1" x14ac:dyDescent="0.25">
      <c r="A267" s="9" t="s">
        <v>48</v>
      </c>
      <c r="B267" s="300"/>
      <c r="C267" s="11">
        <v>94.6</v>
      </c>
      <c r="D267" s="47">
        <v>115</v>
      </c>
      <c r="E267" s="47">
        <v>123</v>
      </c>
      <c r="F267" s="28"/>
      <c r="G267" s="28"/>
      <c r="H267" s="3"/>
      <c r="I267" s="28"/>
      <c r="J267" s="28"/>
      <c r="K267" s="28"/>
      <c r="L267" s="28"/>
      <c r="M267" s="28"/>
      <c r="N267" s="28"/>
      <c r="O267" s="28"/>
      <c r="P267" s="28"/>
      <c r="Q267" s="28"/>
      <c r="R267" s="28"/>
      <c r="S267" s="28"/>
      <c r="T267" s="28"/>
      <c r="U267" s="28"/>
      <c r="V267" s="28"/>
      <c r="W267" s="28"/>
      <c r="X267" s="28"/>
      <c r="Y267" s="28"/>
      <c r="Z267" s="28"/>
    </row>
    <row r="268" spans="1:26" ht="15.75" customHeight="1" x14ac:dyDescent="0.25">
      <c r="A268" s="41"/>
      <c r="B268" s="125"/>
      <c r="C268" s="42"/>
      <c r="D268" s="180"/>
      <c r="E268" s="180"/>
      <c r="F268" s="28"/>
      <c r="G268" s="28"/>
      <c r="H268" s="3"/>
      <c r="I268" s="28"/>
      <c r="J268" s="28"/>
      <c r="K268" s="28"/>
      <c r="L268" s="28"/>
      <c r="M268" s="28"/>
      <c r="N268" s="28"/>
      <c r="O268" s="28"/>
      <c r="P268" s="28"/>
      <c r="Q268" s="28"/>
      <c r="R268" s="28"/>
      <c r="S268" s="28"/>
      <c r="T268" s="28"/>
      <c r="U268" s="28"/>
      <c r="V268" s="28"/>
      <c r="W268" s="28"/>
      <c r="X268" s="28"/>
      <c r="Y268" s="28"/>
      <c r="Z268" s="28"/>
    </row>
    <row r="269" spans="1:26" ht="15.75" customHeight="1" x14ac:dyDescent="0.25">
      <c r="A269" s="126" t="s">
        <v>50</v>
      </c>
      <c r="B269" s="302" t="s">
        <v>51</v>
      </c>
      <c r="C269" s="47">
        <v>271.44</v>
      </c>
      <c r="D269" s="11">
        <v>247</v>
      </c>
      <c r="E269" s="11">
        <v>286</v>
      </c>
      <c r="F269" s="28"/>
      <c r="G269" s="28"/>
      <c r="H269" s="3"/>
      <c r="I269" s="28"/>
      <c r="J269" s="28"/>
      <c r="K269" s="28"/>
      <c r="L269" s="28"/>
      <c r="M269" s="28"/>
      <c r="N269" s="28"/>
      <c r="O269" s="28"/>
      <c r="P269" s="28"/>
      <c r="Q269" s="28"/>
      <c r="R269" s="28"/>
      <c r="S269" s="28"/>
      <c r="T269" s="28"/>
      <c r="U269" s="28"/>
      <c r="V269" s="28"/>
      <c r="W269" s="28"/>
      <c r="X269" s="28"/>
      <c r="Y269" s="28"/>
      <c r="Z269" s="28"/>
    </row>
    <row r="270" spans="1:26" ht="15.75" customHeight="1" x14ac:dyDescent="0.25">
      <c r="A270" s="126" t="s">
        <v>54</v>
      </c>
      <c r="B270" s="300"/>
      <c r="C270" s="47">
        <v>550.22199999999998</v>
      </c>
      <c r="D270" s="11">
        <v>330</v>
      </c>
      <c r="E270" s="11">
        <v>238</v>
      </c>
      <c r="F270" s="28"/>
      <c r="G270" s="28"/>
      <c r="H270" s="3"/>
      <c r="I270" s="28"/>
      <c r="J270" s="28"/>
      <c r="K270" s="28"/>
      <c r="L270" s="28"/>
      <c r="M270" s="28"/>
      <c r="N270" s="28"/>
      <c r="O270" s="28"/>
      <c r="P270" s="28"/>
      <c r="Q270" s="28"/>
      <c r="R270" s="28"/>
      <c r="S270" s="28"/>
      <c r="T270" s="28"/>
      <c r="U270" s="28"/>
      <c r="V270" s="28"/>
      <c r="W270" s="28"/>
      <c r="X270" s="28"/>
      <c r="Y270" s="28"/>
      <c r="Z270" s="28"/>
    </row>
    <row r="271" spans="1:26" ht="15.75" customHeight="1" x14ac:dyDescent="0.25">
      <c r="A271" s="126" t="s">
        <v>55</v>
      </c>
      <c r="B271" s="300"/>
      <c r="C271" s="47">
        <v>746.8</v>
      </c>
      <c r="D271" s="11">
        <v>729</v>
      </c>
      <c r="E271" s="11">
        <v>436</v>
      </c>
      <c r="F271" s="28"/>
      <c r="G271" s="28"/>
      <c r="H271" s="3"/>
      <c r="I271" s="28"/>
      <c r="J271" s="28"/>
      <c r="K271" s="28"/>
      <c r="L271" s="28"/>
      <c r="M271" s="28"/>
      <c r="N271" s="28"/>
      <c r="O271" s="28"/>
      <c r="P271" s="28"/>
      <c r="Q271" s="28"/>
      <c r="R271" s="28"/>
      <c r="S271" s="28"/>
      <c r="T271" s="28"/>
      <c r="U271" s="28"/>
      <c r="V271" s="28"/>
      <c r="W271" s="28"/>
      <c r="X271" s="28"/>
      <c r="Y271" s="28"/>
      <c r="Z271" s="28"/>
    </row>
    <row r="272" spans="1:26" ht="15.75" customHeight="1" x14ac:dyDescent="0.25">
      <c r="A272" s="129" t="s">
        <v>56</v>
      </c>
      <c r="B272" s="300"/>
      <c r="C272" s="50">
        <v>768.33333333333337</v>
      </c>
      <c r="D272" s="11">
        <v>750</v>
      </c>
      <c r="E272" s="11">
        <v>714</v>
      </c>
      <c r="F272" s="28"/>
      <c r="G272" s="28"/>
      <c r="H272" s="3"/>
      <c r="I272" s="28"/>
      <c r="J272" s="28"/>
      <c r="K272" s="28"/>
      <c r="L272" s="28"/>
      <c r="M272" s="28"/>
      <c r="N272" s="28"/>
      <c r="O272" s="28"/>
      <c r="P272" s="28"/>
      <c r="Q272" s="28"/>
      <c r="R272" s="28"/>
      <c r="S272" s="28"/>
      <c r="T272" s="28"/>
      <c r="U272" s="28"/>
      <c r="V272" s="28"/>
      <c r="W272" s="28"/>
      <c r="X272" s="28"/>
      <c r="Y272" s="28"/>
      <c r="Z272" s="28"/>
    </row>
    <row r="273" spans="1:26" ht="15.75" customHeight="1" x14ac:dyDescent="0.25">
      <c r="A273" s="8" t="s">
        <v>57</v>
      </c>
      <c r="B273" s="301"/>
      <c r="C273" s="71">
        <v>609</v>
      </c>
      <c r="D273" s="11">
        <v>600</v>
      </c>
      <c r="E273" s="11">
        <v>323</v>
      </c>
      <c r="F273" s="28"/>
      <c r="G273" s="28"/>
      <c r="H273" s="3"/>
      <c r="I273" s="28"/>
      <c r="J273" s="28"/>
      <c r="K273" s="28"/>
      <c r="L273" s="28"/>
      <c r="M273" s="28"/>
      <c r="N273" s="28"/>
      <c r="O273" s="28"/>
      <c r="P273" s="28"/>
      <c r="Q273" s="28"/>
      <c r="R273" s="28"/>
      <c r="S273" s="28"/>
      <c r="T273" s="28"/>
      <c r="U273" s="28"/>
      <c r="V273" s="28"/>
      <c r="W273" s="28"/>
      <c r="X273" s="28"/>
      <c r="Y273" s="28"/>
      <c r="Z273" s="28"/>
    </row>
    <row r="274" spans="1:26" ht="15.75" customHeight="1" x14ac:dyDescent="0.25">
      <c r="A274" s="130"/>
      <c r="B274" s="131"/>
      <c r="C274" s="131"/>
      <c r="D274" s="131"/>
      <c r="E274" s="131"/>
      <c r="F274" s="28"/>
      <c r="G274" s="28"/>
      <c r="H274" s="3"/>
      <c r="I274" s="28"/>
      <c r="J274" s="28"/>
      <c r="K274" s="28"/>
      <c r="L274" s="28"/>
      <c r="M274" s="28"/>
      <c r="N274" s="28"/>
      <c r="O274" s="28"/>
      <c r="P274" s="28"/>
      <c r="Q274" s="28"/>
      <c r="R274" s="28"/>
      <c r="S274" s="28"/>
      <c r="T274" s="28"/>
      <c r="U274" s="28"/>
      <c r="V274" s="28"/>
      <c r="W274" s="28"/>
      <c r="X274" s="28"/>
      <c r="Y274" s="28"/>
      <c r="Z274" s="28"/>
    </row>
    <row r="275" spans="1:26" ht="15.75" customHeight="1" x14ac:dyDescent="0.25">
      <c r="A275" s="9" t="s">
        <v>60</v>
      </c>
      <c r="B275" s="299" t="s">
        <v>62</v>
      </c>
      <c r="C275" s="47">
        <v>19.741666666666667</v>
      </c>
      <c r="D275" s="53">
        <v>28</v>
      </c>
      <c r="E275" s="53">
        <v>20</v>
      </c>
      <c r="F275" s="28"/>
      <c r="G275" s="28"/>
      <c r="H275" s="3"/>
      <c r="I275" s="28"/>
      <c r="J275" s="28"/>
      <c r="K275" s="28"/>
      <c r="L275" s="28"/>
      <c r="M275" s="28"/>
      <c r="N275" s="28"/>
      <c r="O275" s="28"/>
      <c r="P275" s="28"/>
      <c r="Q275" s="28"/>
      <c r="R275" s="28"/>
      <c r="S275" s="28"/>
      <c r="T275" s="28"/>
      <c r="U275" s="28"/>
      <c r="V275" s="28"/>
      <c r="W275" s="28"/>
      <c r="X275" s="28"/>
      <c r="Y275" s="28"/>
      <c r="Z275" s="28"/>
    </row>
    <row r="276" spans="1:26" ht="15.75" customHeight="1" x14ac:dyDescent="0.25">
      <c r="A276" s="9" t="s">
        <v>65</v>
      </c>
      <c r="B276" s="300"/>
      <c r="C276" s="11">
        <v>42</v>
      </c>
      <c r="D276" s="54">
        <v>30</v>
      </c>
      <c r="E276" s="54">
        <v>20</v>
      </c>
      <c r="F276" s="28"/>
      <c r="G276" s="28"/>
      <c r="H276" s="3"/>
      <c r="I276" s="28"/>
      <c r="J276" s="28"/>
      <c r="K276" s="28"/>
      <c r="L276" s="28"/>
      <c r="M276" s="28"/>
      <c r="N276" s="28"/>
      <c r="O276" s="28"/>
      <c r="P276" s="28"/>
      <c r="Q276" s="28"/>
      <c r="R276" s="28"/>
      <c r="S276" s="28"/>
      <c r="T276" s="28"/>
      <c r="U276" s="28"/>
      <c r="V276" s="28"/>
      <c r="W276" s="28"/>
      <c r="X276" s="28"/>
      <c r="Y276" s="28"/>
      <c r="Z276" s="28"/>
    </row>
    <row r="277" spans="1:26" ht="15.75" customHeight="1" x14ac:dyDescent="0.25">
      <c r="A277" s="9" t="s">
        <v>64</v>
      </c>
      <c r="B277" s="301"/>
      <c r="C277" s="11">
        <v>42</v>
      </c>
      <c r="D277" s="55">
        <v>54</v>
      </c>
      <c r="E277" s="55">
        <v>38</v>
      </c>
      <c r="F277" s="28"/>
      <c r="G277" s="28"/>
      <c r="H277" s="3"/>
      <c r="I277" s="28"/>
      <c r="J277" s="28"/>
      <c r="K277" s="28"/>
      <c r="L277" s="28"/>
      <c r="M277" s="28"/>
      <c r="N277" s="28"/>
      <c r="O277" s="28"/>
      <c r="P277" s="28"/>
      <c r="Q277" s="28"/>
      <c r="R277" s="28"/>
      <c r="S277" s="28"/>
      <c r="T277" s="28"/>
      <c r="U277" s="28"/>
      <c r="V277" s="28"/>
      <c r="W277" s="28"/>
      <c r="X277" s="28"/>
      <c r="Y277" s="28"/>
      <c r="Z277" s="28"/>
    </row>
    <row r="278" spans="1:26" ht="15.75" customHeight="1" x14ac:dyDescent="0.25">
      <c r="A278" s="41"/>
      <c r="B278" s="125"/>
      <c r="C278" s="42"/>
      <c r="D278" s="180"/>
      <c r="E278" s="180"/>
      <c r="F278" s="28"/>
      <c r="G278" s="28"/>
      <c r="H278" s="3"/>
      <c r="I278" s="28"/>
      <c r="J278" s="28"/>
      <c r="K278" s="28"/>
      <c r="L278" s="28"/>
      <c r="M278" s="28"/>
      <c r="N278" s="28"/>
      <c r="O278" s="28"/>
      <c r="P278" s="28"/>
      <c r="Q278" s="28"/>
      <c r="R278" s="28"/>
      <c r="S278" s="28"/>
      <c r="T278" s="28"/>
      <c r="U278" s="28"/>
      <c r="V278" s="28"/>
      <c r="W278" s="28"/>
      <c r="X278" s="28"/>
      <c r="Y278" s="28"/>
      <c r="Z278" s="28"/>
    </row>
    <row r="279" spans="1:26" ht="15.75" customHeight="1" x14ac:dyDescent="0.25">
      <c r="A279" s="129" t="s">
        <v>66</v>
      </c>
      <c r="B279" s="302" t="s">
        <v>68</v>
      </c>
      <c r="C279" s="50">
        <v>204.5</v>
      </c>
      <c r="D279" s="11">
        <v>219</v>
      </c>
      <c r="E279" s="11">
        <v>204</v>
      </c>
      <c r="F279" s="28"/>
      <c r="G279" s="28"/>
      <c r="H279" s="3"/>
      <c r="I279" s="28"/>
      <c r="J279" s="28"/>
      <c r="K279" s="28"/>
      <c r="L279" s="28"/>
      <c r="M279" s="28"/>
      <c r="N279" s="28"/>
      <c r="O279" s="28"/>
      <c r="P279" s="28"/>
      <c r="Q279" s="28"/>
      <c r="R279" s="28"/>
      <c r="S279" s="28"/>
      <c r="T279" s="28"/>
      <c r="U279" s="28"/>
      <c r="V279" s="28"/>
      <c r="W279" s="28"/>
      <c r="X279" s="28"/>
      <c r="Y279" s="28"/>
      <c r="Z279" s="28"/>
    </row>
    <row r="280" spans="1:26" ht="15.75" customHeight="1" x14ac:dyDescent="0.25">
      <c r="A280" s="12" t="s">
        <v>69</v>
      </c>
      <c r="B280" s="301"/>
      <c r="C280" s="71">
        <v>277.7</v>
      </c>
      <c r="D280" s="11">
        <v>293</v>
      </c>
      <c r="E280" s="11">
        <v>271</v>
      </c>
      <c r="F280" s="28"/>
      <c r="G280" s="28"/>
      <c r="H280" s="3"/>
      <c r="I280" s="28"/>
      <c r="J280" s="28"/>
      <c r="K280" s="28"/>
      <c r="L280" s="28"/>
      <c r="M280" s="28"/>
      <c r="N280" s="28"/>
      <c r="O280" s="28"/>
      <c r="P280" s="28"/>
      <c r="Q280" s="28"/>
      <c r="R280" s="28"/>
      <c r="S280" s="28"/>
      <c r="T280" s="28"/>
      <c r="U280" s="28"/>
      <c r="V280" s="28"/>
      <c r="W280" s="28"/>
      <c r="X280" s="28"/>
      <c r="Y280" s="28"/>
      <c r="Z280" s="28"/>
    </row>
    <row r="281" spans="1:26" ht="15.75" customHeight="1" x14ac:dyDescent="0.25">
      <c r="A281" s="132"/>
      <c r="B281" s="133"/>
      <c r="C281" s="133"/>
      <c r="D281" s="133"/>
      <c r="E281" s="133"/>
      <c r="F281" s="28"/>
      <c r="G281" s="28"/>
      <c r="H281" s="3"/>
      <c r="I281" s="28"/>
      <c r="J281" s="28"/>
      <c r="K281" s="28"/>
      <c r="L281" s="28"/>
      <c r="M281" s="28"/>
      <c r="N281" s="28"/>
      <c r="O281" s="28"/>
      <c r="P281" s="28"/>
      <c r="Q281" s="28"/>
      <c r="R281" s="28"/>
      <c r="S281" s="28"/>
      <c r="T281" s="28"/>
      <c r="U281" s="28"/>
      <c r="V281" s="28"/>
      <c r="W281" s="28"/>
      <c r="X281" s="28"/>
      <c r="Y281" s="28"/>
      <c r="Z281" s="28"/>
    </row>
    <row r="282" spans="1:26" ht="15.75" customHeight="1" x14ac:dyDescent="0.25">
      <c r="A282" s="56" t="s">
        <v>69</v>
      </c>
      <c r="B282" s="303" t="s">
        <v>71</v>
      </c>
      <c r="C282" s="47">
        <v>12</v>
      </c>
      <c r="D282" s="11">
        <v>17</v>
      </c>
      <c r="E282" s="11">
        <v>15</v>
      </c>
      <c r="F282" s="28"/>
      <c r="G282" s="28"/>
      <c r="H282" s="3"/>
      <c r="I282" s="28"/>
      <c r="J282" s="28"/>
      <c r="K282" s="28"/>
      <c r="L282" s="28"/>
      <c r="M282" s="28"/>
      <c r="N282" s="28"/>
      <c r="O282" s="28"/>
      <c r="P282" s="28"/>
      <c r="Q282" s="28"/>
      <c r="R282" s="28"/>
      <c r="S282" s="28"/>
      <c r="T282" s="28"/>
      <c r="U282" s="28"/>
      <c r="V282" s="28"/>
      <c r="W282" s="28"/>
      <c r="X282" s="28"/>
      <c r="Y282" s="28"/>
      <c r="Z282" s="28"/>
    </row>
    <row r="283" spans="1:26" ht="15.75" customHeight="1" x14ac:dyDescent="0.25">
      <c r="A283" s="56" t="s">
        <v>72</v>
      </c>
      <c r="B283" s="300"/>
      <c r="C283" s="47">
        <v>14</v>
      </c>
      <c r="D283" s="11">
        <v>22</v>
      </c>
      <c r="E283" s="11">
        <v>11</v>
      </c>
      <c r="F283" s="28"/>
      <c r="G283" s="28"/>
      <c r="H283" s="3"/>
      <c r="I283" s="28"/>
      <c r="J283" s="28"/>
      <c r="K283" s="28"/>
      <c r="L283" s="28"/>
      <c r="M283" s="28"/>
      <c r="N283" s="28"/>
      <c r="O283" s="28"/>
      <c r="P283" s="28"/>
      <c r="Q283" s="28"/>
      <c r="R283" s="28"/>
      <c r="S283" s="28"/>
      <c r="T283" s="28"/>
      <c r="U283" s="28"/>
      <c r="V283" s="28"/>
      <c r="W283" s="28"/>
      <c r="X283" s="28"/>
      <c r="Y283" s="28"/>
      <c r="Z283" s="28"/>
    </row>
    <row r="284" spans="1:26" ht="15.75" customHeight="1" x14ac:dyDescent="0.25">
      <c r="A284" s="56" t="s">
        <v>73</v>
      </c>
      <c r="B284" s="301"/>
      <c r="C284" s="47">
        <v>17.43333333333333</v>
      </c>
      <c r="D284" s="11">
        <v>26</v>
      </c>
      <c r="E284" s="11">
        <v>17</v>
      </c>
      <c r="F284" s="28"/>
      <c r="G284" s="28"/>
      <c r="H284" s="3"/>
      <c r="I284" s="28"/>
      <c r="J284" s="28"/>
      <c r="K284" s="28"/>
      <c r="L284" s="28"/>
      <c r="M284" s="28"/>
      <c r="N284" s="28"/>
      <c r="O284" s="28"/>
      <c r="P284" s="28"/>
      <c r="Q284" s="28"/>
      <c r="R284" s="28"/>
      <c r="S284" s="28"/>
      <c r="T284" s="28"/>
      <c r="U284" s="28"/>
      <c r="V284" s="28"/>
      <c r="W284" s="28"/>
      <c r="X284" s="28"/>
      <c r="Y284" s="28"/>
      <c r="Z284" s="28"/>
    </row>
    <row r="285" spans="1:26" ht="15.75" customHeight="1" x14ac:dyDescent="0.25">
      <c r="A285" s="92"/>
      <c r="B285" s="69"/>
      <c r="C285" s="69"/>
      <c r="D285" s="180"/>
      <c r="E285" s="180"/>
      <c r="F285" s="28"/>
      <c r="G285" s="28"/>
      <c r="H285" s="3"/>
      <c r="I285" s="28"/>
      <c r="J285" s="28"/>
      <c r="K285" s="28"/>
      <c r="L285" s="28"/>
      <c r="M285" s="28"/>
      <c r="N285" s="28"/>
      <c r="O285" s="28"/>
      <c r="P285" s="28"/>
      <c r="Q285" s="28"/>
      <c r="R285" s="28"/>
      <c r="S285" s="28"/>
      <c r="T285" s="28"/>
      <c r="U285" s="28"/>
      <c r="V285" s="28"/>
      <c r="W285" s="28"/>
      <c r="X285" s="28"/>
      <c r="Y285" s="28"/>
      <c r="Z285" s="28"/>
    </row>
    <row r="286" spans="1:26" ht="15.75" customHeight="1" x14ac:dyDescent="0.25">
      <c r="A286" s="56" t="s">
        <v>80</v>
      </c>
      <c r="B286" s="309" t="s">
        <v>77</v>
      </c>
      <c r="C286" s="47">
        <v>117</v>
      </c>
      <c r="D286" s="11">
        <v>111</v>
      </c>
      <c r="E286" s="11">
        <v>111</v>
      </c>
      <c r="F286" s="28"/>
      <c r="G286" s="28"/>
      <c r="H286" s="3"/>
      <c r="I286" s="28"/>
      <c r="J286" s="28"/>
      <c r="K286" s="28"/>
      <c r="L286" s="28"/>
      <c r="M286" s="28"/>
      <c r="N286" s="28"/>
      <c r="O286" s="28"/>
      <c r="P286" s="28"/>
      <c r="Q286" s="28"/>
      <c r="R286" s="28"/>
      <c r="S286" s="28"/>
      <c r="T286" s="28"/>
      <c r="U286" s="28"/>
      <c r="V286" s="28"/>
      <c r="W286" s="28"/>
      <c r="X286" s="28"/>
      <c r="Y286" s="28"/>
      <c r="Z286" s="28"/>
    </row>
    <row r="287" spans="1:26" ht="15.75" customHeight="1" x14ac:dyDescent="0.25">
      <c r="A287" s="56" t="s">
        <v>78</v>
      </c>
      <c r="B287" s="300"/>
      <c r="C287" s="47">
        <v>188</v>
      </c>
      <c r="D287" s="11">
        <v>194</v>
      </c>
      <c r="E287" s="11">
        <v>182</v>
      </c>
      <c r="F287" s="28"/>
      <c r="G287" s="28"/>
      <c r="H287" s="3"/>
      <c r="I287" s="28"/>
      <c r="J287" s="28"/>
      <c r="K287" s="28"/>
      <c r="L287" s="28"/>
      <c r="M287" s="28"/>
      <c r="N287" s="28"/>
      <c r="O287" s="28"/>
      <c r="P287" s="28"/>
      <c r="Q287" s="28"/>
      <c r="R287" s="28"/>
      <c r="S287" s="28"/>
      <c r="T287" s="28"/>
      <c r="U287" s="28"/>
      <c r="V287" s="28"/>
      <c r="W287" s="28"/>
      <c r="X287" s="28"/>
      <c r="Y287" s="28"/>
      <c r="Z287" s="28"/>
    </row>
    <row r="288" spans="1:26" ht="15.75" customHeight="1" x14ac:dyDescent="0.25">
      <c r="A288" s="56" t="s">
        <v>76</v>
      </c>
      <c r="B288" s="300"/>
      <c r="C288" s="50">
        <v>218</v>
      </c>
      <c r="D288" s="11">
        <v>224</v>
      </c>
      <c r="E288" s="11">
        <v>215</v>
      </c>
      <c r="F288" s="28"/>
      <c r="G288" s="28"/>
      <c r="H288" s="3"/>
      <c r="I288" s="28"/>
      <c r="J288" s="28"/>
      <c r="K288" s="28"/>
      <c r="L288" s="28"/>
      <c r="M288" s="28"/>
      <c r="N288" s="28"/>
      <c r="O288" s="28"/>
      <c r="P288" s="28"/>
      <c r="Q288" s="28"/>
      <c r="R288" s="28"/>
      <c r="S288" s="28"/>
      <c r="T288" s="28"/>
      <c r="U288" s="28"/>
      <c r="V288" s="28"/>
      <c r="W288" s="28"/>
      <c r="X288" s="28"/>
      <c r="Y288" s="28"/>
      <c r="Z288" s="28"/>
    </row>
    <row r="289" spans="1:26" ht="15.75" customHeight="1" x14ac:dyDescent="0.25">
      <c r="A289" s="57" t="s">
        <v>79</v>
      </c>
      <c r="B289" s="300"/>
      <c r="C289" s="134">
        <v>239</v>
      </c>
      <c r="D289" s="11">
        <v>251</v>
      </c>
      <c r="E289" s="11">
        <v>245</v>
      </c>
      <c r="F289" s="28"/>
      <c r="G289" s="28"/>
      <c r="H289" s="3"/>
      <c r="I289" s="28"/>
      <c r="J289" s="28"/>
      <c r="K289" s="28"/>
      <c r="L289" s="28"/>
      <c r="M289" s="28"/>
      <c r="N289" s="28"/>
      <c r="O289" s="28"/>
      <c r="P289" s="28"/>
      <c r="Q289" s="28"/>
      <c r="R289" s="28"/>
      <c r="S289" s="28"/>
      <c r="T289" s="28"/>
      <c r="U289" s="28"/>
      <c r="V289" s="28"/>
      <c r="W289" s="28"/>
      <c r="X289" s="28"/>
      <c r="Y289" s="28"/>
      <c r="Z289" s="28"/>
    </row>
    <row r="290" spans="1:26" ht="15.75" customHeight="1" x14ac:dyDescent="0.25">
      <c r="A290" s="132"/>
      <c r="B290" s="133"/>
      <c r="C290" s="133"/>
      <c r="D290" s="133"/>
      <c r="E290" s="133"/>
      <c r="F290" s="28"/>
      <c r="G290" s="28"/>
      <c r="H290" s="3"/>
      <c r="I290" s="28"/>
      <c r="J290" s="28"/>
      <c r="K290" s="28"/>
      <c r="L290" s="28"/>
      <c r="M290" s="28"/>
      <c r="N290" s="28"/>
      <c r="O290" s="28"/>
      <c r="P290" s="28"/>
      <c r="Q290" s="28"/>
      <c r="R290" s="28"/>
      <c r="S290" s="28"/>
      <c r="T290" s="28"/>
      <c r="U290" s="28"/>
      <c r="V290" s="28"/>
      <c r="W290" s="28"/>
      <c r="X290" s="28"/>
      <c r="Y290" s="28"/>
      <c r="Z290" s="28"/>
    </row>
    <row r="291" spans="1:26" ht="15.75" customHeight="1" x14ac:dyDescent="0.25">
      <c r="A291" s="9" t="s">
        <v>81</v>
      </c>
      <c r="B291" s="299" t="s">
        <v>82</v>
      </c>
      <c r="C291" s="11">
        <v>2</v>
      </c>
      <c r="D291" s="11">
        <v>6</v>
      </c>
      <c r="E291" s="11">
        <v>3</v>
      </c>
      <c r="F291" s="28"/>
      <c r="G291" s="28"/>
      <c r="H291" s="3"/>
      <c r="I291" s="28"/>
      <c r="J291" s="28"/>
      <c r="K291" s="28"/>
      <c r="L291" s="28"/>
      <c r="M291" s="28"/>
      <c r="N291" s="28"/>
      <c r="O291" s="28"/>
      <c r="P291" s="28"/>
      <c r="Q291" s="28"/>
      <c r="R291" s="28"/>
      <c r="S291" s="28"/>
      <c r="T291" s="28"/>
      <c r="U291" s="28"/>
      <c r="V291" s="28"/>
      <c r="W291" s="28"/>
      <c r="X291" s="28"/>
      <c r="Y291" s="28"/>
      <c r="Z291" s="28"/>
    </row>
    <row r="292" spans="1:26" ht="15.75" customHeight="1" x14ac:dyDescent="0.25">
      <c r="A292" s="9" t="s">
        <v>83</v>
      </c>
      <c r="B292" s="300"/>
      <c r="C292" s="11">
        <v>7.133</v>
      </c>
      <c r="D292" s="11">
        <v>10</v>
      </c>
      <c r="E292" s="11">
        <v>3</v>
      </c>
      <c r="F292" s="28"/>
      <c r="G292" s="28"/>
      <c r="H292" s="3"/>
      <c r="I292" s="28"/>
      <c r="J292" s="28"/>
      <c r="K292" s="28"/>
      <c r="L292" s="28"/>
      <c r="M292" s="28"/>
      <c r="N292" s="28"/>
      <c r="O292" s="28"/>
      <c r="P292" s="28"/>
      <c r="Q292" s="28"/>
      <c r="R292" s="28"/>
      <c r="S292" s="28"/>
      <c r="T292" s="28"/>
      <c r="U292" s="28"/>
      <c r="V292" s="28"/>
      <c r="W292" s="28"/>
      <c r="X292" s="28"/>
      <c r="Y292" s="28"/>
      <c r="Z292" s="28"/>
    </row>
    <row r="293" spans="1:26" ht="15.75" customHeight="1" x14ac:dyDescent="0.25">
      <c r="A293" s="9" t="s">
        <v>155</v>
      </c>
      <c r="B293" s="301"/>
      <c r="C293" s="11">
        <v>10.72</v>
      </c>
      <c r="D293" s="11">
        <v>16</v>
      </c>
      <c r="E293" s="11">
        <v>9</v>
      </c>
      <c r="F293" s="28"/>
      <c r="G293" s="28"/>
      <c r="H293" s="3"/>
      <c r="I293" s="28"/>
      <c r="J293" s="28"/>
      <c r="K293" s="28"/>
      <c r="L293" s="28"/>
      <c r="M293" s="28"/>
      <c r="N293" s="28"/>
      <c r="O293" s="28"/>
      <c r="P293" s="28"/>
      <c r="Q293" s="28"/>
      <c r="R293" s="28"/>
      <c r="S293" s="28"/>
      <c r="T293" s="28"/>
      <c r="U293" s="28"/>
      <c r="V293" s="28"/>
      <c r="W293" s="28"/>
      <c r="X293" s="28"/>
      <c r="Y293" s="28"/>
      <c r="Z293" s="28"/>
    </row>
    <row r="294" spans="1:26" ht="15.75" customHeight="1" x14ac:dyDescent="0.25">
      <c r="A294" s="41"/>
      <c r="B294" s="125"/>
      <c r="C294" s="42"/>
      <c r="D294" s="180"/>
      <c r="E294" s="180"/>
      <c r="F294" s="28"/>
      <c r="G294" s="28"/>
      <c r="H294" s="3"/>
      <c r="I294" s="28"/>
      <c r="J294" s="28"/>
      <c r="K294" s="28"/>
      <c r="L294" s="28"/>
      <c r="M294" s="28"/>
      <c r="N294" s="28"/>
      <c r="O294" s="28"/>
      <c r="P294" s="28"/>
      <c r="Q294" s="28"/>
      <c r="R294" s="28"/>
      <c r="S294" s="28"/>
      <c r="T294" s="28"/>
      <c r="U294" s="28"/>
      <c r="V294" s="28"/>
      <c r="W294" s="28"/>
      <c r="X294" s="28"/>
      <c r="Y294" s="28"/>
      <c r="Z294" s="28"/>
    </row>
    <row r="295" spans="1:26" ht="15.75" customHeight="1" x14ac:dyDescent="0.25">
      <c r="A295" s="129" t="s">
        <v>86</v>
      </c>
      <c r="B295" s="302" t="s">
        <v>87</v>
      </c>
      <c r="C295" s="51">
        <v>19</v>
      </c>
      <c r="D295" s="11">
        <v>22</v>
      </c>
      <c r="E295" s="11">
        <v>23</v>
      </c>
      <c r="F295" s="28"/>
      <c r="G295" s="28"/>
      <c r="H295" s="3"/>
      <c r="I295" s="28"/>
      <c r="J295" s="28"/>
      <c r="K295" s="28"/>
      <c r="L295" s="28"/>
      <c r="M295" s="28"/>
      <c r="N295" s="28"/>
      <c r="O295" s="28"/>
      <c r="P295" s="28"/>
      <c r="Q295" s="28"/>
      <c r="R295" s="28"/>
      <c r="S295" s="28"/>
      <c r="T295" s="28"/>
      <c r="U295" s="28"/>
      <c r="V295" s="28"/>
      <c r="W295" s="28"/>
      <c r="X295" s="28"/>
      <c r="Y295" s="28"/>
      <c r="Z295" s="28"/>
    </row>
    <row r="296" spans="1:26" ht="15.75" customHeight="1" x14ac:dyDescent="0.25">
      <c r="A296" s="12" t="s">
        <v>88</v>
      </c>
      <c r="B296" s="301"/>
      <c r="C296" s="25">
        <v>20</v>
      </c>
      <c r="D296" s="11">
        <v>35</v>
      </c>
      <c r="E296" s="11">
        <v>23</v>
      </c>
      <c r="F296" s="28"/>
      <c r="G296" s="28"/>
      <c r="H296" s="3"/>
      <c r="I296" s="28"/>
      <c r="J296" s="28"/>
      <c r="K296" s="28"/>
      <c r="L296" s="28"/>
      <c r="M296" s="28"/>
      <c r="N296" s="28"/>
      <c r="O296" s="28"/>
      <c r="P296" s="28"/>
      <c r="Q296" s="28"/>
      <c r="R296" s="28"/>
      <c r="S296" s="28"/>
      <c r="T296" s="28"/>
      <c r="U296" s="28"/>
      <c r="V296" s="28"/>
      <c r="W296" s="28"/>
      <c r="X296" s="28"/>
      <c r="Y296" s="28"/>
      <c r="Z296" s="28"/>
    </row>
    <row r="297" spans="1:26" ht="15.75" customHeight="1" x14ac:dyDescent="0.25">
      <c r="A297" s="132"/>
      <c r="B297" s="133"/>
      <c r="C297" s="133"/>
      <c r="D297" s="133"/>
      <c r="E297" s="133"/>
      <c r="F297" s="28"/>
      <c r="G297" s="28"/>
      <c r="H297" s="3"/>
      <c r="I297" s="28"/>
      <c r="J297" s="28"/>
      <c r="K297" s="28"/>
      <c r="L297" s="28"/>
      <c r="M297" s="28"/>
      <c r="N297" s="28"/>
      <c r="O297" s="28"/>
      <c r="P297" s="28"/>
      <c r="Q297" s="28"/>
      <c r="R297" s="28"/>
      <c r="S297" s="28"/>
      <c r="T297" s="28"/>
      <c r="U297" s="28"/>
      <c r="V297" s="28"/>
      <c r="W297" s="28"/>
      <c r="X297" s="28"/>
      <c r="Y297" s="28"/>
      <c r="Z297" s="28"/>
    </row>
    <row r="298" spans="1:26" ht="15.75" customHeight="1" x14ac:dyDescent="0.25">
      <c r="A298" s="8" t="s">
        <v>89</v>
      </c>
      <c r="B298" s="302" t="s">
        <v>90</v>
      </c>
      <c r="C298" s="25">
        <v>6</v>
      </c>
      <c r="D298" s="11">
        <v>19</v>
      </c>
      <c r="E298" s="11">
        <v>10</v>
      </c>
      <c r="F298" s="28"/>
      <c r="G298" s="28"/>
      <c r="H298" s="3"/>
      <c r="I298" s="28"/>
      <c r="J298" s="28"/>
      <c r="K298" s="28"/>
      <c r="L298" s="28"/>
      <c r="M298" s="28"/>
      <c r="N298" s="28"/>
      <c r="O298" s="28"/>
      <c r="P298" s="28"/>
      <c r="Q298" s="28"/>
      <c r="R298" s="28"/>
      <c r="S298" s="28"/>
      <c r="T298" s="28"/>
      <c r="U298" s="28"/>
      <c r="V298" s="28"/>
      <c r="W298" s="28"/>
      <c r="X298" s="28"/>
      <c r="Y298" s="28"/>
      <c r="Z298" s="28"/>
    </row>
    <row r="299" spans="1:26" ht="15.75" customHeight="1" x14ac:dyDescent="0.25">
      <c r="A299" s="126" t="s">
        <v>91</v>
      </c>
      <c r="B299" s="301"/>
      <c r="C299" s="11">
        <v>16</v>
      </c>
      <c r="D299" s="11">
        <v>27</v>
      </c>
      <c r="E299" s="11">
        <v>28</v>
      </c>
      <c r="F299" s="28"/>
      <c r="G299" s="28"/>
      <c r="H299" s="3"/>
      <c r="I299" s="28"/>
      <c r="J299" s="28"/>
      <c r="K299" s="28"/>
      <c r="L299" s="28"/>
      <c r="M299" s="28"/>
      <c r="N299" s="28"/>
      <c r="O299" s="28"/>
      <c r="P299" s="28"/>
      <c r="Q299" s="28"/>
      <c r="R299" s="28"/>
      <c r="S299" s="28"/>
      <c r="T299" s="28"/>
      <c r="U299" s="28"/>
      <c r="V299" s="28"/>
      <c r="W299" s="28"/>
      <c r="X299" s="28"/>
      <c r="Y299" s="28"/>
      <c r="Z299" s="28"/>
    </row>
    <row r="300" spans="1:26" ht="15.75" customHeight="1" x14ac:dyDescent="0.25">
      <c r="A300" s="135"/>
      <c r="B300" s="136"/>
      <c r="C300" s="136"/>
      <c r="D300" s="180"/>
      <c r="E300" s="180"/>
      <c r="F300" s="28"/>
      <c r="G300" s="28"/>
      <c r="H300" s="3"/>
      <c r="I300" s="28"/>
      <c r="J300" s="28"/>
      <c r="K300" s="28"/>
      <c r="L300" s="28"/>
      <c r="M300" s="28"/>
      <c r="N300" s="28"/>
      <c r="O300" s="28"/>
      <c r="P300" s="28"/>
      <c r="Q300" s="28"/>
      <c r="R300" s="28"/>
      <c r="S300" s="28"/>
      <c r="T300" s="28"/>
      <c r="U300" s="28"/>
      <c r="V300" s="28"/>
      <c r="W300" s="28"/>
      <c r="X300" s="28"/>
      <c r="Y300" s="28"/>
      <c r="Z300" s="28"/>
    </row>
    <row r="301" spans="1:26" ht="15.75" customHeight="1" x14ac:dyDescent="0.25">
      <c r="A301" s="9" t="s">
        <v>94</v>
      </c>
      <c r="B301" s="299" t="s">
        <v>95</v>
      </c>
      <c r="C301" s="47">
        <v>49.666666666666664</v>
      </c>
      <c r="D301" s="11">
        <v>60</v>
      </c>
      <c r="E301" s="11">
        <v>42</v>
      </c>
      <c r="F301" s="28"/>
      <c r="G301" s="28"/>
      <c r="H301" s="3"/>
      <c r="I301" s="28"/>
      <c r="J301" s="28"/>
      <c r="K301" s="28"/>
      <c r="L301" s="28"/>
      <c r="M301" s="28"/>
      <c r="N301" s="28"/>
      <c r="O301" s="28"/>
      <c r="P301" s="28"/>
      <c r="Q301" s="28"/>
      <c r="R301" s="28"/>
      <c r="S301" s="28"/>
      <c r="T301" s="28"/>
      <c r="U301" s="28"/>
      <c r="V301" s="28"/>
      <c r="W301" s="28"/>
      <c r="X301" s="28"/>
      <c r="Y301" s="28"/>
      <c r="Z301" s="28"/>
    </row>
    <row r="302" spans="1:26" ht="15.75" customHeight="1" x14ac:dyDescent="0.25">
      <c r="A302" s="9" t="s">
        <v>96</v>
      </c>
      <c r="B302" s="300"/>
      <c r="C302" s="47">
        <v>122</v>
      </c>
      <c r="D302" s="11">
        <v>104</v>
      </c>
      <c r="E302" s="11">
        <v>122</v>
      </c>
      <c r="F302" s="28"/>
      <c r="G302" s="28"/>
      <c r="H302" s="3"/>
      <c r="I302" s="28"/>
      <c r="J302" s="28"/>
      <c r="K302" s="28"/>
      <c r="L302" s="28"/>
      <c r="M302" s="28"/>
      <c r="N302" s="28"/>
      <c r="O302" s="28"/>
      <c r="P302" s="28"/>
      <c r="Q302" s="28"/>
      <c r="R302" s="28"/>
      <c r="S302" s="28"/>
      <c r="T302" s="28"/>
      <c r="U302" s="28"/>
      <c r="V302" s="28"/>
      <c r="W302" s="28"/>
      <c r="X302" s="28"/>
      <c r="Y302" s="28"/>
      <c r="Z302" s="28"/>
    </row>
    <row r="303" spans="1:26" ht="15.75" customHeight="1" x14ac:dyDescent="0.25">
      <c r="A303" s="9" t="s">
        <v>97</v>
      </c>
      <c r="B303" s="300"/>
      <c r="C303" s="47">
        <v>130</v>
      </c>
      <c r="D303" s="11">
        <v>110</v>
      </c>
      <c r="E303" s="11">
        <v>108</v>
      </c>
      <c r="F303" s="28"/>
      <c r="G303" s="28"/>
      <c r="H303" s="3"/>
      <c r="I303" s="28"/>
      <c r="J303" s="28"/>
      <c r="K303" s="28"/>
      <c r="L303" s="28"/>
      <c r="M303" s="28"/>
      <c r="N303" s="28"/>
      <c r="O303" s="28"/>
      <c r="P303" s="28"/>
      <c r="Q303" s="28"/>
      <c r="R303" s="28"/>
      <c r="S303" s="28"/>
      <c r="T303" s="28"/>
      <c r="U303" s="28"/>
      <c r="V303" s="28"/>
      <c r="W303" s="28"/>
      <c r="X303" s="28"/>
      <c r="Y303" s="28"/>
      <c r="Z303" s="28"/>
    </row>
    <row r="304" spans="1:26" ht="15.75" customHeight="1" x14ac:dyDescent="0.25">
      <c r="A304" s="9" t="s">
        <v>98</v>
      </c>
      <c r="B304" s="300"/>
      <c r="C304" s="47">
        <v>142</v>
      </c>
      <c r="D304" s="11">
        <v>120</v>
      </c>
      <c r="E304" s="11">
        <v>104</v>
      </c>
      <c r="F304" s="28"/>
      <c r="G304" s="28"/>
      <c r="H304" s="3"/>
      <c r="I304" s="28"/>
      <c r="J304" s="28"/>
      <c r="K304" s="28"/>
      <c r="L304" s="28"/>
      <c r="M304" s="28"/>
      <c r="N304" s="28"/>
      <c r="O304" s="28"/>
      <c r="P304" s="28"/>
      <c r="Q304" s="28"/>
      <c r="R304" s="28"/>
      <c r="S304" s="28"/>
      <c r="T304" s="28"/>
      <c r="U304" s="28"/>
      <c r="V304" s="28"/>
      <c r="W304" s="28"/>
      <c r="X304" s="28"/>
      <c r="Y304" s="28"/>
      <c r="Z304" s="28"/>
    </row>
    <row r="305" spans="1:26" ht="15.75" customHeight="1" x14ac:dyDescent="0.25">
      <c r="A305" s="9" t="s">
        <v>99</v>
      </c>
      <c r="B305" s="301"/>
      <c r="C305" s="47">
        <v>146</v>
      </c>
      <c r="D305" s="11">
        <v>130</v>
      </c>
      <c r="E305" s="11">
        <v>108</v>
      </c>
      <c r="F305" s="28"/>
      <c r="G305" s="28"/>
      <c r="H305" s="3"/>
      <c r="I305" s="28"/>
      <c r="J305" s="28"/>
      <c r="K305" s="28"/>
      <c r="L305" s="28"/>
      <c r="M305" s="28"/>
      <c r="N305" s="28"/>
      <c r="O305" s="28"/>
      <c r="P305" s="28"/>
      <c r="Q305" s="28"/>
      <c r="R305" s="28"/>
      <c r="S305" s="28"/>
      <c r="T305" s="28"/>
      <c r="U305" s="28"/>
      <c r="V305" s="28"/>
      <c r="W305" s="28"/>
      <c r="X305" s="28"/>
      <c r="Y305" s="28"/>
      <c r="Z305" s="28"/>
    </row>
    <row r="306" spans="1:26" ht="15.75" customHeight="1" x14ac:dyDescent="0.25">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5.75" customHeight="1" x14ac:dyDescent="0.25">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5.75" customHeight="1" x14ac:dyDescent="0.25">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5.75" customHeight="1" x14ac:dyDescent="0.25">
      <c r="A309" s="29"/>
      <c r="B309" s="29"/>
      <c r="C309" s="29"/>
      <c r="D309" s="29"/>
      <c r="E309" s="29"/>
      <c r="F309" s="29"/>
      <c r="G309" s="29"/>
      <c r="H309" s="29"/>
      <c r="I309" s="29"/>
      <c r="J309" s="29"/>
      <c r="K309" s="29"/>
      <c r="L309" s="29"/>
      <c r="M309" s="29"/>
      <c r="N309" s="29"/>
      <c r="O309" s="29"/>
      <c r="P309" s="29"/>
      <c r="Q309" s="29"/>
      <c r="R309" s="29"/>
      <c r="S309" s="29"/>
      <c r="T309" s="29"/>
      <c r="U309" s="29"/>
      <c r="V309" s="29"/>
      <c r="W309" s="28"/>
      <c r="X309" s="28"/>
      <c r="Y309" s="28"/>
      <c r="Z309" s="28"/>
    </row>
    <row r="310" spans="1:26" ht="15.75" customHeight="1" x14ac:dyDescent="0.2"/>
    <row r="311" spans="1:26" ht="15.75" customHeight="1" x14ac:dyDescent="0.2"/>
    <row r="312" spans="1:26" ht="15.75" customHeight="1" x14ac:dyDescent="0.2"/>
    <row r="313" spans="1:26" ht="15.75" customHeight="1" x14ac:dyDescent="0.2"/>
    <row r="314" spans="1:26" ht="15.75" customHeight="1" x14ac:dyDescent="0.2"/>
    <row r="315" spans="1:26" ht="15.75" customHeight="1" x14ac:dyDescent="0.2"/>
    <row r="316" spans="1:26" ht="15.75" customHeight="1" x14ac:dyDescent="0.2"/>
    <row r="317" spans="1:26" ht="15.75" customHeight="1" x14ac:dyDescent="0.2"/>
    <row r="318" spans="1:26" ht="15.75" customHeight="1" x14ac:dyDescent="0.2"/>
    <row r="319" spans="1:26" ht="15.75" customHeight="1" x14ac:dyDescent="0.2"/>
    <row r="320" spans="1:26"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02">
    <mergeCell ref="B202:B204"/>
    <mergeCell ref="A252:B252"/>
    <mergeCell ref="C252:E252"/>
    <mergeCell ref="G253:L253"/>
    <mergeCell ref="G254:I254"/>
    <mergeCell ref="J254:L254"/>
    <mergeCell ref="J260:L260"/>
    <mergeCell ref="B206:B209"/>
    <mergeCell ref="B211:B213"/>
    <mergeCell ref="B215:B216"/>
    <mergeCell ref="B218:B219"/>
    <mergeCell ref="B221:B225"/>
    <mergeCell ref="B234:F234"/>
    <mergeCell ref="B240:F240"/>
    <mergeCell ref="B136:B138"/>
    <mergeCell ref="B140:B141"/>
    <mergeCell ref="B143:B145"/>
    <mergeCell ref="B147:B150"/>
    <mergeCell ref="B152:B154"/>
    <mergeCell ref="J174:L174"/>
    <mergeCell ref="J180:L180"/>
    <mergeCell ref="I233:L233"/>
    <mergeCell ref="O233:T238"/>
    <mergeCell ref="I234:L234"/>
    <mergeCell ref="I238:L238"/>
    <mergeCell ref="B156:B157"/>
    <mergeCell ref="B159:B160"/>
    <mergeCell ref="B162:B166"/>
    <mergeCell ref="A172:B172"/>
    <mergeCell ref="C172:E172"/>
    <mergeCell ref="G173:L173"/>
    <mergeCell ref="G174:I174"/>
    <mergeCell ref="B174:B178"/>
    <mergeCell ref="B180:B184"/>
    <mergeCell ref="B186:B187"/>
    <mergeCell ref="B189:B193"/>
    <mergeCell ref="B195:B197"/>
    <mergeCell ref="B199:B200"/>
    <mergeCell ref="B103:F103"/>
    <mergeCell ref="A113:E113"/>
    <mergeCell ref="G114:L114"/>
    <mergeCell ref="B115:B119"/>
    <mergeCell ref="G115:I115"/>
    <mergeCell ref="J115:L115"/>
    <mergeCell ref="B121:B125"/>
    <mergeCell ref="B127:B128"/>
    <mergeCell ref="B130:B134"/>
    <mergeCell ref="B286:B289"/>
    <mergeCell ref="B291:B293"/>
    <mergeCell ref="B295:B296"/>
    <mergeCell ref="B298:B299"/>
    <mergeCell ref="B301:B305"/>
    <mergeCell ref="B254:B258"/>
    <mergeCell ref="B260:B264"/>
    <mergeCell ref="B266:B267"/>
    <mergeCell ref="B269:B273"/>
    <mergeCell ref="B275:B277"/>
    <mergeCell ref="B279:B280"/>
    <mergeCell ref="B282:B284"/>
    <mergeCell ref="I79:L79"/>
    <mergeCell ref="O79:T84"/>
    <mergeCell ref="B80:G80"/>
    <mergeCell ref="I80:L80"/>
    <mergeCell ref="I84:L84"/>
    <mergeCell ref="B85:G85"/>
    <mergeCell ref="I97:L97"/>
    <mergeCell ref="O97:T102"/>
    <mergeCell ref="B98:F98"/>
    <mergeCell ref="I98:L98"/>
    <mergeCell ref="I102:L102"/>
    <mergeCell ref="C58:C60"/>
    <mergeCell ref="C62:C63"/>
    <mergeCell ref="C65:C66"/>
    <mergeCell ref="C68:C72"/>
    <mergeCell ref="C42:C44"/>
    <mergeCell ref="B45:E45"/>
    <mergeCell ref="C46:C47"/>
    <mergeCell ref="B48:F48"/>
    <mergeCell ref="C49:C51"/>
    <mergeCell ref="B52:E52"/>
    <mergeCell ref="B57:F57"/>
    <mergeCell ref="B61:E61"/>
    <mergeCell ref="B64:F64"/>
    <mergeCell ref="B67:F67"/>
    <mergeCell ref="B26:E26"/>
    <mergeCell ref="C21:C25"/>
    <mergeCell ref="C27:C31"/>
    <mergeCell ref="B32:F32"/>
    <mergeCell ref="C33:C34"/>
    <mergeCell ref="B35:E35"/>
    <mergeCell ref="C36:C40"/>
    <mergeCell ref="B41:F41"/>
    <mergeCell ref="C53:C56"/>
    <mergeCell ref="H20:M20"/>
    <mergeCell ref="H21:J21"/>
    <mergeCell ref="K21:M21"/>
    <mergeCell ref="I4:L4"/>
    <mergeCell ref="B5:G5"/>
    <mergeCell ref="I5:L5"/>
    <mergeCell ref="I9:L9"/>
    <mergeCell ref="B10:G10"/>
    <mergeCell ref="B19:E19"/>
  </mergeCells>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2:AR1000"/>
  <sheetViews>
    <sheetView workbookViewId="0"/>
  </sheetViews>
  <sheetFormatPr baseColWidth="10" defaultColWidth="12.625" defaultRowHeight="15" customHeight="1" x14ac:dyDescent="0.2"/>
  <cols>
    <col min="1" max="5" width="10" customWidth="1"/>
    <col min="6" max="6" width="12.25" customWidth="1"/>
    <col min="7" max="44" width="10" customWidth="1"/>
  </cols>
  <sheetData>
    <row r="2" spans="2:11" x14ac:dyDescent="0.25">
      <c r="B2" s="23" t="s">
        <v>1216</v>
      </c>
      <c r="C2" s="28"/>
      <c r="D2" s="28"/>
      <c r="E2" s="28"/>
      <c r="F2" s="28"/>
      <c r="G2" s="28"/>
      <c r="H2" s="28"/>
      <c r="I2" s="28"/>
      <c r="J2" s="28"/>
      <c r="K2" s="28"/>
    </row>
    <row r="3" spans="2:11" x14ac:dyDescent="0.25">
      <c r="B3" s="28"/>
      <c r="C3" s="23"/>
      <c r="D3" s="23"/>
      <c r="E3" s="23"/>
      <c r="F3" s="23"/>
      <c r="G3" s="28"/>
      <c r="H3" s="28"/>
      <c r="I3" s="28"/>
      <c r="J3" s="28"/>
      <c r="K3" s="28"/>
    </row>
    <row r="4" spans="2:11" x14ac:dyDescent="0.25">
      <c r="B4" s="332"/>
      <c r="C4" s="297"/>
      <c r="D4" s="297"/>
      <c r="E4" s="297"/>
      <c r="F4" s="298"/>
    </row>
    <row r="5" spans="2:11" ht="24" x14ac:dyDescent="0.2">
      <c r="B5" s="4" t="s">
        <v>0</v>
      </c>
      <c r="C5" s="5" t="s">
        <v>1</v>
      </c>
      <c r="D5" s="5" t="s">
        <v>42</v>
      </c>
      <c r="E5" s="5" t="s">
        <v>43</v>
      </c>
      <c r="F5" s="5" t="s">
        <v>44</v>
      </c>
      <c r="H5" s="296" t="s">
        <v>45</v>
      </c>
      <c r="I5" s="297"/>
      <c r="J5" s="297"/>
      <c r="K5" s="298"/>
    </row>
    <row r="6" spans="2:11" ht="14.25" x14ac:dyDescent="0.2">
      <c r="B6" s="310" t="s">
        <v>275</v>
      </c>
      <c r="C6" s="297"/>
      <c r="D6" s="297"/>
      <c r="E6" s="297"/>
      <c r="F6" s="298"/>
      <c r="H6" s="305" t="s">
        <v>275</v>
      </c>
      <c r="I6" s="297"/>
      <c r="J6" s="297"/>
      <c r="K6" s="298"/>
    </row>
    <row r="7" spans="2:11" ht="14.25" x14ac:dyDescent="0.2">
      <c r="B7" s="9" t="s">
        <v>11</v>
      </c>
      <c r="C7" s="12" t="s">
        <v>12</v>
      </c>
      <c r="D7" s="17">
        <v>405</v>
      </c>
      <c r="E7" s="177">
        <v>0</v>
      </c>
      <c r="F7" s="17">
        <v>405</v>
      </c>
      <c r="H7" s="12"/>
      <c r="I7" s="12" t="s">
        <v>52</v>
      </c>
      <c r="J7" s="12" t="s">
        <v>53</v>
      </c>
      <c r="K7" s="12"/>
    </row>
    <row r="8" spans="2:11" ht="14.25" x14ac:dyDescent="0.2">
      <c r="B8" s="9" t="s">
        <v>11</v>
      </c>
      <c r="C8" s="12" t="s">
        <v>18</v>
      </c>
      <c r="D8" s="17">
        <v>0</v>
      </c>
      <c r="E8" s="177">
        <v>0</v>
      </c>
      <c r="F8" s="17">
        <v>0</v>
      </c>
      <c r="H8" s="12" t="s">
        <v>12</v>
      </c>
      <c r="I8" s="17">
        <v>0</v>
      </c>
      <c r="J8" s="17">
        <v>405</v>
      </c>
      <c r="K8" s="17" t="s">
        <v>1217</v>
      </c>
    </row>
    <row r="9" spans="2:11" ht="25.5" x14ac:dyDescent="0.2">
      <c r="B9" s="9" t="s">
        <v>21</v>
      </c>
      <c r="C9" s="12" t="s">
        <v>59</v>
      </c>
      <c r="D9" s="17">
        <v>440</v>
      </c>
      <c r="E9" s="177">
        <v>0</v>
      </c>
      <c r="F9" s="17">
        <v>438</v>
      </c>
      <c r="H9" s="12" t="s">
        <v>18</v>
      </c>
      <c r="I9" s="24">
        <v>0</v>
      </c>
      <c r="J9" s="24">
        <v>0</v>
      </c>
      <c r="K9" s="24" t="s">
        <v>1218</v>
      </c>
    </row>
    <row r="10" spans="2:11" ht="25.5" x14ac:dyDescent="0.2">
      <c r="B10" s="12" t="s">
        <v>21</v>
      </c>
      <c r="C10" s="12" t="s">
        <v>63</v>
      </c>
      <c r="D10" s="24">
        <v>160</v>
      </c>
      <c r="E10" s="218">
        <v>0</v>
      </c>
      <c r="F10" s="24">
        <v>157</v>
      </c>
      <c r="H10" s="330"/>
      <c r="I10" s="315"/>
      <c r="J10" s="315"/>
      <c r="K10" s="315"/>
    </row>
    <row r="12" spans="2:11" x14ac:dyDescent="0.25">
      <c r="B12" s="332"/>
      <c r="C12" s="297"/>
      <c r="D12" s="297"/>
      <c r="E12" s="297"/>
      <c r="F12" s="298"/>
    </row>
    <row r="13" spans="2:11" ht="24" x14ac:dyDescent="0.2">
      <c r="B13" s="4" t="s">
        <v>0</v>
      </c>
      <c r="C13" s="5" t="s">
        <v>1</v>
      </c>
      <c r="D13" s="5" t="s">
        <v>42</v>
      </c>
      <c r="E13" s="5" t="s">
        <v>43</v>
      </c>
      <c r="F13" s="5" t="s">
        <v>44</v>
      </c>
      <c r="H13" s="296" t="s">
        <v>45</v>
      </c>
      <c r="I13" s="297"/>
      <c r="J13" s="297"/>
      <c r="K13" s="298"/>
    </row>
    <row r="14" spans="2:11" ht="14.25" x14ac:dyDescent="0.2">
      <c r="B14" s="310" t="s">
        <v>313</v>
      </c>
      <c r="C14" s="297"/>
      <c r="D14" s="297"/>
      <c r="E14" s="297"/>
      <c r="F14" s="298"/>
      <c r="H14" s="305" t="s">
        <v>313</v>
      </c>
      <c r="I14" s="297"/>
      <c r="J14" s="297"/>
      <c r="K14" s="298"/>
    </row>
    <row r="15" spans="2:11" ht="14.25" x14ac:dyDescent="0.2">
      <c r="B15" s="9" t="s">
        <v>11</v>
      </c>
      <c r="C15" s="12" t="s">
        <v>12</v>
      </c>
      <c r="D15" s="17">
        <v>385</v>
      </c>
      <c r="E15" s="177">
        <v>0</v>
      </c>
      <c r="F15" s="17">
        <v>385</v>
      </c>
      <c r="H15" s="12"/>
      <c r="I15" s="12" t="s">
        <v>52</v>
      </c>
      <c r="J15" s="12" t="s">
        <v>53</v>
      </c>
      <c r="K15" s="12"/>
    </row>
    <row r="16" spans="2:11" ht="14.25" x14ac:dyDescent="0.2">
      <c r="B16" s="9" t="s">
        <v>11</v>
      </c>
      <c r="C16" s="12" t="s">
        <v>18</v>
      </c>
      <c r="D16" s="17">
        <v>0</v>
      </c>
      <c r="E16" s="177">
        <v>0</v>
      </c>
      <c r="F16" s="17">
        <v>0</v>
      </c>
      <c r="H16" s="12" t="s">
        <v>12</v>
      </c>
      <c r="I16" s="17">
        <v>0</v>
      </c>
      <c r="J16" s="17">
        <v>385</v>
      </c>
      <c r="K16" s="17" t="s">
        <v>1222</v>
      </c>
    </row>
    <row r="17" spans="1:12" ht="25.5" x14ac:dyDescent="0.2">
      <c r="B17" s="9" t="s">
        <v>21</v>
      </c>
      <c r="C17" s="12" t="s">
        <v>59</v>
      </c>
      <c r="D17" s="17">
        <v>420</v>
      </c>
      <c r="E17" s="177">
        <v>0</v>
      </c>
      <c r="F17" s="17">
        <v>411</v>
      </c>
      <c r="H17" s="12" t="s">
        <v>18</v>
      </c>
      <c r="I17" s="24">
        <v>0</v>
      </c>
      <c r="J17" s="24">
        <v>0</v>
      </c>
      <c r="K17" s="24" t="s">
        <v>1224</v>
      </c>
    </row>
    <row r="18" spans="1:12" ht="25.5" x14ac:dyDescent="0.2">
      <c r="B18" s="12" t="s">
        <v>21</v>
      </c>
      <c r="C18" s="12" t="s">
        <v>63</v>
      </c>
      <c r="D18" s="24">
        <v>140</v>
      </c>
      <c r="E18" s="218">
        <v>0</v>
      </c>
      <c r="F18" s="24">
        <v>144</v>
      </c>
      <c r="H18" s="330"/>
      <c r="I18" s="315"/>
      <c r="J18" s="315"/>
      <c r="K18" s="315"/>
    </row>
    <row r="20" spans="1:12" x14ac:dyDescent="0.25">
      <c r="A20" s="21" t="s">
        <v>1226</v>
      </c>
    </row>
    <row r="21" spans="1:12" ht="15.75" customHeight="1" x14ac:dyDescent="0.2"/>
    <row r="22" spans="1:12" ht="15.75" customHeight="1" x14ac:dyDescent="0.25">
      <c r="A22" s="304" t="s">
        <v>662</v>
      </c>
      <c r="B22" s="297"/>
      <c r="C22" s="297"/>
      <c r="D22" s="297"/>
      <c r="E22" s="154"/>
      <c r="H22" s="3"/>
    </row>
    <row r="23" spans="1:12" ht="15.75" customHeight="1" x14ac:dyDescent="0.2">
      <c r="A23" s="4" t="s">
        <v>0</v>
      </c>
      <c r="B23" s="5" t="s">
        <v>1</v>
      </c>
      <c r="C23" s="5" t="s">
        <v>2</v>
      </c>
      <c r="D23" s="5" t="s">
        <v>43</v>
      </c>
      <c r="E23" s="45" t="s">
        <v>125</v>
      </c>
      <c r="G23" s="296" t="s">
        <v>6</v>
      </c>
      <c r="H23" s="297"/>
      <c r="I23" s="297"/>
      <c r="J23" s="297"/>
      <c r="K23" s="297"/>
      <c r="L23" s="298"/>
    </row>
    <row r="24" spans="1:12" ht="15.75" customHeight="1" x14ac:dyDescent="0.2">
      <c r="A24" s="9" t="s">
        <v>7</v>
      </c>
      <c r="B24" s="302" t="s">
        <v>9</v>
      </c>
      <c r="C24" s="47">
        <v>28.1</v>
      </c>
      <c r="D24" s="11"/>
      <c r="E24" s="11">
        <v>32</v>
      </c>
      <c r="G24" s="296" t="s">
        <v>106</v>
      </c>
      <c r="H24" s="297"/>
      <c r="I24" s="298"/>
      <c r="J24" s="296" t="s">
        <v>107</v>
      </c>
      <c r="K24" s="297"/>
      <c r="L24" s="298"/>
    </row>
    <row r="25" spans="1:12" ht="15.75" customHeight="1" x14ac:dyDescent="0.2">
      <c r="A25" s="9" t="s">
        <v>17</v>
      </c>
      <c r="B25" s="300"/>
      <c r="C25" s="47">
        <v>63.911000000000001</v>
      </c>
      <c r="D25" s="11"/>
      <c r="E25" s="11">
        <v>55</v>
      </c>
      <c r="G25" s="13" t="s">
        <v>13</v>
      </c>
      <c r="H25" s="39"/>
      <c r="I25" s="17" t="s">
        <v>1229</v>
      </c>
      <c r="J25" s="13" t="s">
        <v>13</v>
      </c>
      <c r="K25" s="39">
        <f>K27+K27*0.05</f>
        <v>866.25</v>
      </c>
      <c r="L25" s="17" t="s">
        <v>1230</v>
      </c>
    </row>
    <row r="26" spans="1:12" ht="15.75" customHeight="1" x14ac:dyDescent="0.2">
      <c r="A26" s="9" t="s">
        <v>26</v>
      </c>
      <c r="B26" s="300"/>
      <c r="C26" s="47">
        <v>69.921999999999997</v>
      </c>
      <c r="D26" s="11"/>
      <c r="E26" s="11">
        <v>67</v>
      </c>
      <c r="G26" s="13" t="s">
        <v>19</v>
      </c>
      <c r="H26" s="40"/>
      <c r="I26" s="17" t="s">
        <v>1232</v>
      </c>
      <c r="J26" s="13" t="s">
        <v>19</v>
      </c>
      <c r="K26" s="40">
        <f>K27-K27*0.05</f>
        <v>783.75</v>
      </c>
      <c r="L26" s="17" t="s">
        <v>1234</v>
      </c>
    </row>
    <row r="27" spans="1:12" ht="15.75" customHeight="1" x14ac:dyDescent="0.2">
      <c r="A27" s="9" t="s">
        <v>32</v>
      </c>
      <c r="B27" s="300"/>
      <c r="C27" s="47">
        <v>96.744</v>
      </c>
      <c r="D27" s="11"/>
      <c r="E27" s="11">
        <v>90</v>
      </c>
      <c r="G27" s="13" t="s">
        <v>27</v>
      </c>
      <c r="H27" s="20"/>
      <c r="I27" s="17" t="s">
        <v>1237</v>
      </c>
      <c r="J27" s="13" t="s">
        <v>27</v>
      </c>
      <c r="K27" s="20">
        <v>825</v>
      </c>
      <c r="L27" s="17" t="s">
        <v>1238</v>
      </c>
    </row>
    <row r="28" spans="1:12" ht="15.75" customHeight="1" x14ac:dyDescent="0.2">
      <c r="A28" s="9" t="s">
        <v>33</v>
      </c>
      <c r="B28" s="301"/>
      <c r="C28" s="47">
        <v>128.11000000000001</v>
      </c>
      <c r="D28" s="11"/>
      <c r="E28" s="11">
        <v>128</v>
      </c>
      <c r="G28" s="13" t="s">
        <v>121</v>
      </c>
      <c r="H28" s="20"/>
      <c r="I28" s="17" t="s">
        <v>1239</v>
      </c>
      <c r="J28" s="13" t="s">
        <v>121</v>
      </c>
      <c r="K28" s="20">
        <v>824</v>
      </c>
      <c r="L28" s="17" t="s">
        <v>1240</v>
      </c>
    </row>
    <row r="29" spans="1:12" ht="15.75" customHeight="1" x14ac:dyDescent="0.25">
      <c r="A29" s="41"/>
      <c r="B29" s="42"/>
      <c r="C29" s="69"/>
      <c r="D29" s="42"/>
      <c r="E29" s="11"/>
      <c r="H29" s="3"/>
    </row>
    <row r="30" spans="1:12" ht="15.75" customHeight="1" x14ac:dyDescent="0.25">
      <c r="A30" s="9" t="s">
        <v>35</v>
      </c>
      <c r="B30" s="302" t="s">
        <v>36</v>
      </c>
      <c r="C30" s="47">
        <v>207.78</v>
      </c>
      <c r="D30" s="11"/>
      <c r="E30" s="11">
        <v>234</v>
      </c>
      <c r="G30" s="31"/>
      <c r="H30" s="3"/>
    </row>
    <row r="31" spans="1:12" ht="15.75" customHeight="1" x14ac:dyDescent="0.25">
      <c r="A31" s="9" t="s">
        <v>37</v>
      </c>
      <c r="B31" s="300"/>
      <c r="C31" s="47">
        <v>444.11</v>
      </c>
      <c r="D31" s="11"/>
      <c r="E31" s="11">
        <v>487</v>
      </c>
      <c r="G31" s="31"/>
      <c r="H31" s="3"/>
    </row>
    <row r="32" spans="1:12" ht="15.75" customHeight="1" x14ac:dyDescent="0.25">
      <c r="A32" s="9" t="s">
        <v>38</v>
      </c>
      <c r="B32" s="300"/>
      <c r="C32" s="47">
        <v>579.55999999999995</v>
      </c>
      <c r="D32" s="11"/>
      <c r="E32" s="11">
        <v>555</v>
      </c>
      <c r="G32" s="31"/>
      <c r="H32" s="3"/>
    </row>
    <row r="33" spans="1:8" ht="15.75" customHeight="1" x14ac:dyDescent="0.25">
      <c r="A33" s="9" t="s">
        <v>39</v>
      </c>
      <c r="B33" s="300"/>
      <c r="C33" s="47">
        <v>746.22</v>
      </c>
      <c r="D33" s="11"/>
      <c r="E33" s="11">
        <v>758</v>
      </c>
      <c r="G33" s="31"/>
      <c r="H33" s="3"/>
    </row>
    <row r="34" spans="1:8" ht="15.75" customHeight="1" x14ac:dyDescent="0.25">
      <c r="A34" s="49" t="s">
        <v>41</v>
      </c>
      <c r="B34" s="300"/>
      <c r="C34" s="50">
        <v>869.5</v>
      </c>
      <c r="D34" s="51"/>
      <c r="E34" s="51">
        <v>781</v>
      </c>
      <c r="G34" s="31"/>
      <c r="H34" s="3"/>
    </row>
    <row r="35" spans="1:8" ht="15.75" customHeight="1" x14ac:dyDescent="0.25">
      <c r="A35" s="308"/>
      <c r="B35" s="297"/>
      <c r="C35" s="297"/>
      <c r="D35" s="297"/>
      <c r="E35" s="306"/>
      <c r="H35" s="3"/>
    </row>
    <row r="36" spans="1:8" ht="15.75" customHeight="1" x14ac:dyDescent="0.25">
      <c r="A36" s="9" t="s">
        <v>46</v>
      </c>
      <c r="B36" s="299" t="s">
        <v>47</v>
      </c>
      <c r="C36" s="47">
        <v>88.4</v>
      </c>
      <c r="D36" s="11"/>
      <c r="E36" s="11">
        <f t="shared" ref="E36:E37" ca="1" si="0">RANDBETWEEN(C36-C36*0.1,C36+C36*0.1)</f>
        <v>89</v>
      </c>
      <c r="H36" s="3"/>
    </row>
    <row r="37" spans="1:8" ht="15.75" customHeight="1" x14ac:dyDescent="0.25">
      <c r="A37" s="9" t="s">
        <v>48</v>
      </c>
      <c r="B37" s="300"/>
      <c r="C37" s="47">
        <v>94.6</v>
      </c>
      <c r="D37" s="11"/>
      <c r="E37" s="11">
        <f t="shared" ca="1" si="0"/>
        <v>89</v>
      </c>
      <c r="H37" s="3"/>
    </row>
    <row r="38" spans="1:8" ht="15.75" customHeight="1" x14ac:dyDescent="0.25">
      <c r="A38" s="41"/>
      <c r="B38" s="42"/>
      <c r="C38" s="69"/>
      <c r="D38" s="42"/>
      <c r="E38" s="11"/>
      <c r="H38" s="3"/>
    </row>
    <row r="39" spans="1:8" ht="15.75" customHeight="1" x14ac:dyDescent="0.25">
      <c r="A39" s="9" t="s">
        <v>50</v>
      </c>
      <c r="B39" s="302" t="s">
        <v>51</v>
      </c>
      <c r="C39" s="47">
        <v>271.44400000000002</v>
      </c>
      <c r="D39" s="11"/>
      <c r="E39" s="11">
        <f t="shared" ref="E39:E43" ca="1" si="1">RANDBETWEEN(C39-C39*0.1,C39+C39*0.1)</f>
        <v>287</v>
      </c>
      <c r="H39" s="3"/>
    </row>
    <row r="40" spans="1:8" ht="15.75" customHeight="1" x14ac:dyDescent="0.25">
      <c r="A40" s="9" t="s">
        <v>54</v>
      </c>
      <c r="B40" s="300"/>
      <c r="C40" s="47">
        <v>550.22199999999998</v>
      </c>
      <c r="D40" s="11"/>
      <c r="E40" s="11">
        <f t="shared" ca="1" si="1"/>
        <v>497</v>
      </c>
      <c r="H40" s="3"/>
    </row>
    <row r="41" spans="1:8" ht="15.75" customHeight="1" x14ac:dyDescent="0.25">
      <c r="A41" s="9" t="s">
        <v>55</v>
      </c>
      <c r="B41" s="300"/>
      <c r="C41" s="47">
        <v>609</v>
      </c>
      <c r="D41" s="11"/>
      <c r="E41" s="11">
        <f t="shared" ca="1" si="1"/>
        <v>592</v>
      </c>
      <c r="H41" s="3"/>
    </row>
    <row r="42" spans="1:8" ht="15.75" customHeight="1" x14ac:dyDescent="0.25">
      <c r="A42" s="9" t="s">
        <v>56</v>
      </c>
      <c r="B42" s="300"/>
      <c r="C42" s="47">
        <v>739.11099999999999</v>
      </c>
      <c r="D42" s="11"/>
      <c r="E42" s="11">
        <f t="shared" ca="1" si="1"/>
        <v>742</v>
      </c>
      <c r="H42" s="3"/>
    </row>
    <row r="43" spans="1:8" ht="15.75" customHeight="1" x14ac:dyDescent="0.25">
      <c r="A43" s="49" t="s">
        <v>57</v>
      </c>
      <c r="B43" s="300"/>
      <c r="C43" s="50">
        <v>746.88900000000001</v>
      </c>
      <c r="D43" s="51"/>
      <c r="E43" s="11">
        <f t="shared" ca="1" si="1"/>
        <v>785</v>
      </c>
      <c r="H43" s="3"/>
    </row>
    <row r="44" spans="1:8" ht="15.75" customHeight="1" x14ac:dyDescent="0.25">
      <c r="A44" s="308"/>
      <c r="B44" s="297"/>
      <c r="C44" s="297"/>
      <c r="D44" s="297"/>
      <c r="E44" s="306"/>
      <c r="H44" s="3"/>
    </row>
    <row r="45" spans="1:8" ht="15.75" customHeight="1" x14ac:dyDescent="0.25">
      <c r="A45" s="9" t="s">
        <v>60</v>
      </c>
      <c r="B45" s="299" t="s">
        <v>62</v>
      </c>
      <c r="C45" s="47">
        <v>19.36</v>
      </c>
      <c r="D45" s="11"/>
      <c r="E45" s="11">
        <v>25</v>
      </c>
      <c r="H45" s="3"/>
    </row>
    <row r="46" spans="1:8" ht="15.75" customHeight="1" x14ac:dyDescent="0.25">
      <c r="A46" s="9" t="s">
        <v>64</v>
      </c>
      <c r="B46" s="300"/>
      <c r="C46" s="47">
        <v>33.31</v>
      </c>
      <c r="D46" s="11"/>
      <c r="E46" s="11">
        <v>36</v>
      </c>
      <c r="H46" s="3"/>
    </row>
    <row r="47" spans="1:8" ht="15.75" customHeight="1" x14ac:dyDescent="0.25">
      <c r="A47" s="9" t="s">
        <v>65</v>
      </c>
      <c r="B47" s="301"/>
      <c r="C47" s="47">
        <v>41.74</v>
      </c>
      <c r="D47" s="11"/>
      <c r="E47" s="11">
        <v>28</v>
      </c>
      <c r="H47" s="3"/>
    </row>
    <row r="48" spans="1:8" ht="15.75" customHeight="1" x14ac:dyDescent="0.25">
      <c r="A48" s="41"/>
      <c r="B48" s="42"/>
      <c r="C48" s="69"/>
      <c r="D48" s="42"/>
      <c r="E48" s="11"/>
      <c r="H48" s="3"/>
    </row>
    <row r="49" spans="1:8" ht="15.75" customHeight="1" x14ac:dyDescent="0.25">
      <c r="A49" s="9" t="s">
        <v>66</v>
      </c>
      <c r="B49" s="302" t="s">
        <v>68</v>
      </c>
      <c r="C49" s="47">
        <v>204.5</v>
      </c>
      <c r="D49" s="11"/>
      <c r="E49" s="11">
        <v>205</v>
      </c>
      <c r="H49" s="3"/>
    </row>
    <row r="50" spans="1:8" ht="15.75" customHeight="1" x14ac:dyDescent="0.25">
      <c r="A50" s="49" t="s">
        <v>69</v>
      </c>
      <c r="B50" s="300"/>
      <c r="C50" s="50">
        <v>277.7</v>
      </c>
      <c r="D50" s="51"/>
      <c r="E50" s="51">
        <v>282</v>
      </c>
      <c r="H50" s="3"/>
    </row>
    <row r="51" spans="1:8" ht="15.75" customHeight="1" x14ac:dyDescent="0.25">
      <c r="A51" s="305"/>
      <c r="B51" s="297"/>
      <c r="C51" s="297"/>
      <c r="D51" s="297"/>
      <c r="E51" s="306"/>
      <c r="H51" s="3"/>
    </row>
    <row r="52" spans="1:8" ht="15.75" customHeight="1" x14ac:dyDescent="0.25">
      <c r="A52" s="9" t="s">
        <v>69</v>
      </c>
      <c r="B52" s="299" t="s">
        <v>71</v>
      </c>
      <c r="C52" s="47">
        <v>10.283300000000001</v>
      </c>
      <c r="D52" s="11"/>
      <c r="E52" s="11">
        <f t="shared" ref="E52:E54" ca="1" si="2">RANDBETWEEN(C52-C52*0.1,C52+C52*0.1)</f>
        <v>11</v>
      </c>
      <c r="H52" s="3"/>
    </row>
    <row r="53" spans="1:8" ht="15.75" customHeight="1" x14ac:dyDescent="0.25">
      <c r="A53" s="9" t="s">
        <v>72</v>
      </c>
      <c r="B53" s="300"/>
      <c r="C53" s="47">
        <v>11.8833</v>
      </c>
      <c r="D53" s="11"/>
      <c r="E53" s="11">
        <f t="shared" ca="1" si="2"/>
        <v>12</v>
      </c>
      <c r="H53" s="3"/>
    </row>
    <row r="54" spans="1:8" ht="15.75" customHeight="1" x14ac:dyDescent="0.25">
      <c r="A54" s="9" t="s">
        <v>73</v>
      </c>
      <c r="B54" s="301"/>
      <c r="C54" s="47">
        <v>17.433299999999999</v>
      </c>
      <c r="D54" s="11"/>
      <c r="E54" s="11">
        <f t="shared" ca="1" si="2"/>
        <v>16</v>
      </c>
      <c r="H54" s="3"/>
    </row>
    <row r="55" spans="1:8" ht="15.75" customHeight="1" x14ac:dyDescent="0.25">
      <c r="A55" s="41"/>
      <c r="B55" s="42"/>
      <c r="C55" s="69"/>
      <c r="D55" s="42"/>
      <c r="E55" s="11"/>
      <c r="H55" s="3"/>
    </row>
    <row r="56" spans="1:8" ht="15.75" customHeight="1" x14ac:dyDescent="0.25">
      <c r="A56" s="9" t="s">
        <v>76</v>
      </c>
      <c r="B56" s="302" t="s">
        <v>77</v>
      </c>
      <c r="C56" s="47">
        <v>117.467</v>
      </c>
      <c r="D56" s="11"/>
      <c r="E56" s="11">
        <f t="shared" ref="E56:E59" ca="1" si="3">RANDBETWEEN(C56-C56*0.1,C56+C56*0.1)</f>
        <v>112</v>
      </c>
      <c r="H56" s="3"/>
    </row>
    <row r="57" spans="1:8" ht="15.75" customHeight="1" x14ac:dyDescent="0.25">
      <c r="A57" s="9" t="s">
        <v>78</v>
      </c>
      <c r="B57" s="300"/>
      <c r="C57" s="47">
        <v>187.833</v>
      </c>
      <c r="D57" s="11"/>
      <c r="E57" s="11">
        <f t="shared" ca="1" si="3"/>
        <v>178</v>
      </c>
      <c r="H57" s="3"/>
    </row>
    <row r="58" spans="1:8" ht="15.75" customHeight="1" x14ac:dyDescent="0.25">
      <c r="A58" s="9" t="s">
        <v>79</v>
      </c>
      <c r="B58" s="300"/>
      <c r="C58" s="47">
        <v>218.333</v>
      </c>
      <c r="D58" s="11"/>
      <c r="E58" s="11">
        <f t="shared" ca="1" si="3"/>
        <v>216</v>
      </c>
      <c r="H58" s="3"/>
    </row>
    <row r="59" spans="1:8" ht="15.75" customHeight="1" x14ac:dyDescent="0.25">
      <c r="A59" s="49" t="s">
        <v>80</v>
      </c>
      <c r="B59" s="300"/>
      <c r="C59" s="50">
        <v>238.5</v>
      </c>
      <c r="D59" s="51"/>
      <c r="E59" s="11">
        <f t="shared" ca="1" si="3"/>
        <v>247</v>
      </c>
      <c r="H59" s="3"/>
    </row>
    <row r="60" spans="1:8" ht="15.75" customHeight="1" x14ac:dyDescent="0.25">
      <c r="A60" s="305"/>
      <c r="B60" s="297"/>
      <c r="C60" s="297"/>
      <c r="D60" s="297"/>
      <c r="E60" s="306"/>
      <c r="H60" s="3"/>
    </row>
    <row r="61" spans="1:8" ht="15.75" customHeight="1" x14ac:dyDescent="0.25">
      <c r="A61" s="9" t="s">
        <v>81</v>
      </c>
      <c r="B61" s="299" t="s">
        <v>82</v>
      </c>
      <c r="C61" s="47">
        <v>2</v>
      </c>
      <c r="D61" s="11"/>
      <c r="E61" s="11">
        <v>1</v>
      </c>
      <c r="H61" s="3"/>
    </row>
    <row r="62" spans="1:8" ht="15.75" customHeight="1" x14ac:dyDescent="0.25">
      <c r="A62" s="9" t="s">
        <v>83</v>
      </c>
      <c r="B62" s="300"/>
      <c r="C62" s="47">
        <v>7.133</v>
      </c>
      <c r="D62" s="11"/>
      <c r="E62" s="11">
        <v>3</v>
      </c>
      <c r="H62" s="3"/>
    </row>
    <row r="63" spans="1:8" ht="15.75" customHeight="1" x14ac:dyDescent="0.25">
      <c r="A63" s="9" t="s">
        <v>84</v>
      </c>
      <c r="B63" s="301"/>
      <c r="C63" s="47">
        <v>10.72</v>
      </c>
      <c r="D63" s="11"/>
      <c r="E63" s="11">
        <v>2</v>
      </c>
      <c r="H63" s="3"/>
    </row>
    <row r="64" spans="1:8" ht="15.75" customHeight="1" x14ac:dyDescent="0.25">
      <c r="A64" s="41"/>
      <c r="B64" s="42"/>
      <c r="C64" s="69"/>
      <c r="D64" s="42"/>
      <c r="E64" s="11"/>
      <c r="H64" s="3"/>
    </row>
    <row r="65" spans="1:44" ht="15.75" customHeight="1" x14ac:dyDescent="0.25">
      <c r="A65" s="9" t="s">
        <v>86</v>
      </c>
      <c r="B65" s="302" t="s">
        <v>87</v>
      </c>
      <c r="C65" s="47">
        <v>20.466999999999999</v>
      </c>
      <c r="D65" s="11"/>
      <c r="E65" s="11">
        <v>19</v>
      </c>
      <c r="H65" s="3"/>
    </row>
    <row r="66" spans="1:44" ht="15.75" customHeight="1" x14ac:dyDescent="0.25">
      <c r="A66" s="49" t="s">
        <v>88</v>
      </c>
      <c r="B66" s="300"/>
      <c r="C66" s="50">
        <v>20.367000000000001</v>
      </c>
      <c r="D66" s="51"/>
      <c r="E66" s="51">
        <v>19</v>
      </c>
      <c r="H66" s="3"/>
    </row>
    <row r="67" spans="1:44" ht="15.75" customHeight="1" x14ac:dyDescent="0.25">
      <c r="A67" s="305"/>
      <c r="B67" s="297"/>
      <c r="C67" s="297"/>
      <c r="D67" s="297"/>
      <c r="E67" s="306"/>
      <c r="H67" s="3"/>
    </row>
    <row r="68" spans="1:44" ht="15.75" customHeight="1" x14ac:dyDescent="0.25">
      <c r="A68" s="9" t="s">
        <v>89</v>
      </c>
      <c r="B68" s="299" t="s">
        <v>90</v>
      </c>
      <c r="C68" s="47">
        <v>5.15</v>
      </c>
      <c r="D68" s="11"/>
      <c r="E68" s="11">
        <v>7</v>
      </c>
      <c r="H68" s="3"/>
    </row>
    <row r="69" spans="1:44" ht="15.75" customHeight="1" x14ac:dyDescent="0.25">
      <c r="A69" s="49" t="s">
        <v>91</v>
      </c>
      <c r="B69" s="300"/>
      <c r="C69" s="50">
        <v>16.2</v>
      </c>
      <c r="D69" s="51"/>
      <c r="E69" s="51">
        <v>16</v>
      </c>
      <c r="H69" s="3"/>
    </row>
    <row r="70" spans="1:44" ht="15.75" customHeight="1" x14ac:dyDescent="0.25">
      <c r="A70" s="41"/>
      <c r="B70" s="42"/>
      <c r="C70" s="69"/>
      <c r="D70" s="42"/>
      <c r="E70" s="201"/>
      <c r="H70" s="3"/>
    </row>
    <row r="71" spans="1:44" ht="15.75" customHeight="1" x14ac:dyDescent="0.25">
      <c r="A71" s="9" t="s">
        <v>94</v>
      </c>
      <c r="B71" s="299" t="s">
        <v>95</v>
      </c>
      <c r="C71" s="47">
        <v>50.082999999999998</v>
      </c>
      <c r="D71" s="11"/>
      <c r="E71" s="11">
        <v>55</v>
      </c>
      <c r="H71" s="3"/>
    </row>
    <row r="72" spans="1:44" ht="15.75" customHeight="1" x14ac:dyDescent="0.25">
      <c r="A72" s="9" t="s">
        <v>96</v>
      </c>
      <c r="B72" s="300"/>
      <c r="C72" s="47">
        <v>93.992999999999995</v>
      </c>
      <c r="D72" s="11"/>
      <c r="E72" s="11">
        <v>88</v>
      </c>
      <c r="H72" s="3"/>
    </row>
    <row r="73" spans="1:44" ht="15.75" customHeight="1" x14ac:dyDescent="0.25">
      <c r="A73" s="9" t="s">
        <v>97</v>
      </c>
      <c r="B73" s="300"/>
      <c r="C73" s="47">
        <v>95.516999999999996</v>
      </c>
      <c r="D73" s="11"/>
      <c r="E73" s="11">
        <v>66</v>
      </c>
      <c r="H73" s="3"/>
    </row>
    <row r="74" spans="1:44" ht="15.75" customHeight="1" x14ac:dyDescent="0.25">
      <c r="A74" s="9" t="s">
        <v>98</v>
      </c>
      <c r="B74" s="300"/>
      <c r="C74" s="47">
        <v>100.92</v>
      </c>
      <c r="D74" s="11"/>
      <c r="E74" s="11">
        <v>94</v>
      </c>
      <c r="H74" s="3"/>
    </row>
    <row r="75" spans="1:44" ht="15.75" customHeight="1" x14ac:dyDescent="0.25">
      <c r="A75" s="9" t="s">
        <v>99</v>
      </c>
      <c r="B75" s="301"/>
      <c r="C75" s="47">
        <v>115.37</v>
      </c>
      <c r="D75" s="11"/>
      <c r="E75" s="11">
        <v>97</v>
      </c>
      <c r="H75" s="3"/>
    </row>
    <row r="76" spans="1:44" ht="15.75" customHeight="1" x14ac:dyDescent="0.25">
      <c r="A76" s="1"/>
      <c r="B76" s="1"/>
      <c r="C76" s="2"/>
      <c r="D76" s="2"/>
      <c r="E76" s="146"/>
      <c r="H76" s="3"/>
    </row>
    <row r="77" spans="1:44" ht="15.75" customHeight="1" x14ac:dyDescent="0.25">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row>
    <row r="78" spans="1:44" ht="15.75" customHeight="1" x14ac:dyDescent="0.25">
      <c r="A78" s="21" t="s">
        <v>1216</v>
      </c>
    </row>
    <row r="79" spans="1:44" ht="15.75" customHeight="1" x14ac:dyDescent="0.2">
      <c r="A79" s="4" t="s">
        <v>0</v>
      </c>
      <c r="B79" s="5" t="s">
        <v>1</v>
      </c>
      <c r="C79" s="5" t="s">
        <v>42</v>
      </c>
      <c r="D79" s="5" t="s">
        <v>43</v>
      </c>
      <c r="E79" s="5" t="s">
        <v>44</v>
      </c>
      <c r="F79" s="7" t="s">
        <v>206</v>
      </c>
      <c r="H79" s="296" t="s">
        <v>45</v>
      </c>
      <c r="I79" s="297"/>
      <c r="J79" s="297"/>
      <c r="K79" s="298"/>
    </row>
    <row r="80" spans="1:44" ht="15.75" customHeight="1" x14ac:dyDescent="0.2">
      <c r="A80" s="310" t="s">
        <v>8</v>
      </c>
      <c r="B80" s="297"/>
      <c r="C80" s="297"/>
      <c r="D80" s="297"/>
      <c r="E80" s="297"/>
      <c r="F80" s="306"/>
      <c r="H80" s="305" t="s">
        <v>10</v>
      </c>
      <c r="I80" s="297"/>
      <c r="J80" s="297"/>
      <c r="K80" s="298"/>
    </row>
    <row r="81" spans="1:44" ht="15.75" customHeight="1" x14ac:dyDescent="0.2">
      <c r="A81" s="9" t="s">
        <v>11</v>
      </c>
      <c r="B81" s="12" t="s">
        <v>12</v>
      </c>
      <c r="C81" s="17">
        <v>405</v>
      </c>
      <c r="D81" s="22">
        <v>405</v>
      </c>
      <c r="E81" s="11">
        <v>470</v>
      </c>
      <c r="F81" s="110">
        <f>((D81-E81)/D81)</f>
        <v>-0.16049382716049382</v>
      </c>
      <c r="H81" s="12"/>
      <c r="I81" s="12" t="s">
        <v>52</v>
      </c>
      <c r="J81" s="12" t="s">
        <v>53</v>
      </c>
      <c r="K81" s="12"/>
    </row>
    <row r="82" spans="1:44" ht="15.75" customHeight="1" x14ac:dyDescent="0.2">
      <c r="A82" s="9" t="s">
        <v>11</v>
      </c>
      <c r="B82" s="12" t="s">
        <v>18</v>
      </c>
      <c r="C82" s="17">
        <v>0</v>
      </c>
      <c r="D82" s="22">
        <v>0</v>
      </c>
      <c r="E82" s="11">
        <v>0</v>
      </c>
      <c r="F82" s="110">
        <v>0</v>
      </c>
      <c r="H82" s="12" t="s">
        <v>12</v>
      </c>
      <c r="I82" s="17">
        <v>405</v>
      </c>
      <c r="J82" s="11">
        <v>470</v>
      </c>
      <c r="K82" s="17" t="s">
        <v>1259</v>
      </c>
    </row>
    <row r="83" spans="1:44" ht="15.75" customHeight="1" x14ac:dyDescent="0.2">
      <c r="A83" s="9" t="s">
        <v>21</v>
      </c>
      <c r="B83" s="12" t="s">
        <v>59</v>
      </c>
      <c r="C83" s="17">
        <v>440</v>
      </c>
      <c r="D83" s="22">
        <v>405</v>
      </c>
      <c r="E83" s="11">
        <v>435</v>
      </c>
      <c r="F83" s="110">
        <f t="shared" ref="F83:F84" si="4">((D83-E83)/D83)</f>
        <v>-7.407407407407407E-2</v>
      </c>
      <c r="H83" s="12" t="s">
        <v>18</v>
      </c>
      <c r="I83" s="17">
        <v>0</v>
      </c>
      <c r="J83" s="11">
        <v>0</v>
      </c>
      <c r="K83" s="17" t="s">
        <v>1260</v>
      </c>
    </row>
    <row r="84" spans="1:44" ht="15.75" customHeight="1" x14ac:dyDescent="0.2">
      <c r="A84" s="9" t="s">
        <v>21</v>
      </c>
      <c r="B84" s="12" t="s">
        <v>63</v>
      </c>
      <c r="C84" s="17">
        <v>160</v>
      </c>
      <c r="D84" s="22">
        <v>405</v>
      </c>
      <c r="E84" s="11">
        <v>156</v>
      </c>
      <c r="F84" s="110">
        <f t="shared" si="4"/>
        <v>0.61481481481481481</v>
      </c>
      <c r="H84" s="305" t="s">
        <v>23</v>
      </c>
      <c r="I84" s="297"/>
      <c r="J84" s="297"/>
      <c r="K84" s="298"/>
    </row>
    <row r="85" spans="1:44" ht="15.75" customHeight="1" x14ac:dyDescent="0.2">
      <c r="A85" s="310" t="s">
        <v>29</v>
      </c>
      <c r="B85" s="297"/>
      <c r="C85" s="297"/>
      <c r="D85" s="297"/>
      <c r="E85" s="297"/>
      <c r="F85" s="306"/>
      <c r="H85" s="12" t="s">
        <v>12</v>
      </c>
      <c r="I85" s="17">
        <v>385</v>
      </c>
      <c r="J85" s="11">
        <v>450</v>
      </c>
      <c r="K85" s="17" t="s">
        <v>1262</v>
      </c>
    </row>
    <row r="86" spans="1:44" ht="15.75" customHeight="1" x14ac:dyDescent="0.2">
      <c r="A86" s="9" t="s">
        <v>11</v>
      </c>
      <c r="B86" s="12" t="s">
        <v>12</v>
      </c>
      <c r="C86" s="17">
        <v>385</v>
      </c>
      <c r="D86" s="22">
        <v>385</v>
      </c>
      <c r="E86" s="22">
        <v>452</v>
      </c>
      <c r="F86" s="110">
        <f>((D86-E86)/D86)</f>
        <v>-0.17402597402597403</v>
      </c>
      <c r="H86" s="12" t="s">
        <v>18</v>
      </c>
      <c r="I86" s="17">
        <v>0</v>
      </c>
      <c r="J86" s="11">
        <v>0</v>
      </c>
      <c r="K86" s="17" t="s">
        <v>1263</v>
      </c>
    </row>
    <row r="87" spans="1:44" ht="15.75" customHeight="1" x14ac:dyDescent="0.2">
      <c r="A87" s="9" t="s">
        <v>11</v>
      </c>
      <c r="B87" s="12" t="s">
        <v>18</v>
      </c>
      <c r="C87" s="17">
        <v>0</v>
      </c>
      <c r="D87" s="22">
        <v>0</v>
      </c>
      <c r="E87" s="22">
        <v>0</v>
      </c>
      <c r="F87" s="110">
        <v>0</v>
      </c>
    </row>
    <row r="88" spans="1:44" ht="15.75" customHeight="1" x14ac:dyDescent="0.2">
      <c r="A88" s="9" t="s">
        <v>21</v>
      </c>
      <c r="B88" s="12" t="s">
        <v>59</v>
      </c>
      <c r="C88" s="17">
        <v>430</v>
      </c>
      <c r="D88" s="22">
        <v>385</v>
      </c>
      <c r="E88" s="22">
        <v>422</v>
      </c>
      <c r="F88" s="110">
        <f t="shared" ref="F88:F89" si="5">((D88-E88)/D88)</f>
        <v>-9.6103896103896108E-2</v>
      </c>
    </row>
    <row r="89" spans="1:44" ht="15.75" customHeight="1" x14ac:dyDescent="0.2">
      <c r="A89" s="9" t="s">
        <v>21</v>
      </c>
      <c r="B89" s="12" t="s">
        <v>63</v>
      </c>
      <c r="C89" s="17">
        <v>150</v>
      </c>
      <c r="D89" s="22">
        <v>385</v>
      </c>
      <c r="E89" s="22">
        <v>147</v>
      </c>
      <c r="F89" s="110">
        <f t="shared" si="5"/>
        <v>0.61818181818181817</v>
      </c>
    </row>
    <row r="90" spans="1:44" ht="15.75" customHeight="1" x14ac:dyDescent="0.2"/>
    <row r="91" spans="1:44" ht="15.75" customHeight="1" x14ac:dyDescent="0.25">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row>
    <row r="92" spans="1:44" ht="15.75" customHeight="1" x14ac:dyDescent="0.25">
      <c r="A92" s="124">
        <v>43062</v>
      </c>
    </row>
    <row r="93" spans="1:44" ht="15.75" customHeight="1" x14ac:dyDescent="0.25">
      <c r="A93" s="21" t="s">
        <v>1216</v>
      </c>
    </row>
    <row r="94" spans="1:44" ht="15.75" customHeight="1" x14ac:dyDescent="0.2">
      <c r="A94" s="4" t="s">
        <v>0</v>
      </c>
      <c r="B94" s="5" t="s">
        <v>1</v>
      </c>
      <c r="C94" s="5" t="s">
        <v>42</v>
      </c>
      <c r="D94" s="5" t="s">
        <v>43</v>
      </c>
      <c r="E94" s="5" t="s">
        <v>44</v>
      </c>
      <c r="F94" s="7" t="s">
        <v>206</v>
      </c>
      <c r="H94" s="296" t="s">
        <v>45</v>
      </c>
      <c r="I94" s="297"/>
      <c r="J94" s="297"/>
      <c r="K94" s="298"/>
    </row>
    <row r="95" spans="1:44" ht="15.75" customHeight="1" x14ac:dyDescent="0.2">
      <c r="A95" s="310" t="s">
        <v>8</v>
      </c>
      <c r="B95" s="297"/>
      <c r="C95" s="297"/>
      <c r="D95" s="297"/>
      <c r="E95" s="297"/>
      <c r="F95" s="306"/>
      <c r="H95" s="305" t="s">
        <v>10</v>
      </c>
      <c r="I95" s="297"/>
      <c r="J95" s="297"/>
      <c r="K95" s="298"/>
    </row>
    <row r="96" spans="1:44" ht="15.75" customHeight="1" x14ac:dyDescent="0.2">
      <c r="A96" s="9" t="s">
        <v>11</v>
      </c>
      <c r="B96" s="12" t="s">
        <v>12</v>
      </c>
      <c r="C96" s="17">
        <v>405</v>
      </c>
      <c r="D96" s="22">
        <v>470</v>
      </c>
      <c r="E96" s="11">
        <v>470</v>
      </c>
      <c r="F96" s="110">
        <f>((D96-E96)/D96)</f>
        <v>0</v>
      </c>
      <c r="H96" s="12"/>
      <c r="I96" s="12" t="s">
        <v>52</v>
      </c>
      <c r="J96" s="12" t="s">
        <v>53</v>
      </c>
      <c r="K96" s="12"/>
    </row>
    <row r="97" spans="1:44" ht="15.75" customHeight="1" x14ac:dyDescent="0.2">
      <c r="A97" s="9" t="s">
        <v>11</v>
      </c>
      <c r="B97" s="12" t="s">
        <v>18</v>
      </c>
      <c r="C97" s="17">
        <v>0</v>
      </c>
      <c r="D97" s="22">
        <v>0</v>
      </c>
      <c r="E97" s="11">
        <v>0</v>
      </c>
      <c r="F97" s="110">
        <v>0</v>
      </c>
      <c r="H97" s="12" t="s">
        <v>12</v>
      </c>
      <c r="I97" s="11">
        <v>470</v>
      </c>
      <c r="J97" s="11">
        <v>470</v>
      </c>
      <c r="K97" s="17" t="s">
        <v>1264</v>
      </c>
    </row>
    <row r="98" spans="1:44" ht="15.75" customHeight="1" x14ac:dyDescent="0.2">
      <c r="A98" s="9" t="s">
        <v>21</v>
      </c>
      <c r="B98" s="12" t="s">
        <v>59</v>
      </c>
      <c r="C98" s="17">
        <v>440</v>
      </c>
      <c r="D98" s="22">
        <v>470</v>
      </c>
      <c r="E98" s="11">
        <v>435</v>
      </c>
      <c r="F98" s="110">
        <f t="shared" ref="F98:F99" si="6">((D98-E98)/D98)</f>
        <v>7.4468085106382975E-2</v>
      </c>
      <c r="H98" s="12" t="s">
        <v>18</v>
      </c>
      <c r="I98" s="17">
        <v>0</v>
      </c>
      <c r="J98" s="11">
        <v>0</v>
      </c>
      <c r="K98" s="17" t="s">
        <v>1265</v>
      </c>
    </row>
    <row r="99" spans="1:44" ht="15.75" customHeight="1" x14ac:dyDescent="0.2">
      <c r="A99" s="9" t="s">
        <v>21</v>
      </c>
      <c r="B99" s="12" t="s">
        <v>63</v>
      </c>
      <c r="C99" s="17">
        <v>160</v>
      </c>
      <c r="D99" s="22">
        <v>257</v>
      </c>
      <c r="E99" s="11">
        <v>156</v>
      </c>
      <c r="F99" s="110">
        <f t="shared" si="6"/>
        <v>0.39299610894941633</v>
      </c>
      <c r="H99" s="305" t="s">
        <v>23</v>
      </c>
      <c r="I99" s="297"/>
      <c r="J99" s="297"/>
      <c r="K99" s="298"/>
    </row>
    <row r="100" spans="1:44" ht="15.75" customHeight="1" x14ac:dyDescent="0.2">
      <c r="A100" s="310" t="s">
        <v>29</v>
      </c>
      <c r="B100" s="297"/>
      <c r="C100" s="297"/>
      <c r="D100" s="297"/>
      <c r="E100" s="297"/>
      <c r="F100" s="306"/>
      <c r="H100" s="12" t="s">
        <v>12</v>
      </c>
      <c r="I100" s="11">
        <v>450</v>
      </c>
      <c r="J100" s="11">
        <v>450</v>
      </c>
      <c r="K100" s="17" t="s">
        <v>1266</v>
      </c>
    </row>
    <row r="101" spans="1:44" ht="15.75" customHeight="1" x14ac:dyDescent="0.2">
      <c r="A101" s="9" t="s">
        <v>11</v>
      </c>
      <c r="B101" s="12" t="s">
        <v>12</v>
      </c>
      <c r="C101" s="17">
        <v>385</v>
      </c>
      <c r="D101" s="22">
        <v>470</v>
      </c>
      <c r="E101" s="22">
        <v>452</v>
      </c>
      <c r="F101" s="110">
        <f>((D101-E101)/D101)</f>
        <v>3.8297872340425532E-2</v>
      </c>
      <c r="H101" s="12" t="s">
        <v>18</v>
      </c>
      <c r="I101" s="17">
        <v>0</v>
      </c>
      <c r="J101" s="11">
        <v>0</v>
      </c>
      <c r="K101" s="17" t="s">
        <v>1267</v>
      </c>
    </row>
    <row r="102" spans="1:44" ht="15.75" customHeight="1" x14ac:dyDescent="0.2">
      <c r="A102" s="9" t="s">
        <v>11</v>
      </c>
      <c r="B102" s="12" t="s">
        <v>18</v>
      </c>
      <c r="C102" s="17">
        <v>0</v>
      </c>
      <c r="D102" s="22">
        <v>0</v>
      </c>
      <c r="E102" s="22">
        <v>0</v>
      </c>
      <c r="F102" s="110">
        <v>0</v>
      </c>
    </row>
    <row r="103" spans="1:44" ht="15.75" customHeight="1" x14ac:dyDescent="0.2">
      <c r="A103" s="9" t="s">
        <v>21</v>
      </c>
      <c r="B103" s="12" t="s">
        <v>59</v>
      </c>
      <c r="C103" s="17">
        <v>430</v>
      </c>
      <c r="D103" s="22">
        <v>470</v>
      </c>
      <c r="E103" s="22">
        <v>422</v>
      </c>
      <c r="F103" s="110">
        <f t="shared" ref="F103:F104" si="7">((D103-E103)/D103)</f>
        <v>0.10212765957446808</v>
      </c>
    </row>
    <row r="104" spans="1:44" ht="15.75" customHeight="1" x14ac:dyDescent="0.2">
      <c r="A104" s="9" t="s">
        <v>21</v>
      </c>
      <c r="B104" s="12" t="s">
        <v>63</v>
      </c>
      <c r="C104" s="17">
        <v>150</v>
      </c>
      <c r="D104" s="22">
        <v>470</v>
      </c>
      <c r="E104" s="22">
        <v>147</v>
      </c>
      <c r="F104" s="110">
        <f t="shared" si="7"/>
        <v>0.68723404255319154</v>
      </c>
    </row>
    <row r="105" spans="1:44" ht="15.75" customHeight="1" x14ac:dyDescent="0.2"/>
    <row r="106" spans="1:44" ht="15.75" customHeight="1" x14ac:dyDescent="0.2"/>
    <row r="107" spans="1:44" ht="15.75" customHeight="1" x14ac:dyDescent="0.2"/>
    <row r="108" spans="1:44" ht="15.75" customHeight="1" x14ac:dyDescent="0.25">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row>
    <row r="109" spans="1:44" ht="15.75" customHeight="1" x14ac:dyDescent="0.25">
      <c r="A109" s="124">
        <v>43083</v>
      </c>
    </row>
    <row r="110" spans="1:44" ht="15.75" customHeight="1" x14ac:dyDescent="0.25">
      <c r="A110" s="21" t="s">
        <v>1216</v>
      </c>
    </row>
    <row r="111" spans="1:44" ht="15.75" customHeight="1" x14ac:dyDescent="0.2">
      <c r="A111" s="4" t="s">
        <v>0</v>
      </c>
      <c r="B111" s="5" t="s">
        <v>1</v>
      </c>
      <c r="C111" s="5" t="s">
        <v>42</v>
      </c>
      <c r="D111" s="5" t="s">
        <v>43</v>
      </c>
      <c r="E111" s="5" t="s">
        <v>44</v>
      </c>
      <c r="G111" s="296" t="s">
        <v>45</v>
      </c>
      <c r="H111" s="297"/>
      <c r="I111" s="297"/>
      <c r="J111" s="298"/>
    </row>
    <row r="112" spans="1:44" ht="15.75" customHeight="1" x14ac:dyDescent="0.2">
      <c r="A112" s="310" t="s">
        <v>8</v>
      </c>
      <c r="B112" s="297"/>
      <c r="C112" s="297"/>
      <c r="D112" s="297"/>
      <c r="E112" s="298"/>
      <c r="G112" s="305" t="s">
        <v>10</v>
      </c>
      <c r="H112" s="297"/>
      <c r="I112" s="297"/>
      <c r="J112" s="298"/>
    </row>
    <row r="113" spans="1:44" ht="15.75" customHeight="1" x14ac:dyDescent="0.2">
      <c r="A113" s="9" t="s">
        <v>11</v>
      </c>
      <c r="B113" s="12" t="s">
        <v>12</v>
      </c>
      <c r="C113" s="17">
        <v>470</v>
      </c>
      <c r="D113" s="22">
        <v>473</v>
      </c>
      <c r="E113" s="11">
        <v>512</v>
      </c>
      <c r="G113" s="12"/>
      <c r="H113" s="12" t="s">
        <v>52</v>
      </c>
      <c r="I113" s="12" t="s">
        <v>53</v>
      </c>
      <c r="J113" s="12"/>
    </row>
    <row r="114" spans="1:44" ht="15.75" customHeight="1" x14ac:dyDescent="0.2">
      <c r="A114" s="9" t="s">
        <v>11</v>
      </c>
      <c r="B114" s="12" t="s">
        <v>18</v>
      </c>
      <c r="C114" s="17">
        <v>0</v>
      </c>
      <c r="D114" s="22">
        <v>0</v>
      </c>
      <c r="E114" s="11">
        <v>0</v>
      </c>
      <c r="G114" s="12" t="s">
        <v>12</v>
      </c>
      <c r="H114" s="11">
        <v>470</v>
      </c>
      <c r="I114" s="11">
        <v>515</v>
      </c>
      <c r="J114" s="17" t="s">
        <v>1268</v>
      </c>
    </row>
    <row r="115" spans="1:44" ht="15.75" customHeight="1" x14ac:dyDescent="0.2">
      <c r="A115" s="9" t="s">
        <v>21</v>
      </c>
      <c r="B115" s="12" t="s">
        <v>59</v>
      </c>
      <c r="C115" s="17">
        <v>440</v>
      </c>
      <c r="D115" s="22">
        <v>402</v>
      </c>
      <c r="E115" s="11">
        <v>436</v>
      </c>
      <c r="G115" s="12" t="s">
        <v>18</v>
      </c>
      <c r="H115" s="17">
        <v>0</v>
      </c>
      <c r="I115" s="11">
        <v>0</v>
      </c>
      <c r="J115" s="17" t="s">
        <v>1269</v>
      </c>
    </row>
    <row r="116" spans="1:44" ht="15.75" customHeight="1" x14ac:dyDescent="0.2">
      <c r="A116" s="9" t="s">
        <v>21</v>
      </c>
      <c r="B116" s="12" t="s">
        <v>63</v>
      </c>
      <c r="C116" s="17">
        <v>160</v>
      </c>
      <c r="D116" s="22">
        <v>138</v>
      </c>
      <c r="E116" s="11">
        <v>168</v>
      </c>
      <c r="G116" s="305" t="s">
        <v>23</v>
      </c>
      <c r="H116" s="297"/>
      <c r="I116" s="297"/>
      <c r="J116" s="298"/>
    </row>
    <row r="117" spans="1:44" ht="15.75" customHeight="1" x14ac:dyDescent="0.2">
      <c r="A117" s="9" t="s">
        <v>21</v>
      </c>
      <c r="B117" s="12" t="s">
        <v>218</v>
      </c>
      <c r="C117" s="17">
        <v>0</v>
      </c>
      <c r="D117" s="22">
        <v>0</v>
      </c>
      <c r="E117" s="11">
        <v>0</v>
      </c>
      <c r="G117" s="12" t="s">
        <v>12</v>
      </c>
      <c r="H117" s="11">
        <v>450</v>
      </c>
      <c r="I117" s="11">
        <v>490</v>
      </c>
      <c r="J117" s="17" t="s">
        <v>1270</v>
      </c>
    </row>
    <row r="118" spans="1:44" ht="15.75" customHeight="1" x14ac:dyDescent="0.2">
      <c r="A118" s="310" t="s">
        <v>29</v>
      </c>
      <c r="B118" s="297"/>
      <c r="C118" s="297"/>
      <c r="D118" s="297"/>
      <c r="E118" s="298"/>
      <c r="G118" s="12" t="s">
        <v>18</v>
      </c>
      <c r="H118" s="17">
        <v>0</v>
      </c>
      <c r="I118" s="11">
        <v>0</v>
      </c>
      <c r="J118" s="17" t="s">
        <v>1271</v>
      </c>
    </row>
    <row r="119" spans="1:44" ht="15.75" customHeight="1" x14ac:dyDescent="0.2">
      <c r="A119" s="9" t="s">
        <v>11</v>
      </c>
      <c r="B119" s="12" t="s">
        <v>12</v>
      </c>
      <c r="C119" s="17">
        <v>450</v>
      </c>
      <c r="D119" s="22">
        <v>450</v>
      </c>
      <c r="E119" s="22">
        <v>491</v>
      </c>
    </row>
    <row r="120" spans="1:44" ht="15.75" customHeight="1" x14ac:dyDescent="0.25">
      <c r="A120" s="9" t="s">
        <v>11</v>
      </c>
      <c r="B120" s="12" t="s">
        <v>18</v>
      </c>
      <c r="C120" s="17">
        <v>0</v>
      </c>
      <c r="D120" s="22">
        <v>0</v>
      </c>
      <c r="E120" s="22">
        <v>0</v>
      </c>
      <c r="G120" s="204">
        <v>100</v>
      </c>
      <c r="H120" s="204">
        <v>75</v>
      </c>
      <c r="I120" s="204">
        <v>85</v>
      </c>
      <c r="J120" s="27" t="s">
        <v>1272</v>
      </c>
      <c r="K120" s="204" t="s">
        <v>1273</v>
      </c>
      <c r="L120" s="204" t="s">
        <v>1274</v>
      </c>
    </row>
    <row r="121" spans="1:44" ht="15.75" customHeight="1" x14ac:dyDescent="0.25">
      <c r="A121" s="9" t="s">
        <v>21</v>
      </c>
      <c r="B121" s="12" t="s">
        <v>59</v>
      </c>
      <c r="C121" s="17">
        <v>420</v>
      </c>
      <c r="D121" s="22">
        <v>393</v>
      </c>
      <c r="E121" s="22">
        <v>416</v>
      </c>
      <c r="F121" s="21">
        <v>394</v>
      </c>
      <c r="G121" s="21">
        <v>420</v>
      </c>
      <c r="H121" s="21">
        <v>413</v>
      </c>
      <c r="I121" s="21">
        <v>400</v>
      </c>
      <c r="J121" s="21">
        <v>400</v>
      </c>
      <c r="K121" s="21">
        <v>410</v>
      </c>
      <c r="L121" s="21">
        <v>416</v>
      </c>
    </row>
    <row r="122" spans="1:44" ht="15.75" customHeight="1" x14ac:dyDescent="0.25">
      <c r="A122" s="9" t="s">
        <v>21</v>
      </c>
      <c r="B122" s="12" t="s">
        <v>63</v>
      </c>
      <c r="C122" s="17">
        <v>140</v>
      </c>
      <c r="D122" s="22">
        <v>135</v>
      </c>
      <c r="E122" s="22">
        <v>154</v>
      </c>
      <c r="F122" s="21">
        <v>124</v>
      </c>
      <c r="G122" s="21">
        <v>131</v>
      </c>
      <c r="H122" s="21">
        <v>130</v>
      </c>
      <c r="I122" s="21">
        <v>123</v>
      </c>
      <c r="J122" s="21">
        <v>133</v>
      </c>
      <c r="K122" s="21">
        <v>143</v>
      </c>
      <c r="L122" s="21">
        <v>154</v>
      </c>
    </row>
    <row r="123" spans="1:44" ht="15.75" customHeight="1" x14ac:dyDescent="0.2">
      <c r="A123" s="9" t="s">
        <v>21</v>
      </c>
      <c r="B123" s="12" t="s">
        <v>218</v>
      </c>
      <c r="C123" s="17">
        <v>0</v>
      </c>
      <c r="D123" s="22">
        <v>0</v>
      </c>
      <c r="E123" s="11">
        <v>0</v>
      </c>
    </row>
    <row r="124" spans="1:44" ht="15.75" customHeight="1" x14ac:dyDescent="0.2"/>
    <row r="125" spans="1:44" ht="15.75" customHeight="1" x14ac:dyDescent="0.2">
      <c r="AD125" s="340" t="s">
        <v>373</v>
      </c>
      <c r="AE125" s="334"/>
      <c r="AF125" s="335"/>
      <c r="AG125" s="340" t="s">
        <v>375</v>
      </c>
      <c r="AH125" s="334"/>
      <c r="AI125" s="335"/>
      <c r="AJ125" s="388" t="s">
        <v>376</v>
      </c>
      <c r="AK125" s="334"/>
      <c r="AL125" s="335"/>
      <c r="AM125" s="388" t="s">
        <v>377</v>
      </c>
      <c r="AN125" s="334"/>
      <c r="AO125" s="334"/>
      <c r="AP125" s="334"/>
      <c r="AQ125" s="334"/>
      <c r="AR125" s="335"/>
    </row>
    <row r="126" spans="1:44" ht="15.75" customHeight="1" x14ac:dyDescent="0.2">
      <c r="AD126" s="340"/>
      <c r="AE126" s="334"/>
      <c r="AF126" s="335"/>
      <c r="AG126" s="167" t="s">
        <v>379</v>
      </c>
      <c r="AH126" s="167" t="s">
        <v>380</v>
      </c>
      <c r="AI126" s="93" t="s">
        <v>381</v>
      </c>
      <c r="AJ126" s="167" t="s">
        <v>379</v>
      </c>
      <c r="AK126" s="167" t="s">
        <v>380</v>
      </c>
      <c r="AL126" s="93" t="s">
        <v>381</v>
      </c>
      <c r="AM126" s="341"/>
      <c r="AN126" s="334"/>
      <c r="AO126" s="334"/>
      <c r="AP126" s="334"/>
      <c r="AQ126" s="334"/>
      <c r="AR126" s="335"/>
    </row>
    <row r="127" spans="1:44" ht="15.75" customHeight="1" x14ac:dyDescent="0.25">
      <c r="A127" s="29"/>
      <c r="B127" s="29"/>
      <c r="C127" s="29"/>
      <c r="D127" s="29"/>
      <c r="E127" s="29"/>
      <c r="F127" s="29"/>
      <c r="G127" s="29"/>
      <c r="H127" s="29"/>
      <c r="I127" s="29"/>
      <c r="J127" s="29"/>
      <c r="K127" s="29"/>
      <c r="L127" s="29"/>
      <c r="M127" s="29"/>
      <c r="N127" s="29"/>
      <c r="O127" s="29"/>
      <c r="P127" s="29"/>
      <c r="AD127" s="341" t="s">
        <v>383</v>
      </c>
      <c r="AE127" s="334"/>
      <c r="AF127" s="335"/>
      <c r="AG127" s="167"/>
      <c r="AH127" s="235"/>
      <c r="AI127" s="74" t="s">
        <v>385</v>
      </c>
      <c r="AJ127" s="74"/>
      <c r="AK127" s="74"/>
      <c r="AL127" s="74"/>
      <c r="AM127" s="341" t="s">
        <v>1277</v>
      </c>
      <c r="AN127" s="334"/>
      <c r="AO127" s="334"/>
      <c r="AP127" s="334"/>
      <c r="AQ127" s="334"/>
      <c r="AR127" s="335"/>
    </row>
    <row r="128" spans="1:44" ht="46.5" customHeight="1" x14ac:dyDescent="0.25">
      <c r="A128" s="124">
        <v>43089</v>
      </c>
      <c r="AD128" s="341" t="s">
        <v>1279</v>
      </c>
      <c r="AE128" s="334"/>
      <c r="AF128" s="335"/>
      <c r="AG128" s="121"/>
      <c r="AH128" s="74" t="s">
        <v>385</v>
      </c>
      <c r="AI128" s="74"/>
      <c r="AJ128" s="74" t="s">
        <v>385</v>
      </c>
      <c r="AK128" s="74"/>
      <c r="AL128" s="74"/>
      <c r="AM128" s="415" t="s">
        <v>1280</v>
      </c>
      <c r="AN128" s="334"/>
      <c r="AO128" s="334"/>
      <c r="AP128" s="334"/>
      <c r="AQ128" s="334"/>
      <c r="AR128" s="335"/>
    </row>
    <row r="129" spans="1:44" ht="29.25" customHeight="1" x14ac:dyDescent="0.25">
      <c r="A129" s="21" t="s">
        <v>1216</v>
      </c>
      <c r="P129" s="332" t="s">
        <v>1282</v>
      </c>
      <c r="Q129" s="297"/>
      <c r="R129" s="297"/>
      <c r="S129" s="297"/>
      <c r="T129" s="298"/>
      <c r="W129" s="332" t="s">
        <v>1283</v>
      </c>
      <c r="X129" s="297"/>
      <c r="Y129" s="297"/>
      <c r="Z129" s="297"/>
      <c r="AA129" s="298"/>
      <c r="AD129" s="341" t="s">
        <v>1284</v>
      </c>
      <c r="AE129" s="334"/>
      <c r="AF129" s="335"/>
      <c r="AG129" s="174"/>
      <c r="AH129" s="74"/>
      <c r="AI129" s="74" t="s">
        <v>385</v>
      </c>
      <c r="AJ129" s="74" t="s">
        <v>385</v>
      </c>
      <c r="AK129" s="74"/>
      <c r="AL129" s="74"/>
      <c r="AM129" s="415" t="s">
        <v>1285</v>
      </c>
      <c r="AN129" s="334"/>
      <c r="AO129" s="334"/>
      <c r="AP129" s="334"/>
      <c r="AQ129" s="334"/>
      <c r="AR129" s="335"/>
    </row>
    <row r="130" spans="1:44" ht="15.75" customHeight="1" x14ac:dyDescent="0.2">
      <c r="A130" s="4" t="s">
        <v>0</v>
      </c>
      <c r="B130" s="5" t="s">
        <v>1</v>
      </c>
      <c r="C130" s="5" t="s">
        <v>42</v>
      </c>
      <c r="D130" s="5" t="s">
        <v>43</v>
      </c>
      <c r="E130" s="5" t="s">
        <v>44</v>
      </c>
      <c r="G130" s="296" t="s">
        <v>45</v>
      </c>
      <c r="H130" s="297"/>
      <c r="I130" s="297"/>
      <c r="J130" s="298"/>
      <c r="P130" s="413" t="s">
        <v>8</v>
      </c>
      <c r="Q130" s="327"/>
      <c r="R130" s="327"/>
      <c r="S130" s="327"/>
      <c r="T130" s="414"/>
      <c r="W130" s="413" t="s">
        <v>8</v>
      </c>
      <c r="X130" s="327"/>
      <c r="Y130" s="327"/>
      <c r="Z130" s="327"/>
      <c r="AA130" s="414"/>
      <c r="AD130" s="341" t="s">
        <v>393</v>
      </c>
      <c r="AE130" s="334"/>
      <c r="AF130" s="335"/>
      <c r="AG130" s="74" t="s">
        <v>385</v>
      </c>
      <c r="AH130" s="74"/>
      <c r="AI130" s="74"/>
      <c r="AJ130" s="74" t="s">
        <v>385</v>
      </c>
      <c r="AK130" s="74"/>
      <c r="AL130" s="74"/>
      <c r="AM130" s="341" t="s">
        <v>441</v>
      </c>
      <c r="AN130" s="334"/>
      <c r="AO130" s="334"/>
      <c r="AP130" s="334"/>
      <c r="AQ130" s="334"/>
      <c r="AR130" s="335"/>
    </row>
    <row r="131" spans="1:44" ht="15.75" customHeight="1" x14ac:dyDescent="0.2">
      <c r="A131" s="310" t="s">
        <v>8</v>
      </c>
      <c r="B131" s="297"/>
      <c r="C131" s="297"/>
      <c r="D131" s="297"/>
      <c r="E131" s="298"/>
      <c r="G131" s="305" t="s">
        <v>10</v>
      </c>
      <c r="H131" s="297"/>
      <c r="I131" s="297"/>
      <c r="J131" s="298"/>
      <c r="P131" s="9" t="s">
        <v>11</v>
      </c>
      <c r="Q131" s="12" t="s">
        <v>12</v>
      </c>
      <c r="R131" s="17">
        <v>470</v>
      </c>
      <c r="S131" s="236">
        <v>473</v>
      </c>
      <c r="T131" s="237">
        <v>524</v>
      </c>
      <c r="W131" s="9" t="s">
        <v>11</v>
      </c>
      <c r="X131" s="12" t="s">
        <v>12</v>
      </c>
      <c r="Y131" s="17">
        <v>470</v>
      </c>
      <c r="Z131" s="236">
        <v>473</v>
      </c>
      <c r="AA131" s="237">
        <v>529</v>
      </c>
      <c r="AD131" s="341" t="s">
        <v>395</v>
      </c>
      <c r="AE131" s="334"/>
      <c r="AF131" s="335"/>
      <c r="AG131" s="74" t="s">
        <v>385</v>
      </c>
      <c r="AH131" s="74"/>
      <c r="AI131" s="74"/>
      <c r="AJ131" s="74" t="s">
        <v>385</v>
      </c>
      <c r="AK131" s="74"/>
      <c r="AL131" s="74"/>
      <c r="AM131" s="341" t="s">
        <v>397</v>
      </c>
      <c r="AN131" s="334"/>
      <c r="AO131" s="334"/>
      <c r="AP131" s="334"/>
      <c r="AQ131" s="334"/>
      <c r="AR131" s="335"/>
    </row>
    <row r="132" spans="1:44" ht="15.75" customHeight="1" x14ac:dyDescent="0.2">
      <c r="A132" s="9" t="s">
        <v>11</v>
      </c>
      <c r="B132" s="12" t="s">
        <v>12</v>
      </c>
      <c r="C132" s="17">
        <v>470</v>
      </c>
      <c r="D132" s="22">
        <v>473</v>
      </c>
      <c r="E132" s="11">
        <v>512</v>
      </c>
      <c r="G132" s="12"/>
      <c r="H132" s="12" t="s">
        <v>52</v>
      </c>
      <c r="I132" s="12" t="s">
        <v>53</v>
      </c>
      <c r="J132" s="12"/>
      <c r="P132" s="9" t="s">
        <v>11</v>
      </c>
      <c r="Q132" s="12" t="s">
        <v>18</v>
      </c>
      <c r="R132" s="17">
        <v>0</v>
      </c>
      <c r="S132" s="236">
        <v>0</v>
      </c>
      <c r="T132" s="238">
        <v>0</v>
      </c>
      <c r="W132" s="9" t="s">
        <v>11</v>
      </c>
      <c r="X132" s="12" t="s">
        <v>18</v>
      </c>
      <c r="Y132" s="17">
        <v>0</v>
      </c>
      <c r="Z132" s="236">
        <v>0</v>
      </c>
      <c r="AA132" s="238">
        <v>0</v>
      </c>
      <c r="AD132" s="341" t="s">
        <v>398</v>
      </c>
      <c r="AE132" s="334"/>
      <c r="AF132" s="335"/>
      <c r="AG132" s="74" t="s">
        <v>385</v>
      </c>
      <c r="AH132" s="74"/>
      <c r="AI132" s="74"/>
      <c r="AJ132" s="74" t="s">
        <v>385</v>
      </c>
      <c r="AK132" s="74"/>
      <c r="AL132" s="74"/>
      <c r="AM132" s="341" t="s">
        <v>444</v>
      </c>
      <c r="AN132" s="334"/>
      <c r="AO132" s="334"/>
      <c r="AP132" s="334"/>
      <c r="AQ132" s="334"/>
      <c r="AR132" s="335"/>
    </row>
    <row r="133" spans="1:44" ht="15.75" customHeight="1" x14ac:dyDescent="0.2">
      <c r="A133" s="9" t="s">
        <v>11</v>
      </c>
      <c r="B133" s="12" t="s">
        <v>18</v>
      </c>
      <c r="C133" s="17">
        <v>0</v>
      </c>
      <c r="D133" s="22">
        <v>0</v>
      </c>
      <c r="E133" s="11">
        <v>0</v>
      </c>
      <c r="G133" s="12" t="s">
        <v>12</v>
      </c>
      <c r="H133" s="11">
        <v>470</v>
      </c>
      <c r="I133" s="11">
        <v>515</v>
      </c>
      <c r="J133" s="17" t="s">
        <v>1289</v>
      </c>
      <c r="P133" s="9" t="s">
        <v>21</v>
      </c>
      <c r="Q133" s="12" t="s">
        <v>59</v>
      </c>
      <c r="R133" s="17">
        <v>440</v>
      </c>
      <c r="S133" s="22">
        <v>402</v>
      </c>
      <c r="T133" s="11">
        <v>457</v>
      </c>
      <c r="W133" s="9" t="s">
        <v>21</v>
      </c>
      <c r="X133" s="12" t="s">
        <v>59</v>
      </c>
      <c r="Y133" s="17">
        <v>440</v>
      </c>
      <c r="Z133" s="22">
        <v>402</v>
      </c>
      <c r="AA133" s="11">
        <v>471</v>
      </c>
      <c r="AD133" s="341" t="s">
        <v>401</v>
      </c>
      <c r="AE133" s="334"/>
      <c r="AF133" s="335"/>
      <c r="AG133" s="74" t="s">
        <v>385</v>
      </c>
      <c r="AH133" s="74"/>
      <c r="AI133" s="74"/>
      <c r="AJ133" s="74" t="s">
        <v>385</v>
      </c>
      <c r="AK133" s="74"/>
      <c r="AL133" s="74"/>
      <c r="AM133" s="341" t="s">
        <v>444</v>
      </c>
      <c r="AN133" s="334"/>
      <c r="AO133" s="334"/>
      <c r="AP133" s="334"/>
      <c r="AQ133" s="334"/>
      <c r="AR133" s="335"/>
    </row>
    <row r="134" spans="1:44" ht="15.75" customHeight="1" x14ac:dyDescent="0.2">
      <c r="A134" s="9" t="s">
        <v>21</v>
      </c>
      <c r="B134" s="12" t="s">
        <v>59</v>
      </c>
      <c r="C134" s="17">
        <v>440</v>
      </c>
      <c r="D134" s="22">
        <v>402</v>
      </c>
      <c r="E134" s="11">
        <v>436</v>
      </c>
      <c r="G134" s="12" t="s">
        <v>18</v>
      </c>
      <c r="H134" s="17">
        <v>0</v>
      </c>
      <c r="I134" s="11">
        <v>0</v>
      </c>
      <c r="J134" s="17" t="s">
        <v>1297</v>
      </c>
      <c r="P134" s="9" t="s">
        <v>21</v>
      </c>
      <c r="Q134" s="12" t="s">
        <v>63</v>
      </c>
      <c r="R134" s="17">
        <v>160</v>
      </c>
      <c r="S134" s="22">
        <v>138</v>
      </c>
      <c r="T134" s="11">
        <v>152</v>
      </c>
      <c r="W134" s="9" t="s">
        <v>21</v>
      </c>
      <c r="X134" s="12" t="s">
        <v>63</v>
      </c>
      <c r="Y134" s="17">
        <v>160</v>
      </c>
      <c r="Z134" s="22">
        <v>138</v>
      </c>
      <c r="AA134" s="11">
        <v>154</v>
      </c>
      <c r="AD134" s="341" t="s">
        <v>403</v>
      </c>
      <c r="AE134" s="334"/>
      <c r="AF134" s="335"/>
      <c r="AG134" s="74" t="s">
        <v>385</v>
      </c>
      <c r="AH134" s="74"/>
      <c r="AI134" s="74"/>
      <c r="AJ134" s="74" t="s">
        <v>385</v>
      </c>
      <c r="AK134" s="74"/>
      <c r="AL134" s="74"/>
      <c r="AM134" s="341" t="s">
        <v>444</v>
      </c>
      <c r="AN134" s="334"/>
      <c r="AO134" s="334"/>
      <c r="AP134" s="334"/>
      <c r="AQ134" s="334"/>
      <c r="AR134" s="335"/>
    </row>
    <row r="135" spans="1:44" ht="15.75" customHeight="1" x14ac:dyDescent="0.2">
      <c r="A135" s="9" t="s">
        <v>21</v>
      </c>
      <c r="B135" s="12" t="s">
        <v>63</v>
      </c>
      <c r="C135" s="17">
        <v>160</v>
      </c>
      <c r="D135" s="22">
        <v>138</v>
      </c>
      <c r="E135" s="11">
        <v>168</v>
      </c>
      <c r="G135" s="305" t="s">
        <v>23</v>
      </c>
      <c r="H135" s="297"/>
      <c r="I135" s="297"/>
      <c r="J135" s="298"/>
      <c r="P135" s="9" t="s">
        <v>21</v>
      </c>
      <c r="Q135" s="12" t="s">
        <v>218</v>
      </c>
      <c r="R135" s="17">
        <v>0</v>
      </c>
      <c r="S135" s="22">
        <v>0</v>
      </c>
      <c r="T135" s="11">
        <v>0</v>
      </c>
      <c r="W135" s="9" t="s">
        <v>21</v>
      </c>
      <c r="X135" s="12" t="s">
        <v>218</v>
      </c>
      <c r="Y135" s="17">
        <v>0</v>
      </c>
      <c r="Z135" s="22">
        <v>0</v>
      </c>
      <c r="AA135" s="11">
        <v>0</v>
      </c>
      <c r="AD135" s="341" t="s">
        <v>405</v>
      </c>
      <c r="AE135" s="334"/>
      <c r="AF135" s="335"/>
      <c r="AG135" s="74" t="s">
        <v>399</v>
      </c>
      <c r="AH135" s="74"/>
      <c r="AI135" s="74"/>
      <c r="AJ135" s="74" t="s">
        <v>385</v>
      </c>
      <c r="AK135" s="74"/>
      <c r="AL135" s="74"/>
      <c r="AM135" s="341" t="s">
        <v>446</v>
      </c>
      <c r="AN135" s="334"/>
      <c r="AO135" s="334"/>
      <c r="AP135" s="334"/>
      <c r="AQ135" s="334"/>
      <c r="AR135" s="335"/>
    </row>
    <row r="136" spans="1:44" ht="15.75" customHeight="1" x14ac:dyDescent="0.2">
      <c r="A136" s="9" t="s">
        <v>21</v>
      </c>
      <c r="B136" s="12" t="s">
        <v>218</v>
      </c>
      <c r="C136" s="17">
        <v>0</v>
      </c>
      <c r="D136" s="22">
        <v>0</v>
      </c>
      <c r="E136" s="11">
        <v>0</v>
      </c>
      <c r="G136" s="12" t="s">
        <v>12</v>
      </c>
      <c r="H136" s="11">
        <v>450</v>
      </c>
      <c r="I136" s="11">
        <v>490</v>
      </c>
      <c r="J136" s="17" t="s">
        <v>1305</v>
      </c>
      <c r="P136" s="310" t="s">
        <v>29</v>
      </c>
      <c r="Q136" s="297"/>
      <c r="R136" s="297"/>
      <c r="S136" s="297"/>
      <c r="T136" s="298"/>
      <c r="W136" s="310" t="s">
        <v>29</v>
      </c>
      <c r="X136" s="297"/>
      <c r="Y136" s="297"/>
      <c r="Z136" s="297"/>
      <c r="AA136" s="298"/>
      <c r="AD136" s="341" t="s">
        <v>408</v>
      </c>
      <c r="AE136" s="334"/>
      <c r="AF136" s="335"/>
      <c r="AG136" s="74" t="s">
        <v>385</v>
      </c>
      <c r="AH136" s="74"/>
      <c r="AI136" s="74"/>
      <c r="AJ136" s="74" t="s">
        <v>385</v>
      </c>
      <c r="AK136" s="74"/>
      <c r="AL136" s="74"/>
      <c r="AM136" s="341" t="s">
        <v>448</v>
      </c>
      <c r="AN136" s="334"/>
      <c r="AO136" s="334"/>
      <c r="AP136" s="334"/>
      <c r="AQ136" s="334"/>
      <c r="AR136" s="335"/>
    </row>
    <row r="137" spans="1:44" ht="15.75" customHeight="1" x14ac:dyDescent="0.2">
      <c r="A137" s="310" t="s">
        <v>29</v>
      </c>
      <c r="B137" s="297"/>
      <c r="C137" s="297"/>
      <c r="D137" s="297"/>
      <c r="E137" s="298"/>
      <c r="G137" s="12" t="s">
        <v>18</v>
      </c>
      <c r="H137" s="17">
        <v>0</v>
      </c>
      <c r="I137" s="11">
        <v>0</v>
      </c>
      <c r="J137" s="17" t="s">
        <v>1306</v>
      </c>
      <c r="P137" s="9" t="s">
        <v>11</v>
      </c>
      <c r="Q137" s="12" t="s">
        <v>12</v>
      </c>
      <c r="R137" s="17">
        <v>450</v>
      </c>
      <c r="S137" s="22">
        <v>450</v>
      </c>
      <c r="T137" s="22">
        <v>484</v>
      </c>
      <c r="W137" s="9" t="s">
        <v>11</v>
      </c>
      <c r="X137" s="12" t="s">
        <v>12</v>
      </c>
      <c r="Y137" s="17">
        <v>450</v>
      </c>
      <c r="Z137" s="22">
        <v>450</v>
      </c>
      <c r="AA137" s="22">
        <v>492</v>
      </c>
      <c r="AD137" s="341" t="s">
        <v>411</v>
      </c>
      <c r="AE137" s="334"/>
      <c r="AF137" s="335"/>
      <c r="AG137" s="74" t="s">
        <v>385</v>
      </c>
      <c r="AH137" s="2"/>
      <c r="AI137" s="74"/>
      <c r="AJ137" s="74" t="s">
        <v>385</v>
      </c>
      <c r="AK137" s="2"/>
      <c r="AL137" s="74"/>
      <c r="AM137" s="341" t="s">
        <v>448</v>
      </c>
      <c r="AN137" s="334"/>
      <c r="AO137" s="334"/>
      <c r="AP137" s="334"/>
      <c r="AQ137" s="334"/>
      <c r="AR137" s="335"/>
    </row>
    <row r="138" spans="1:44" ht="15.75" customHeight="1" x14ac:dyDescent="0.2">
      <c r="A138" s="9" t="s">
        <v>11</v>
      </c>
      <c r="B138" s="12" t="s">
        <v>12</v>
      </c>
      <c r="C138" s="17">
        <v>450</v>
      </c>
      <c r="D138" s="22">
        <v>450</v>
      </c>
      <c r="E138" s="22">
        <v>491</v>
      </c>
      <c r="P138" s="9" t="s">
        <v>11</v>
      </c>
      <c r="Q138" s="12" t="s">
        <v>18</v>
      </c>
      <c r="R138" s="17">
        <v>0</v>
      </c>
      <c r="S138" s="22">
        <v>0</v>
      </c>
      <c r="T138" s="22">
        <v>0</v>
      </c>
      <c r="W138" s="9" t="s">
        <v>11</v>
      </c>
      <c r="X138" s="12" t="s">
        <v>18</v>
      </c>
      <c r="Y138" s="17">
        <v>0</v>
      </c>
      <c r="Z138" s="22">
        <v>0</v>
      </c>
      <c r="AA138" s="22">
        <v>0</v>
      </c>
      <c r="AD138" s="341" t="s">
        <v>413</v>
      </c>
      <c r="AE138" s="334"/>
      <c r="AF138" s="335"/>
      <c r="AG138" s="74" t="s">
        <v>385</v>
      </c>
      <c r="AH138" s="74"/>
      <c r="AI138" s="74"/>
      <c r="AJ138" s="74" t="s">
        <v>385</v>
      </c>
      <c r="AK138" s="74"/>
      <c r="AL138" s="74"/>
      <c r="AM138" s="341" t="s">
        <v>414</v>
      </c>
      <c r="AN138" s="334"/>
      <c r="AO138" s="334"/>
      <c r="AP138" s="334"/>
      <c r="AQ138" s="334"/>
      <c r="AR138" s="335"/>
    </row>
    <row r="139" spans="1:44" ht="15.75" customHeight="1" x14ac:dyDescent="0.25">
      <c r="A139" s="9" t="s">
        <v>11</v>
      </c>
      <c r="B139" s="12" t="s">
        <v>18</v>
      </c>
      <c r="C139" s="17">
        <v>0</v>
      </c>
      <c r="D139" s="22">
        <v>0</v>
      </c>
      <c r="E139" s="22">
        <v>0</v>
      </c>
      <c r="G139" s="204">
        <v>100</v>
      </c>
      <c r="H139" s="204">
        <v>75</v>
      </c>
      <c r="I139" s="204">
        <v>85</v>
      </c>
      <c r="J139" s="27" t="s">
        <v>1272</v>
      </c>
      <c r="K139" s="204" t="s">
        <v>1273</v>
      </c>
      <c r="L139" s="204" t="s">
        <v>1274</v>
      </c>
      <c r="P139" s="9" t="s">
        <v>21</v>
      </c>
      <c r="Q139" s="12" t="s">
        <v>59</v>
      </c>
      <c r="R139" s="17">
        <v>420</v>
      </c>
      <c r="S139" s="22">
        <v>393</v>
      </c>
      <c r="T139" s="22">
        <v>427</v>
      </c>
      <c r="W139" s="9" t="s">
        <v>21</v>
      </c>
      <c r="X139" s="12" t="s">
        <v>59</v>
      </c>
      <c r="Y139" s="17">
        <v>420</v>
      </c>
      <c r="Z139" s="22">
        <v>393</v>
      </c>
      <c r="AA139" s="22">
        <v>436</v>
      </c>
      <c r="AD139" s="341" t="s">
        <v>416</v>
      </c>
      <c r="AE139" s="334"/>
      <c r="AF139" s="335"/>
      <c r="AG139" s="74" t="s">
        <v>385</v>
      </c>
      <c r="AH139" s="74"/>
      <c r="AI139" s="74"/>
      <c r="AJ139" s="74" t="s">
        <v>385</v>
      </c>
      <c r="AK139" s="74"/>
      <c r="AL139" s="74"/>
      <c r="AM139" s="341" t="s">
        <v>417</v>
      </c>
      <c r="AN139" s="334"/>
      <c r="AO139" s="334"/>
      <c r="AP139" s="334"/>
      <c r="AQ139" s="334"/>
      <c r="AR139" s="335"/>
    </row>
    <row r="140" spans="1:44" ht="15.75" customHeight="1" x14ac:dyDescent="0.25">
      <c r="A140" s="9" t="s">
        <v>21</v>
      </c>
      <c r="B140" s="12" t="s">
        <v>59</v>
      </c>
      <c r="C140" s="17">
        <v>420</v>
      </c>
      <c r="D140" s="22">
        <v>393</v>
      </c>
      <c r="E140" s="22">
        <v>416</v>
      </c>
      <c r="F140" s="21">
        <v>394</v>
      </c>
      <c r="G140" s="21">
        <v>420</v>
      </c>
      <c r="H140" s="21">
        <v>413</v>
      </c>
      <c r="I140" s="21">
        <v>400</v>
      </c>
      <c r="J140" s="21">
        <v>400</v>
      </c>
      <c r="K140" s="21">
        <v>410</v>
      </c>
      <c r="L140" s="21">
        <v>416</v>
      </c>
      <c r="P140" s="9" t="s">
        <v>21</v>
      </c>
      <c r="Q140" s="12" t="s">
        <v>63</v>
      </c>
      <c r="R140" s="17">
        <v>140</v>
      </c>
      <c r="S140" s="22">
        <v>135</v>
      </c>
      <c r="T140" s="22">
        <v>139</v>
      </c>
      <c r="W140" s="9" t="s">
        <v>21</v>
      </c>
      <c r="X140" s="12" t="s">
        <v>63</v>
      </c>
      <c r="Y140" s="17">
        <v>140</v>
      </c>
      <c r="Z140" s="22">
        <v>135</v>
      </c>
      <c r="AA140" s="22">
        <v>142</v>
      </c>
      <c r="AD140" s="341" t="s">
        <v>418</v>
      </c>
      <c r="AE140" s="334"/>
      <c r="AF140" s="335"/>
      <c r="AG140" s="74" t="s">
        <v>385</v>
      </c>
      <c r="AH140" s="74"/>
      <c r="AI140" s="74"/>
      <c r="AJ140" s="74" t="s">
        <v>385</v>
      </c>
      <c r="AK140" s="74"/>
      <c r="AL140" s="74"/>
      <c r="AM140" s="341" t="s">
        <v>452</v>
      </c>
      <c r="AN140" s="334"/>
      <c r="AO140" s="334"/>
      <c r="AP140" s="334"/>
      <c r="AQ140" s="334"/>
      <c r="AR140" s="335"/>
    </row>
    <row r="141" spans="1:44" ht="15.75" customHeight="1" x14ac:dyDescent="0.25">
      <c r="A141" s="9" t="s">
        <v>21</v>
      </c>
      <c r="B141" s="12" t="s">
        <v>63</v>
      </c>
      <c r="C141" s="17">
        <v>140</v>
      </c>
      <c r="D141" s="22">
        <v>135</v>
      </c>
      <c r="E141" s="22">
        <v>154</v>
      </c>
      <c r="F141" s="21">
        <v>124</v>
      </c>
      <c r="G141" s="21">
        <v>131</v>
      </c>
      <c r="H141" s="21">
        <v>130</v>
      </c>
      <c r="I141" s="21">
        <v>123</v>
      </c>
      <c r="J141" s="21">
        <v>133</v>
      </c>
      <c r="K141" s="21">
        <v>143</v>
      </c>
      <c r="L141" s="21">
        <v>154</v>
      </c>
      <c r="P141" s="9" t="s">
        <v>21</v>
      </c>
      <c r="Q141" s="12" t="s">
        <v>218</v>
      </c>
      <c r="R141" s="17">
        <v>0</v>
      </c>
      <c r="S141" s="22">
        <v>0</v>
      </c>
      <c r="T141" s="11">
        <v>0</v>
      </c>
      <c r="W141" s="9" t="s">
        <v>21</v>
      </c>
      <c r="X141" s="12" t="s">
        <v>218</v>
      </c>
      <c r="Y141" s="17">
        <v>0</v>
      </c>
      <c r="Z141" s="22">
        <v>0</v>
      </c>
      <c r="AA141" s="11">
        <v>0</v>
      </c>
      <c r="AD141" s="341" t="s">
        <v>421</v>
      </c>
      <c r="AE141" s="334"/>
      <c r="AF141" s="335"/>
      <c r="AG141" s="74"/>
      <c r="AH141" s="74"/>
      <c r="AI141" s="74"/>
      <c r="AJ141" s="74" t="s">
        <v>385</v>
      </c>
      <c r="AK141" s="74"/>
      <c r="AL141" s="74"/>
      <c r="AM141" s="341" t="s">
        <v>422</v>
      </c>
      <c r="AN141" s="334"/>
      <c r="AO141" s="334"/>
      <c r="AP141" s="334"/>
      <c r="AQ141" s="334"/>
      <c r="AR141" s="335"/>
    </row>
    <row r="142" spans="1:44" ht="15.75" customHeight="1" x14ac:dyDescent="0.2">
      <c r="A142" s="9" t="s">
        <v>21</v>
      </c>
      <c r="B142" s="12" t="s">
        <v>218</v>
      </c>
      <c r="C142" s="17">
        <v>0</v>
      </c>
      <c r="D142" s="22">
        <v>0</v>
      </c>
      <c r="E142" s="11">
        <v>0</v>
      </c>
    </row>
    <row r="143" spans="1:44" ht="15.75" customHeight="1" x14ac:dyDescent="0.2"/>
    <row r="144" spans="1:44" ht="15.75" customHeight="1" x14ac:dyDescent="0.2"/>
    <row r="145" spans="1:44" ht="15.75" customHeight="1" x14ac:dyDescent="0.2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row>
    <row r="146" spans="1:44" ht="15.75" customHeight="1" x14ac:dyDescent="0.2"/>
    <row r="147" spans="1:44" ht="15.75" customHeight="1" x14ac:dyDescent="0.2"/>
    <row r="148" spans="1:44" ht="15.75" customHeight="1" x14ac:dyDescent="0.25">
      <c r="A148" s="21" t="s">
        <v>1226</v>
      </c>
    </row>
    <row r="149" spans="1:44" ht="15.75" customHeight="1" x14ac:dyDescent="0.2"/>
    <row r="150" spans="1:44" ht="15.75" customHeight="1" x14ac:dyDescent="0.25">
      <c r="A150" s="304" t="s">
        <v>1308</v>
      </c>
      <c r="B150" s="297"/>
      <c r="C150" s="297"/>
      <c r="D150" s="297"/>
      <c r="E150" s="298"/>
      <c r="H150" s="3"/>
    </row>
    <row r="151" spans="1:44" ht="15.75" customHeight="1" x14ac:dyDescent="0.2">
      <c r="A151" s="4" t="s">
        <v>0</v>
      </c>
      <c r="B151" s="5" t="s">
        <v>1</v>
      </c>
      <c r="C151" s="5" t="s">
        <v>2</v>
      </c>
      <c r="D151" s="5" t="s">
        <v>43</v>
      </c>
      <c r="E151" s="45" t="s">
        <v>125</v>
      </c>
      <c r="G151" s="296" t="s">
        <v>6</v>
      </c>
      <c r="H151" s="297"/>
      <c r="I151" s="297"/>
      <c r="J151" s="297"/>
      <c r="K151" s="297"/>
      <c r="L151" s="298"/>
    </row>
    <row r="152" spans="1:44" ht="15.75" customHeight="1" x14ac:dyDescent="0.2">
      <c r="A152" s="9" t="s">
        <v>7</v>
      </c>
      <c r="B152" s="302" t="s">
        <v>9</v>
      </c>
      <c r="C152" s="47">
        <v>28.1</v>
      </c>
      <c r="D152" s="11">
        <v>32</v>
      </c>
      <c r="E152" s="11">
        <v>29</v>
      </c>
      <c r="G152" s="296" t="s">
        <v>106</v>
      </c>
      <c r="H152" s="297"/>
      <c r="I152" s="298"/>
      <c r="J152" s="296" t="s">
        <v>107</v>
      </c>
      <c r="K152" s="297"/>
      <c r="L152" s="298"/>
    </row>
    <row r="153" spans="1:44" ht="15.75" customHeight="1" x14ac:dyDescent="0.2">
      <c r="A153" s="9" t="s">
        <v>17</v>
      </c>
      <c r="B153" s="300"/>
      <c r="C153" s="47">
        <v>63.911000000000001</v>
      </c>
      <c r="D153" s="11">
        <v>55</v>
      </c>
      <c r="E153" s="11">
        <v>61</v>
      </c>
      <c r="G153" s="13" t="s">
        <v>13</v>
      </c>
      <c r="H153" s="39">
        <f>H155+H155*0.05</f>
        <v>866.25</v>
      </c>
      <c r="I153" s="17" t="s">
        <v>1311</v>
      </c>
      <c r="J153" s="13" t="s">
        <v>13</v>
      </c>
      <c r="K153" s="39">
        <f>K155+K155*0.05</f>
        <v>834.75</v>
      </c>
      <c r="L153" s="17" t="s">
        <v>1313</v>
      </c>
    </row>
    <row r="154" spans="1:44" ht="15.75" customHeight="1" x14ac:dyDescent="0.2">
      <c r="A154" s="9" t="s">
        <v>26</v>
      </c>
      <c r="B154" s="300"/>
      <c r="C154" s="47">
        <v>69.921999999999997</v>
      </c>
      <c r="D154" s="11">
        <v>67</v>
      </c>
      <c r="E154" s="11">
        <v>64</v>
      </c>
      <c r="G154" s="13" t="s">
        <v>19</v>
      </c>
      <c r="H154" s="40">
        <f>H155-H155*0.05</f>
        <v>783.75</v>
      </c>
      <c r="I154" s="17" t="s">
        <v>1315</v>
      </c>
      <c r="J154" s="13" t="s">
        <v>19</v>
      </c>
      <c r="K154" s="40">
        <f>K155-K155*0.05</f>
        <v>755.25</v>
      </c>
      <c r="L154" s="17" t="s">
        <v>1318</v>
      </c>
    </row>
    <row r="155" spans="1:44" ht="15.75" customHeight="1" x14ac:dyDescent="0.2">
      <c r="A155" s="9" t="s">
        <v>32</v>
      </c>
      <c r="B155" s="300"/>
      <c r="C155" s="47">
        <v>96.744</v>
      </c>
      <c r="D155" s="11">
        <v>90</v>
      </c>
      <c r="E155" s="11">
        <v>97</v>
      </c>
      <c r="G155" s="13" t="s">
        <v>27</v>
      </c>
      <c r="H155" s="20">
        <v>825</v>
      </c>
      <c r="I155" s="17" t="s">
        <v>1321</v>
      </c>
      <c r="J155" s="13" t="s">
        <v>27</v>
      </c>
      <c r="K155" s="20">
        <v>795</v>
      </c>
      <c r="L155" s="17" t="s">
        <v>1322</v>
      </c>
    </row>
    <row r="156" spans="1:44" ht="15.75" customHeight="1" x14ac:dyDescent="0.2">
      <c r="A156" s="9" t="s">
        <v>33</v>
      </c>
      <c r="B156" s="301"/>
      <c r="C156" s="47">
        <v>128.11000000000001</v>
      </c>
      <c r="D156" s="11">
        <v>128</v>
      </c>
      <c r="E156" s="11">
        <v>127</v>
      </c>
      <c r="G156" s="13" t="s">
        <v>121</v>
      </c>
      <c r="H156" s="20">
        <v>824</v>
      </c>
      <c r="I156" s="17" t="s">
        <v>1323</v>
      </c>
      <c r="J156" s="13" t="s">
        <v>121</v>
      </c>
      <c r="K156" s="20">
        <v>790</v>
      </c>
      <c r="L156" s="17" t="s">
        <v>1324</v>
      </c>
    </row>
    <row r="157" spans="1:44" ht="15.75" customHeight="1" x14ac:dyDescent="0.25">
      <c r="A157" s="41"/>
      <c r="B157" s="42"/>
      <c r="C157" s="69"/>
      <c r="D157" s="11"/>
      <c r="E157" s="11"/>
      <c r="H157" s="3"/>
    </row>
    <row r="158" spans="1:44" ht="15.75" customHeight="1" x14ac:dyDescent="0.25">
      <c r="A158" s="9" t="s">
        <v>35</v>
      </c>
      <c r="B158" s="302" t="s">
        <v>36</v>
      </c>
      <c r="C158" s="47">
        <v>207.78</v>
      </c>
      <c r="D158" s="11">
        <v>234</v>
      </c>
      <c r="E158" s="11">
        <v>206</v>
      </c>
      <c r="G158" s="31"/>
      <c r="H158" s="3"/>
    </row>
    <row r="159" spans="1:44" ht="15.75" customHeight="1" x14ac:dyDescent="0.25">
      <c r="A159" s="9" t="s">
        <v>37</v>
      </c>
      <c r="B159" s="300"/>
      <c r="C159" s="47">
        <v>444.11</v>
      </c>
      <c r="D159" s="11">
        <v>487</v>
      </c>
      <c r="E159" s="11">
        <v>407</v>
      </c>
      <c r="G159" s="31"/>
      <c r="H159" s="3"/>
    </row>
    <row r="160" spans="1:44" ht="15.75" customHeight="1" x14ac:dyDescent="0.25">
      <c r="A160" s="9" t="s">
        <v>38</v>
      </c>
      <c r="B160" s="300"/>
      <c r="C160" s="47">
        <v>579.55999999999995</v>
      </c>
      <c r="D160" s="11">
        <v>555</v>
      </c>
      <c r="E160" s="11">
        <v>587</v>
      </c>
      <c r="G160" s="31"/>
      <c r="H160" s="3"/>
    </row>
    <row r="161" spans="1:21" ht="15.75" customHeight="1" x14ac:dyDescent="0.25">
      <c r="A161" s="9" t="s">
        <v>39</v>
      </c>
      <c r="B161" s="300"/>
      <c r="C161" s="47">
        <v>746.22</v>
      </c>
      <c r="D161" s="11">
        <v>758</v>
      </c>
      <c r="E161" s="11">
        <v>737</v>
      </c>
      <c r="G161" s="31"/>
      <c r="H161" s="3"/>
    </row>
    <row r="162" spans="1:21" ht="15.75" customHeight="1" x14ac:dyDescent="0.25">
      <c r="A162" s="49" t="s">
        <v>41</v>
      </c>
      <c r="B162" s="300"/>
      <c r="C162" s="50">
        <v>869.5</v>
      </c>
      <c r="D162" s="51">
        <v>781</v>
      </c>
      <c r="E162" s="51">
        <v>862</v>
      </c>
      <c r="G162" s="31"/>
      <c r="H162" s="3"/>
    </row>
    <row r="163" spans="1:21" ht="15.75" customHeight="1" x14ac:dyDescent="0.25">
      <c r="A163" s="308"/>
      <c r="B163" s="297"/>
      <c r="C163" s="297"/>
      <c r="D163" s="297"/>
      <c r="E163" s="298"/>
      <c r="H163" s="3"/>
    </row>
    <row r="164" spans="1:21" ht="15.75" customHeight="1" x14ac:dyDescent="0.25">
      <c r="A164" s="9" t="s">
        <v>46</v>
      </c>
      <c r="B164" s="299" t="s">
        <v>47</v>
      </c>
      <c r="C164" s="47">
        <v>88.4</v>
      </c>
      <c r="D164" s="11">
        <v>84</v>
      </c>
      <c r="E164" s="11">
        <v>91</v>
      </c>
      <c r="G164" s="407" t="s">
        <v>373</v>
      </c>
      <c r="H164" s="403"/>
      <c r="I164" s="404"/>
      <c r="J164" s="408" t="s">
        <v>375</v>
      </c>
      <c r="K164" s="403"/>
      <c r="L164" s="404"/>
      <c r="M164" s="402" t="s">
        <v>376</v>
      </c>
      <c r="N164" s="403"/>
      <c r="O164" s="404"/>
      <c r="P164" s="402" t="s">
        <v>377</v>
      </c>
      <c r="Q164" s="403"/>
      <c r="R164" s="403"/>
      <c r="S164" s="403"/>
      <c r="T164" s="403"/>
      <c r="U164" s="405"/>
    </row>
    <row r="165" spans="1:21" ht="15.75" customHeight="1" x14ac:dyDescent="0.2">
      <c r="A165" s="9" t="s">
        <v>48</v>
      </c>
      <c r="B165" s="300"/>
      <c r="C165" s="47">
        <v>94.6</v>
      </c>
      <c r="D165" s="11">
        <v>88</v>
      </c>
      <c r="E165" s="11">
        <v>89</v>
      </c>
      <c r="G165" s="406"/>
      <c r="H165" s="334"/>
      <c r="I165" s="335"/>
      <c r="J165" s="167" t="s">
        <v>379</v>
      </c>
      <c r="K165" s="167" t="s">
        <v>380</v>
      </c>
      <c r="L165" s="93" t="s">
        <v>381</v>
      </c>
      <c r="M165" s="167" t="s">
        <v>379</v>
      </c>
      <c r="N165" s="167" t="s">
        <v>380</v>
      </c>
      <c r="O165" s="93" t="s">
        <v>381</v>
      </c>
      <c r="P165" s="341"/>
      <c r="Q165" s="334"/>
      <c r="R165" s="334"/>
      <c r="S165" s="334"/>
      <c r="T165" s="334"/>
      <c r="U165" s="397"/>
    </row>
    <row r="166" spans="1:21" ht="15.75" customHeight="1" x14ac:dyDescent="0.25">
      <c r="A166" s="41"/>
      <c r="B166" s="42"/>
      <c r="C166" s="69"/>
      <c r="D166" s="42"/>
      <c r="E166" s="11"/>
      <c r="G166" s="416" t="s">
        <v>383</v>
      </c>
      <c r="H166" s="334"/>
      <c r="I166" s="335"/>
      <c r="J166" s="171"/>
      <c r="K166" s="173" t="s">
        <v>385</v>
      </c>
      <c r="M166" s="174"/>
      <c r="N166" s="174"/>
      <c r="O166" s="174"/>
      <c r="P166" s="417" t="s">
        <v>1325</v>
      </c>
      <c r="Q166" s="334"/>
      <c r="R166" s="334"/>
      <c r="S166" s="334"/>
      <c r="T166" s="334"/>
      <c r="U166" s="397"/>
    </row>
    <row r="167" spans="1:21" ht="15.75" customHeight="1" x14ac:dyDescent="0.25">
      <c r="A167" s="9" t="s">
        <v>50</v>
      </c>
      <c r="B167" s="302" t="s">
        <v>51</v>
      </c>
      <c r="C167" s="47">
        <v>271.44400000000002</v>
      </c>
      <c r="D167" s="11">
        <v>255</v>
      </c>
      <c r="E167" s="11">
        <v>265</v>
      </c>
      <c r="G167" s="416" t="s">
        <v>393</v>
      </c>
      <c r="H167" s="334"/>
      <c r="I167" s="335"/>
      <c r="J167" s="173" t="s">
        <v>385</v>
      </c>
      <c r="K167" s="173"/>
      <c r="L167" s="173"/>
      <c r="M167" s="173" t="s">
        <v>385</v>
      </c>
      <c r="N167" s="173"/>
      <c r="O167" s="173"/>
      <c r="P167" s="417" t="s">
        <v>441</v>
      </c>
      <c r="Q167" s="334"/>
      <c r="R167" s="334"/>
      <c r="S167" s="334"/>
      <c r="T167" s="334"/>
      <c r="U167" s="397"/>
    </row>
    <row r="168" spans="1:21" ht="15.75" customHeight="1" x14ac:dyDescent="0.25">
      <c r="A168" s="9" t="s">
        <v>54</v>
      </c>
      <c r="B168" s="300"/>
      <c r="C168" s="47">
        <v>550.22199999999998</v>
      </c>
      <c r="D168" s="11">
        <v>574</v>
      </c>
      <c r="E168" s="11">
        <v>559</v>
      </c>
      <c r="G168" s="416" t="s">
        <v>411</v>
      </c>
      <c r="H168" s="334"/>
      <c r="I168" s="335"/>
      <c r="J168" s="173" t="s">
        <v>385</v>
      </c>
      <c r="K168" s="174"/>
      <c r="L168" s="173"/>
      <c r="M168" s="173" t="s">
        <v>385</v>
      </c>
      <c r="N168" s="174"/>
      <c r="O168" s="173"/>
      <c r="P168" s="417" t="s">
        <v>448</v>
      </c>
      <c r="Q168" s="334"/>
      <c r="R168" s="334"/>
      <c r="S168" s="334"/>
      <c r="T168" s="334"/>
      <c r="U168" s="397"/>
    </row>
    <row r="169" spans="1:21" ht="15.75" customHeight="1" x14ac:dyDescent="0.25">
      <c r="A169" s="9" t="s">
        <v>55</v>
      </c>
      <c r="B169" s="300"/>
      <c r="C169" s="47">
        <v>609</v>
      </c>
      <c r="D169" s="11">
        <v>558</v>
      </c>
      <c r="E169" s="11">
        <v>608</v>
      </c>
      <c r="G169" s="416" t="s">
        <v>1161</v>
      </c>
      <c r="H169" s="334"/>
      <c r="I169" s="335"/>
      <c r="J169" s="173" t="s">
        <v>385</v>
      </c>
      <c r="K169" s="173"/>
      <c r="L169" s="173"/>
      <c r="M169" s="173" t="s">
        <v>385</v>
      </c>
      <c r="N169" s="173"/>
      <c r="O169" s="173"/>
      <c r="P169" s="417" t="s">
        <v>1162</v>
      </c>
      <c r="Q169" s="334"/>
      <c r="R169" s="334"/>
      <c r="S169" s="334"/>
      <c r="T169" s="334"/>
      <c r="U169" s="397"/>
    </row>
    <row r="170" spans="1:21" ht="15.75" customHeight="1" x14ac:dyDescent="0.25">
      <c r="A170" s="9" t="s">
        <v>56</v>
      </c>
      <c r="B170" s="300"/>
      <c r="C170" s="47">
        <v>739.11099999999999</v>
      </c>
      <c r="D170" s="11">
        <v>706</v>
      </c>
      <c r="E170" s="11">
        <v>777</v>
      </c>
      <c r="G170" s="416" t="s">
        <v>1326</v>
      </c>
      <c r="H170" s="334"/>
      <c r="I170" s="335"/>
      <c r="J170" s="174" t="s">
        <v>385</v>
      </c>
      <c r="K170" s="174"/>
      <c r="L170" s="174"/>
      <c r="M170" s="174" t="s">
        <v>385</v>
      </c>
      <c r="N170" s="174"/>
      <c r="O170" s="174"/>
      <c r="P170" s="417" t="s">
        <v>1327</v>
      </c>
      <c r="Q170" s="334"/>
      <c r="R170" s="334"/>
      <c r="S170" s="334"/>
      <c r="T170" s="334"/>
      <c r="U170" s="397"/>
    </row>
    <row r="171" spans="1:21" ht="15.75" customHeight="1" x14ac:dyDescent="0.25">
      <c r="A171" s="49" t="s">
        <v>57</v>
      </c>
      <c r="B171" s="300"/>
      <c r="C171" s="50">
        <v>746.88900000000001</v>
      </c>
      <c r="D171" s="51">
        <v>773</v>
      </c>
      <c r="E171" s="11">
        <v>749</v>
      </c>
      <c r="G171" s="416" t="s">
        <v>1328</v>
      </c>
      <c r="H171" s="334"/>
      <c r="I171" s="335"/>
      <c r="J171" s="174"/>
      <c r="K171" s="174"/>
      <c r="L171" s="174" t="s">
        <v>385</v>
      </c>
      <c r="M171" s="174" t="s">
        <v>385</v>
      </c>
      <c r="N171" s="174"/>
      <c r="O171" s="174"/>
      <c r="P171" s="417" t="s">
        <v>1331</v>
      </c>
      <c r="Q171" s="334"/>
      <c r="R171" s="334"/>
      <c r="S171" s="334"/>
      <c r="T171" s="334"/>
      <c r="U171" s="397"/>
    </row>
    <row r="172" spans="1:21" ht="15.75" customHeight="1" x14ac:dyDescent="0.25">
      <c r="A172" s="308"/>
      <c r="B172" s="297"/>
      <c r="C172" s="297"/>
      <c r="D172" s="297"/>
      <c r="E172" s="298"/>
      <c r="G172" s="416" t="s">
        <v>1164</v>
      </c>
      <c r="H172" s="334"/>
      <c r="I172" s="335"/>
      <c r="J172" s="173" t="s">
        <v>385</v>
      </c>
      <c r="K172" s="173"/>
      <c r="L172" s="173"/>
      <c r="M172" s="173" t="s">
        <v>385</v>
      </c>
      <c r="N172" s="173"/>
      <c r="O172" s="173"/>
      <c r="P172" s="174" t="s">
        <v>1165</v>
      </c>
      <c r="Q172" s="174"/>
      <c r="R172" s="174"/>
      <c r="S172" s="174"/>
      <c r="T172" s="174"/>
      <c r="U172" s="242"/>
    </row>
    <row r="173" spans="1:21" ht="15.75" customHeight="1" x14ac:dyDescent="0.25">
      <c r="A173" s="9" t="s">
        <v>60</v>
      </c>
      <c r="B173" s="299" t="s">
        <v>62</v>
      </c>
      <c r="C173" s="47">
        <v>19.36</v>
      </c>
      <c r="D173" s="11">
        <v>25</v>
      </c>
      <c r="E173" s="11">
        <v>21</v>
      </c>
      <c r="G173" s="416" t="s">
        <v>1167</v>
      </c>
      <c r="H173" s="334"/>
      <c r="I173" s="335"/>
      <c r="J173" s="173" t="s">
        <v>385</v>
      </c>
      <c r="K173" s="173"/>
      <c r="L173" s="173"/>
      <c r="M173" s="173" t="s">
        <v>385</v>
      </c>
      <c r="N173" s="173"/>
      <c r="O173" s="173"/>
      <c r="P173" s="174" t="s">
        <v>1169</v>
      </c>
      <c r="Q173" s="174"/>
      <c r="R173" s="174"/>
      <c r="S173" s="174"/>
      <c r="T173" s="174"/>
      <c r="U173" s="242"/>
    </row>
    <row r="174" spans="1:21" ht="15.75" customHeight="1" x14ac:dyDescent="0.25">
      <c r="A174" s="9" t="s">
        <v>64</v>
      </c>
      <c r="B174" s="300"/>
      <c r="C174" s="47">
        <v>33.31</v>
      </c>
      <c r="D174" s="11">
        <v>36</v>
      </c>
      <c r="E174" s="11">
        <v>35</v>
      </c>
      <c r="G174" s="416" t="s">
        <v>1170</v>
      </c>
      <c r="H174" s="334"/>
      <c r="I174" s="335"/>
      <c r="J174" s="173" t="s">
        <v>385</v>
      </c>
      <c r="K174" s="173"/>
      <c r="L174" s="173"/>
      <c r="M174" s="173" t="s">
        <v>385</v>
      </c>
      <c r="N174" s="173"/>
      <c r="O174" s="173"/>
      <c r="P174" s="417" t="s">
        <v>448</v>
      </c>
      <c r="Q174" s="334"/>
      <c r="R174" s="334"/>
      <c r="S174" s="334"/>
      <c r="T174" s="334"/>
      <c r="U174" s="397"/>
    </row>
    <row r="175" spans="1:21" ht="15.75" customHeight="1" x14ac:dyDescent="0.25">
      <c r="A175" s="9" t="s">
        <v>65</v>
      </c>
      <c r="B175" s="301"/>
      <c r="C175" s="47">
        <v>41.74</v>
      </c>
      <c r="D175" s="11">
        <v>28</v>
      </c>
      <c r="E175" s="11">
        <v>43</v>
      </c>
      <c r="G175" s="416" t="s">
        <v>418</v>
      </c>
      <c r="H175" s="334"/>
      <c r="I175" s="335"/>
      <c r="J175" s="173" t="s">
        <v>385</v>
      </c>
      <c r="K175" s="173"/>
      <c r="L175" s="173"/>
      <c r="M175" s="173" t="s">
        <v>385</v>
      </c>
      <c r="N175" s="173"/>
      <c r="O175" s="173"/>
      <c r="P175" s="417" t="s">
        <v>1171</v>
      </c>
      <c r="Q175" s="334"/>
      <c r="R175" s="334"/>
      <c r="S175" s="334"/>
      <c r="T175" s="334"/>
      <c r="U175" s="397"/>
    </row>
    <row r="176" spans="1:21" ht="15.75" customHeight="1" x14ac:dyDescent="0.25">
      <c r="A176" s="41"/>
      <c r="B176" s="42"/>
      <c r="C176" s="69"/>
      <c r="D176" s="11"/>
      <c r="E176" s="11"/>
      <c r="G176" s="419" t="s">
        <v>421</v>
      </c>
      <c r="H176" s="399"/>
      <c r="I176" s="411"/>
      <c r="J176" s="233"/>
      <c r="K176" s="233"/>
      <c r="L176" s="233"/>
      <c r="M176" s="233" t="s">
        <v>385</v>
      </c>
      <c r="N176" s="233"/>
      <c r="O176" s="233"/>
      <c r="P176" s="418" t="s">
        <v>422</v>
      </c>
      <c r="Q176" s="399"/>
      <c r="R176" s="399"/>
      <c r="S176" s="399"/>
      <c r="T176" s="399"/>
      <c r="U176" s="400"/>
    </row>
    <row r="177" spans="1:8" ht="15.75" customHeight="1" x14ac:dyDescent="0.2">
      <c r="A177" s="9" t="s">
        <v>66</v>
      </c>
      <c r="B177" s="302" t="s">
        <v>68</v>
      </c>
      <c r="C177" s="47">
        <v>204.5</v>
      </c>
      <c r="D177" s="11">
        <v>205</v>
      </c>
      <c r="E177" s="11">
        <v>203</v>
      </c>
    </row>
    <row r="178" spans="1:8" ht="15.75" customHeight="1" x14ac:dyDescent="0.2">
      <c r="A178" s="49" t="s">
        <v>69</v>
      </c>
      <c r="B178" s="300"/>
      <c r="C178" s="50">
        <v>277.7</v>
      </c>
      <c r="D178" s="51">
        <v>282</v>
      </c>
      <c r="E178" s="51">
        <v>282</v>
      </c>
    </row>
    <row r="179" spans="1:8" ht="15.75" customHeight="1" x14ac:dyDescent="0.2">
      <c r="A179" s="305"/>
      <c r="B179" s="297"/>
      <c r="C179" s="297"/>
      <c r="D179" s="297"/>
      <c r="E179" s="298"/>
    </row>
    <row r="180" spans="1:8" ht="15.75" customHeight="1" x14ac:dyDescent="0.25">
      <c r="A180" s="9" t="s">
        <v>69</v>
      </c>
      <c r="B180" s="299" t="s">
        <v>71</v>
      </c>
      <c r="C180" s="47">
        <v>10.283300000000001</v>
      </c>
      <c r="D180" s="11">
        <v>11</v>
      </c>
      <c r="E180" s="11">
        <v>11</v>
      </c>
      <c r="H180" s="3"/>
    </row>
    <row r="181" spans="1:8" ht="15.75" customHeight="1" x14ac:dyDescent="0.25">
      <c r="A181" s="9" t="s">
        <v>72</v>
      </c>
      <c r="B181" s="300"/>
      <c r="C181" s="47">
        <v>11.8833</v>
      </c>
      <c r="D181" s="11">
        <v>12</v>
      </c>
      <c r="E181" s="11">
        <v>10</v>
      </c>
      <c r="H181" s="3"/>
    </row>
    <row r="182" spans="1:8" ht="15.75" customHeight="1" x14ac:dyDescent="0.25">
      <c r="A182" s="9" t="s">
        <v>73</v>
      </c>
      <c r="B182" s="301"/>
      <c r="C182" s="47">
        <v>17.433299999999999</v>
      </c>
      <c r="D182" s="11">
        <v>18</v>
      </c>
      <c r="E182" s="11">
        <v>16</v>
      </c>
      <c r="H182" s="3"/>
    </row>
    <row r="183" spans="1:8" ht="15.75" customHeight="1" x14ac:dyDescent="0.25">
      <c r="A183" s="41"/>
      <c r="B183" s="42"/>
      <c r="C183" s="69"/>
      <c r="D183" s="42"/>
      <c r="E183" s="11"/>
      <c r="H183" s="3"/>
    </row>
    <row r="184" spans="1:8" ht="15.75" customHeight="1" x14ac:dyDescent="0.25">
      <c r="A184" s="9" t="s">
        <v>76</v>
      </c>
      <c r="B184" s="302" t="s">
        <v>77</v>
      </c>
      <c r="C184" s="47">
        <v>117.467</v>
      </c>
      <c r="D184" s="11">
        <v>120</v>
      </c>
      <c r="E184" s="11">
        <v>113</v>
      </c>
      <c r="H184" s="3"/>
    </row>
    <row r="185" spans="1:8" ht="15.75" customHeight="1" x14ac:dyDescent="0.25">
      <c r="A185" s="9" t="s">
        <v>78</v>
      </c>
      <c r="B185" s="300"/>
      <c r="C185" s="47">
        <v>187.833</v>
      </c>
      <c r="D185" s="11">
        <v>184</v>
      </c>
      <c r="E185" s="11">
        <v>187</v>
      </c>
      <c r="H185" s="3"/>
    </row>
    <row r="186" spans="1:8" ht="15.75" customHeight="1" x14ac:dyDescent="0.25">
      <c r="A186" s="9" t="s">
        <v>79</v>
      </c>
      <c r="B186" s="300"/>
      <c r="C186" s="47">
        <v>218.333</v>
      </c>
      <c r="D186" s="11">
        <v>216</v>
      </c>
      <c r="E186" s="11">
        <v>217</v>
      </c>
      <c r="H186" s="3"/>
    </row>
    <row r="187" spans="1:8" ht="15.75" customHeight="1" x14ac:dyDescent="0.25">
      <c r="A187" s="49" t="s">
        <v>80</v>
      </c>
      <c r="B187" s="300"/>
      <c r="C187" s="50">
        <v>238.5</v>
      </c>
      <c r="D187" s="51">
        <v>240</v>
      </c>
      <c r="E187" s="11">
        <v>239</v>
      </c>
      <c r="H187" s="3"/>
    </row>
    <row r="188" spans="1:8" ht="15.75" customHeight="1" x14ac:dyDescent="0.25">
      <c r="A188" s="420"/>
      <c r="B188" s="322"/>
      <c r="C188" s="322"/>
      <c r="D188" s="322"/>
      <c r="E188" s="323"/>
      <c r="H188" s="3"/>
    </row>
    <row r="189" spans="1:8" ht="15.75" customHeight="1" x14ac:dyDescent="0.25">
      <c r="A189" s="9" t="s">
        <v>81</v>
      </c>
      <c r="B189" s="299" t="s">
        <v>82</v>
      </c>
      <c r="C189" s="47">
        <v>2</v>
      </c>
      <c r="D189" s="52">
        <v>1</v>
      </c>
      <c r="E189" s="53">
        <v>1</v>
      </c>
      <c r="H189" s="3"/>
    </row>
    <row r="190" spans="1:8" ht="15.75" customHeight="1" x14ac:dyDescent="0.25">
      <c r="A190" s="9" t="s">
        <v>83</v>
      </c>
      <c r="B190" s="300"/>
      <c r="C190" s="47">
        <v>7.133</v>
      </c>
      <c r="D190" s="52">
        <v>3</v>
      </c>
      <c r="E190" s="54">
        <v>2</v>
      </c>
      <c r="H190" s="3"/>
    </row>
    <row r="191" spans="1:8" ht="15.75" customHeight="1" x14ac:dyDescent="0.25">
      <c r="A191" s="9" t="s">
        <v>84</v>
      </c>
      <c r="B191" s="301"/>
      <c r="C191" s="47">
        <v>10.72</v>
      </c>
      <c r="D191" s="52">
        <v>2</v>
      </c>
      <c r="E191" s="55">
        <v>2</v>
      </c>
      <c r="H191" s="3"/>
    </row>
    <row r="192" spans="1:8" ht="15.75" customHeight="1" x14ac:dyDescent="0.25">
      <c r="A192" s="41"/>
      <c r="B192" s="42"/>
      <c r="C192" s="69"/>
      <c r="D192" s="11"/>
      <c r="E192" s="11"/>
      <c r="H192" s="3"/>
    </row>
    <row r="193" spans="1:44" ht="15.75" customHeight="1" x14ac:dyDescent="0.25">
      <c r="A193" s="9" t="s">
        <v>86</v>
      </c>
      <c r="B193" s="302" t="s">
        <v>87</v>
      </c>
      <c r="C193" s="47">
        <v>20.466999999999999</v>
      </c>
      <c r="D193" s="11">
        <v>19</v>
      </c>
      <c r="E193" s="11">
        <v>20</v>
      </c>
      <c r="H193" s="3"/>
    </row>
    <row r="194" spans="1:44" ht="15.75" customHeight="1" x14ac:dyDescent="0.25">
      <c r="A194" s="49" t="s">
        <v>88</v>
      </c>
      <c r="B194" s="300"/>
      <c r="C194" s="50">
        <v>20.367000000000001</v>
      </c>
      <c r="D194" s="51">
        <v>19</v>
      </c>
      <c r="E194" s="51">
        <v>20</v>
      </c>
      <c r="H194" s="3"/>
    </row>
    <row r="195" spans="1:44" ht="15.75" customHeight="1" x14ac:dyDescent="0.25">
      <c r="A195" s="305"/>
      <c r="B195" s="297"/>
      <c r="C195" s="297"/>
      <c r="D195" s="297"/>
      <c r="E195" s="298"/>
      <c r="H195" s="3"/>
    </row>
    <row r="196" spans="1:44" ht="15.75" customHeight="1" x14ac:dyDescent="0.25">
      <c r="A196" s="9" t="s">
        <v>89</v>
      </c>
      <c r="B196" s="299" t="s">
        <v>90</v>
      </c>
      <c r="C196" s="47">
        <v>5.15</v>
      </c>
      <c r="D196" s="11">
        <v>7</v>
      </c>
      <c r="E196" s="11">
        <v>6</v>
      </c>
      <c r="H196" s="3"/>
    </row>
    <row r="197" spans="1:44" ht="15.75" customHeight="1" x14ac:dyDescent="0.25">
      <c r="A197" s="49" t="s">
        <v>91</v>
      </c>
      <c r="B197" s="300"/>
      <c r="C197" s="50">
        <v>16.2</v>
      </c>
      <c r="D197" s="51">
        <v>16</v>
      </c>
      <c r="E197" s="51">
        <v>17</v>
      </c>
      <c r="H197" s="3"/>
    </row>
    <row r="198" spans="1:44" ht="15.75" customHeight="1" x14ac:dyDescent="0.25">
      <c r="A198" s="41"/>
      <c r="B198" s="42"/>
      <c r="C198" s="69"/>
      <c r="D198" s="201"/>
      <c r="E198" s="201"/>
      <c r="H198" s="3"/>
    </row>
    <row r="199" spans="1:44" ht="15.75" customHeight="1" x14ac:dyDescent="0.25">
      <c r="A199" s="9" t="s">
        <v>94</v>
      </c>
      <c r="B199" s="299" t="s">
        <v>95</v>
      </c>
      <c r="C199" s="47">
        <v>50.082999999999998</v>
      </c>
      <c r="D199" s="11">
        <v>55</v>
      </c>
      <c r="E199" s="11">
        <v>50</v>
      </c>
      <c r="H199" s="3"/>
    </row>
    <row r="200" spans="1:44" ht="15.75" customHeight="1" x14ac:dyDescent="0.25">
      <c r="A200" s="9" t="s">
        <v>96</v>
      </c>
      <c r="B200" s="300"/>
      <c r="C200" s="47">
        <v>93.992999999999995</v>
      </c>
      <c r="D200" s="11">
        <v>88</v>
      </c>
      <c r="E200" s="11">
        <v>93</v>
      </c>
      <c r="H200" s="3"/>
    </row>
    <row r="201" spans="1:44" ht="15.75" customHeight="1" x14ac:dyDescent="0.25">
      <c r="A201" s="9" t="s">
        <v>97</v>
      </c>
      <c r="B201" s="300"/>
      <c r="C201" s="47">
        <v>95.516999999999996</v>
      </c>
      <c r="D201" s="11">
        <v>66</v>
      </c>
      <c r="E201" s="11">
        <v>96</v>
      </c>
      <c r="H201" s="3"/>
    </row>
    <row r="202" spans="1:44" ht="15.75" customHeight="1" x14ac:dyDescent="0.25">
      <c r="A202" s="9" t="s">
        <v>98</v>
      </c>
      <c r="B202" s="300"/>
      <c r="C202" s="47">
        <v>100.92</v>
      </c>
      <c r="D202" s="11">
        <v>94</v>
      </c>
      <c r="E202" s="11">
        <v>98</v>
      </c>
      <c r="H202" s="3"/>
    </row>
    <row r="203" spans="1:44" ht="15.75" customHeight="1" x14ac:dyDescent="0.25">
      <c r="A203" s="9" t="s">
        <v>99</v>
      </c>
      <c r="B203" s="301"/>
      <c r="C203" s="47">
        <v>115.37</v>
      </c>
      <c r="D203" s="11">
        <v>97</v>
      </c>
      <c r="E203" s="11">
        <v>114</v>
      </c>
      <c r="H203" s="3"/>
    </row>
    <row r="204" spans="1:44" ht="15.75" customHeight="1" x14ac:dyDescent="0.2"/>
    <row r="205" spans="1:44" ht="15.75" customHeight="1" x14ac:dyDescent="0.2"/>
    <row r="206" spans="1:44" ht="15.75" customHeight="1" x14ac:dyDescent="0.2"/>
    <row r="207" spans="1:44" ht="15.75" customHeight="1" x14ac:dyDescent="0.25">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row>
    <row r="208" spans="1:44" ht="15.75" customHeight="1" x14ac:dyDescent="0.2"/>
    <row r="209" spans="1:12" ht="15.75" customHeight="1" x14ac:dyDescent="0.2"/>
    <row r="210" spans="1:12" ht="15.75" customHeight="1" x14ac:dyDescent="0.25">
      <c r="A210" s="28" t="s">
        <v>1226</v>
      </c>
      <c r="B210" s="28"/>
      <c r="C210" s="28"/>
      <c r="D210" s="28"/>
      <c r="E210" s="28"/>
      <c r="F210" s="28"/>
      <c r="G210" s="28"/>
      <c r="H210" s="28"/>
      <c r="I210" s="28"/>
      <c r="J210" s="28"/>
      <c r="K210" s="28"/>
      <c r="L210" s="28"/>
    </row>
    <row r="211" spans="1:12" ht="15.75" customHeight="1" x14ac:dyDescent="0.25">
      <c r="A211" s="28"/>
      <c r="B211" s="28"/>
      <c r="C211" s="28"/>
      <c r="D211" s="28"/>
      <c r="E211" s="28"/>
      <c r="F211" s="28"/>
      <c r="G211" s="28"/>
      <c r="H211" s="28"/>
      <c r="I211" s="28"/>
      <c r="J211" s="28"/>
      <c r="K211" s="28"/>
      <c r="L211" s="28"/>
    </row>
    <row r="212" spans="1:12" ht="15.75" customHeight="1" x14ac:dyDescent="0.25">
      <c r="A212" s="304" t="s">
        <v>633</v>
      </c>
      <c r="B212" s="297"/>
      <c r="C212" s="358">
        <v>43364</v>
      </c>
      <c r="D212" s="297"/>
      <c r="E212" s="298"/>
      <c r="F212" s="28"/>
      <c r="G212" s="28"/>
      <c r="H212" s="3"/>
      <c r="I212" s="28"/>
      <c r="J212" s="28"/>
      <c r="K212" s="28"/>
      <c r="L212" s="28"/>
    </row>
    <row r="213" spans="1:12" ht="15.75" customHeight="1" x14ac:dyDescent="0.25">
      <c r="A213" s="4" t="s">
        <v>0</v>
      </c>
      <c r="B213" s="5" t="s">
        <v>1</v>
      </c>
      <c r="C213" s="5" t="s">
        <v>2</v>
      </c>
      <c r="D213" s="5" t="s">
        <v>43</v>
      </c>
      <c r="E213" s="45" t="s">
        <v>125</v>
      </c>
      <c r="F213" s="28"/>
      <c r="G213" s="296" t="s">
        <v>6</v>
      </c>
      <c r="H213" s="297"/>
      <c r="I213" s="297"/>
      <c r="J213" s="297"/>
      <c r="K213" s="297"/>
      <c r="L213" s="298"/>
    </row>
    <row r="214" spans="1:12" ht="15.75" customHeight="1" x14ac:dyDescent="0.25">
      <c r="A214" s="9" t="s">
        <v>7</v>
      </c>
      <c r="B214" s="302" t="s">
        <v>9</v>
      </c>
      <c r="C214" s="47">
        <v>28.1</v>
      </c>
      <c r="D214" s="11">
        <v>29</v>
      </c>
      <c r="E214" s="11">
        <v>25</v>
      </c>
      <c r="F214" s="28"/>
      <c r="G214" s="296" t="s">
        <v>106</v>
      </c>
      <c r="H214" s="297"/>
      <c r="I214" s="298"/>
      <c r="J214" s="296" t="s">
        <v>107</v>
      </c>
      <c r="K214" s="297"/>
      <c r="L214" s="298"/>
    </row>
    <row r="215" spans="1:12" ht="15.75" customHeight="1" x14ac:dyDescent="0.25">
      <c r="A215" s="9" t="s">
        <v>17</v>
      </c>
      <c r="B215" s="300"/>
      <c r="C215" s="47">
        <v>63.911000000000001</v>
      </c>
      <c r="D215" s="11">
        <v>61</v>
      </c>
      <c r="E215" s="11">
        <v>55</v>
      </c>
      <c r="F215" s="28"/>
      <c r="G215" s="13" t="s">
        <v>13</v>
      </c>
      <c r="H215" s="39">
        <f>H217+H217*0.05</f>
        <v>882</v>
      </c>
      <c r="I215" s="17" t="s">
        <v>1349</v>
      </c>
      <c r="J215" s="13" t="s">
        <v>13</v>
      </c>
      <c r="K215" s="39">
        <f>K217+K217*0.05</f>
        <v>913.5</v>
      </c>
      <c r="L215" s="17" t="s">
        <v>1350</v>
      </c>
    </row>
    <row r="216" spans="1:12" ht="15.75" customHeight="1" x14ac:dyDescent="0.25">
      <c r="A216" s="9" t="s">
        <v>26</v>
      </c>
      <c r="B216" s="300"/>
      <c r="C216" s="47">
        <v>69.921999999999997</v>
      </c>
      <c r="D216" s="11">
        <v>64</v>
      </c>
      <c r="E216" s="11">
        <v>75</v>
      </c>
      <c r="F216" s="28"/>
      <c r="G216" s="13" t="s">
        <v>19</v>
      </c>
      <c r="H216" s="40">
        <f>H217-H217*0.05</f>
        <v>798</v>
      </c>
      <c r="I216" s="17" t="s">
        <v>1352</v>
      </c>
      <c r="J216" s="13" t="s">
        <v>19</v>
      </c>
      <c r="K216" s="40">
        <f>K217-K217*0.05</f>
        <v>826.5</v>
      </c>
      <c r="L216" s="17" t="s">
        <v>1353</v>
      </c>
    </row>
    <row r="217" spans="1:12" ht="15.75" customHeight="1" x14ac:dyDescent="0.25">
      <c r="A217" s="9" t="s">
        <v>32</v>
      </c>
      <c r="B217" s="300"/>
      <c r="C217" s="47">
        <v>96.744</v>
      </c>
      <c r="D217" s="11">
        <v>97</v>
      </c>
      <c r="E217" s="11">
        <v>97</v>
      </c>
      <c r="F217" s="28"/>
      <c r="G217" s="13" t="s">
        <v>27</v>
      </c>
      <c r="H217" s="20">
        <v>840</v>
      </c>
      <c r="I217" s="17" t="s">
        <v>1354</v>
      </c>
      <c r="J217" s="13" t="s">
        <v>27</v>
      </c>
      <c r="K217" s="20">
        <v>870</v>
      </c>
      <c r="L217" s="17" t="s">
        <v>1355</v>
      </c>
    </row>
    <row r="218" spans="1:12" ht="15.75" customHeight="1" x14ac:dyDescent="0.25">
      <c r="A218" s="9" t="s">
        <v>33</v>
      </c>
      <c r="B218" s="301"/>
      <c r="C218" s="47">
        <v>128.11000000000001</v>
      </c>
      <c r="D218" s="11">
        <v>127</v>
      </c>
      <c r="E218" s="11">
        <v>125</v>
      </c>
      <c r="F218" s="28"/>
      <c r="G218" s="13" t="s">
        <v>121</v>
      </c>
      <c r="H218" s="20">
        <v>824</v>
      </c>
      <c r="I218" s="17" t="s">
        <v>1356</v>
      </c>
      <c r="J218" s="13" t="s">
        <v>121</v>
      </c>
      <c r="K218" s="20">
        <v>868</v>
      </c>
      <c r="L218" s="17" t="s">
        <v>1357</v>
      </c>
    </row>
    <row r="219" spans="1:12" ht="15.75" customHeight="1" x14ac:dyDescent="0.25">
      <c r="A219" s="41"/>
      <c r="B219" s="42"/>
      <c r="C219" s="69"/>
      <c r="D219" s="11"/>
      <c r="E219" s="11"/>
      <c r="F219" s="28"/>
      <c r="G219" s="28"/>
      <c r="H219" s="3"/>
      <c r="I219" s="28"/>
      <c r="J219" s="28"/>
      <c r="K219" s="28"/>
      <c r="L219" s="28"/>
    </row>
    <row r="220" spans="1:12" ht="15.75" customHeight="1" x14ac:dyDescent="0.25">
      <c r="A220" s="9" t="s">
        <v>35</v>
      </c>
      <c r="B220" s="302" t="s">
        <v>36</v>
      </c>
      <c r="C220" s="47">
        <v>207.78</v>
      </c>
      <c r="D220" s="11">
        <v>206</v>
      </c>
      <c r="E220" s="11">
        <v>212</v>
      </c>
      <c r="F220" s="28"/>
      <c r="G220" s="31"/>
      <c r="H220" s="3"/>
      <c r="I220" s="28"/>
      <c r="J220" s="28"/>
      <c r="K220" s="28"/>
      <c r="L220" s="28"/>
    </row>
    <row r="221" spans="1:12" ht="15.75" customHeight="1" x14ac:dyDescent="0.25">
      <c r="A221" s="9" t="s">
        <v>37</v>
      </c>
      <c r="B221" s="300"/>
      <c r="C221" s="47">
        <v>444.11</v>
      </c>
      <c r="D221" s="11">
        <v>407</v>
      </c>
      <c r="E221" s="11">
        <v>381</v>
      </c>
      <c r="F221" s="28"/>
      <c r="G221" s="31"/>
      <c r="H221" s="3"/>
      <c r="I221" s="28"/>
      <c r="J221" s="28"/>
      <c r="K221" s="28"/>
      <c r="L221" s="28"/>
    </row>
    <row r="222" spans="1:12" ht="15.75" customHeight="1" x14ac:dyDescent="0.25">
      <c r="A222" s="9" t="s">
        <v>38</v>
      </c>
      <c r="B222" s="300"/>
      <c r="C222" s="47">
        <v>579.55999999999995</v>
      </c>
      <c r="D222" s="11">
        <v>587</v>
      </c>
      <c r="E222" s="11">
        <v>571</v>
      </c>
      <c r="F222" s="28"/>
      <c r="G222" s="31"/>
      <c r="H222" s="3"/>
      <c r="I222" s="28"/>
      <c r="J222" s="28"/>
      <c r="K222" s="28"/>
      <c r="L222" s="28"/>
    </row>
    <row r="223" spans="1:12" ht="15.75" customHeight="1" x14ac:dyDescent="0.25">
      <c r="A223" s="9" t="s">
        <v>39</v>
      </c>
      <c r="B223" s="300"/>
      <c r="C223" s="47">
        <v>746.22</v>
      </c>
      <c r="D223" s="11">
        <v>737</v>
      </c>
      <c r="E223" s="11">
        <v>633</v>
      </c>
      <c r="F223" s="28"/>
      <c r="G223" s="31"/>
      <c r="H223" s="3"/>
      <c r="I223" s="28"/>
      <c r="J223" s="28"/>
      <c r="K223" s="28"/>
      <c r="L223" s="28"/>
    </row>
    <row r="224" spans="1:12" ht="15.75" customHeight="1" x14ac:dyDescent="0.25">
      <c r="A224" s="49" t="s">
        <v>41</v>
      </c>
      <c r="B224" s="300"/>
      <c r="C224" s="50">
        <v>869.5</v>
      </c>
      <c r="D224" s="51">
        <v>862</v>
      </c>
      <c r="E224" s="51">
        <v>865</v>
      </c>
      <c r="F224" s="28"/>
      <c r="G224" s="31"/>
      <c r="H224" s="3"/>
      <c r="I224" s="28"/>
      <c r="J224" s="28"/>
      <c r="K224" s="28"/>
      <c r="L224" s="28"/>
    </row>
    <row r="225" spans="1:12" ht="15.75" customHeight="1" x14ac:dyDescent="0.25">
      <c r="A225" s="79"/>
      <c r="B225" s="81"/>
      <c r="C225" s="81"/>
      <c r="D225" s="215"/>
      <c r="E225" s="215"/>
      <c r="F225" s="28"/>
      <c r="G225" s="28"/>
      <c r="H225" s="3"/>
      <c r="I225" s="28"/>
      <c r="J225" s="28"/>
      <c r="K225" s="28"/>
      <c r="L225" s="28"/>
    </row>
    <row r="226" spans="1:12" ht="15.75" customHeight="1" x14ac:dyDescent="0.25">
      <c r="A226" s="9" t="s">
        <v>46</v>
      </c>
      <c r="B226" s="299" t="s">
        <v>47</v>
      </c>
      <c r="C226" s="47">
        <v>88.4</v>
      </c>
      <c r="D226" s="11">
        <v>91</v>
      </c>
      <c r="E226" s="11">
        <v>89</v>
      </c>
      <c r="F226" s="28"/>
      <c r="G226" s="202"/>
      <c r="H226" s="202"/>
      <c r="I226" s="202"/>
      <c r="J226" s="202"/>
      <c r="K226" s="202"/>
      <c r="L226" s="202"/>
    </row>
    <row r="227" spans="1:12" ht="15.75" customHeight="1" x14ac:dyDescent="0.25">
      <c r="A227" s="9" t="s">
        <v>48</v>
      </c>
      <c r="B227" s="300"/>
      <c r="C227" s="47">
        <v>94.6</v>
      </c>
      <c r="D227" s="11">
        <v>89</v>
      </c>
      <c r="E227" s="11">
        <v>92</v>
      </c>
      <c r="F227" s="28"/>
      <c r="G227" s="202"/>
      <c r="H227" s="202"/>
      <c r="I227" s="202"/>
      <c r="J227" s="27"/>
      <c r="K227" s="27"/>
      <c r="L227" s="1"/>
    </row>
    <row r="228" spans="1:12" ht="15.75" customHeight="1" x14ac:dyDescent="0.25">
      <c r="A228" s="41"/>
      <c r="B228" s="42"/>
      <c r="C228" s="69"/>
      <c r="D228" s="11"/>
      <c r="E228" s="11"/>
      <c r="F228" s="28"/>
      <c r="G228" s="28"/>
      <c r="H228" s="28"/>
      <c r="I228" s="28"/>
      <c r="J228" s="43"/>
      <c r="K228" s="234"/>
      <c r="L228" s="28"/>
    </row>
    <row r="229" spans="1:12" ht="15.75" customHeight="1" x14ac:dyDescent="0.25">
      <c r="A229" s="9" t="s">
        <v>50</v>
      </c>
      <c r="B229" s="302" t="s">
        <v>51</v>
      </c>
      <c r="C229" s="47">
        <v>271.44400000000002</v>
      </c>
      <c r="D229" s="11">
        <v>265</v>
      </c>
      <c r="E229" s="11">
        <v>279</v>
      </c>
      <c r="F229" s="28"/>
      <c r="G229" s="28"/>
      <c r="H229" s="28"/>
      <c r="I229" s="28"/>
      <c r="J229" s="234"/>
      <c r="K229" s="234"/>
      <c r="L229" s="234"/>
    </row>
    <row r="230" spans="1:12" ht="15.75" customHeight="1" x14ac:dyDescent="0.25">
      <c r="A230" s="9" t="s">
        <v>54</v>
      </c>
      <c r="B230" s="300"/>
      <c r="C230" s="47">
        <v>550.22199999999998</v>
      </c>
      <c r="D230" s="11">
        <v>559</v>
      </c>
      <c r="E230" s="11">
        <v>488</v>
      </c>
      <c r="F230" s="28"/>
      <c r="G230" s="28"/>
      <c r="H230" s="28"/>
      <c r="I230" s="28"/>
      <c r="J230" s="234"/>
      <c r="K230" s="28"/>
      <c r="L230" s="234"/>
    </row>
    <row r="231" spans="1:12" ht="15.75" customHeight="1" x14ac:dyDescent="0.25">
      <c r="A231" s="9" t="s">
        <v>55</v>
      </c>
      <c r="B231" s="300"/>
      <c r="C231" s="47">
        <v>609</v>
      </c>
      <c r="D231" s="11">
        <v>608</v>
      </c>
      <c r="E231" s="11">
        <v>602</v>
      </c>
      <c r="F231" s="28"/>
      <c r="G231" s="28"/>
      <c r="H231" s="28"/>
      <c r="I231" s="28"/>
      <c r="J231" s="234"/>
      <c r="K231" s="234"/>
      <c r="L231" s="234"/>
    </row>
    <row r="232" spans="1:12" ht="15.75" customHeight="1" x14ac:dyDescent="0.25">
      <c r="A232" s="9" t="s">
        <v>56</v>
      </c>
      <c r="B232" s="300"/>
      <c r="C232" s="47">
        <v>739.11099999999999</v>
      </c>
      <c r="D232" s="11">
        <v>777</v>
      </c>
      <c r="E232" s="11">
        <v>764</v>
      </c>
      <c r="F232" s="28"/>
      <c r="G232" s="28"/>
      <c r="H232" s="28"/>
      <c r="I232" s="28"/>
      <c r="J232" s="28"/>
      <c r="K232" s="28"/>
      <c r="L232" s="28"/>
    </row>
    <row r="233" spans="1:12" ht="15.75" customHeight="1" x14ac:dyDescent="0.25">
      <c r="A233" s="49" t="s">
        <v>57</v>
      </c>
      <c r="B233" s="300"/>
      <c r="C233" s="50">
        <v>746.88900000000001</v>
      </c>
      <c r="D233" s="11">
        <v>749</v>
      </c>
      <c r="E233" s="11">
        <v>787</v>
      </c>
      <c r="F233" s="28"/>
      <c r="G233" s="28"/>
      <c r="H233" s="28"/>
      <c r="I233" s="28"/>
      <c r="J233" s="28"/>
      <c r="K233" s="28"/>
      <c r="L233" s="28"/>
    </row>
    <row r="234" spans="1:12" ht="15.75" customHeight="1" x14ac:dyDescent="0.25">
      <c r="A234" s="130"/>
      <c r="B234" s="131"/>
      <c r="C234" s="131"/>
      <c r="D234" s="243"/>
      <c r="E234" s="243"/>
      <c r="F234" s="28"/>
      <c r="G234" s="28"/>
      <c r="H234" s="28"/>
      <c r="I234" s="28"/>
      <c r="J234" s="234"/>
      <c r="K234" s="234"/>
      <c r="L234" s="234"/>
    </row>
    <row r="235" spans="1:12" ht="15.75" customHeight="1" x14ac:dyDescent="0.25">
      <c r="A235" s="9" t="s">
        <v>60</v>
      </c>
      <c r="B235" s="299" t="s">
        <v>62</v>
      </c>
      <c r="C235" s="47">
        <v>19.36</v>
      </c>
      <c r="D235" s="11">
        <v>21</v>
      </c>
      <c r="E235" s="11">
        <v>30</v>
      </c>
      <c r="F235" s="28"/>
      <c r="G235" s="28"/>
      <c r="H235" s="28"/>
      <c r="I235" s="28"/>
      <c r="J235" s="234"/>
      <c r="K235" s="234"/>
      <c r="L235" s="234"/>
    </row>
    <row r="236" spans="1:12" ht="15.75" customHeight="1" x14ac:dyDescent="0.25">
      <c r="A236" s="9" t="s">
        <v>64</v>
      </c>
      <c r="B236" s="300"/>
      <c r="C236" s="47">
        <v>33.31</v>
      </c>
      <c r="D236" s="11">
        <v>35</v>
      </c>
      <c r="E236" s="11">
        <v>34</v>
      </c>
      <c r="F236" s="28"/>
      <c r="G236" s="28"/>
      <c r="H236" s="28"/>
      <c r="I236" s="28"/>
      <c r="J236" s="234"/>
      <c r="K236" s="234"/>
      <c r="L236" s="234"/>
    </row>
    <row r="237" spans="1:12" ht="15.75" customHeight="1" x14ac:dyDescent="0.25">
      <c r="A237" s="9" t="s">
        <v>65</v>
      </c>
      <c r="B237" s="301"/>
      <c r="C237" s="47">
        <v>41.74</v>
      </c>
      <c r="D237" s="11">
        <v>43</v>
      </c>
      <c r="E237" s="11">
        <v>71</v>
      </c>
      <c r="F237" s="28"/>
      <c r="G237" s="28"/>
      <c r="H237" s="28"/>
      <c r="I237" s="28"/>
      <c r="J237" s="234"/>
      <c r="K237" s="234"/>
      <c r="L237" s="234"/>
    </row>
    <row r="238" spans="1:12" ht="15.75" customHeight="1" x14ac:dyDescent="0.25">
      <c r="A238" s="41"/>
      <c r="B238" s="42"/>
      <c r="C238" s="69"/>
      <c r="D238" s="11"/>
      <c r="E238" s="11"/>
      <c r="F238" s="28"/>
      <c r="G238" s="28"/>
      <c r="H238" s="28"/>
      <c r="I238" s="28"/>
      <c r="J238" s="234"/>
      <c r="K238" s="234"/>
      <c r="L238" s="234"/>
    </row>
    <row r="239" spans="1:12" ht="15.75" customHeight="1" x14ac:dyDescent="0.25">
      <c r="A239" s="9" t="s">
        <v>66</v>
      </c>
      <c r="B239" s="302" t="s">
        <v>68</v>
      </c>
      <c r="C239" s="47">
        <v>204.5</v>
      </c>
      <c r="D239" s="11">
        <v>203</v>
      </c>
      <c r="E239" s="11">
        <v>202</v>
      </c>
      <c r="F239" s="28"/>
      <c r="G239" s="28"/>
      <c r="H239" s="28"/>
      <c r="I239" s="28"/>
      <c r="J239" s="28"/>
      <c r="K239" s="28"/>
      <c r="L239" s="28"/>
    </row>
    <row r="240" spans="1:12" ht="15.75" customHeight="1" x14ac:dyDescent="0.25">
      <c r="A240" s="49" t="s">
        <v>69</v>
      </c>
      <c r="B240" s="300"/>
      <c r="C240" s="50">
        <v>277.7</v>
      </c>
      <c r="D240" s="51">
        <v>282</v>
      </c>
      <c r="E240" s="51">
        <v>274</v>
      </c>
      <c r="F240" s="28"/>
      <c r="G240" s="28"/>
      <c r="H240" s="28"/>
      <c r="I240" s="28"/>
      <c r="J240" s="28"/>
      <c r="K240" s="28"/>
      <c r="L240" s="28"/>
    </row>
    <row r="241" spans="1:12" ht="15.75" customHeight="1" x14ac:dyDescent="0.25">
      <c r="A241" s="44"/>
      <c r="B241" s="46"/>
      <c r="C241" s="46"/>
      <c r="D241" s="216"/>
      <c r="E241" s="216"/>
      <c r="F241" s="28"/>
      <c r="G241" s="28"/>
      <c r="H241" s="28"/>
      <c r="I241" s="28"/>
      <c r="J241" s="28"/>
      <c r="K241" s="28"/>
      <c r="L241" s="28"/>
    </row>
    <row r="242" spans="1:12" ht="15.75" customHeight="1" x14ac:dyDescent="0.25">
      <c r="A242" s="9" t="s">
        <v>69</v>
      </c>
      <c r="B242" s="299" t="s">
        <v>71</v>
      </c>
      <c r="C242" s="47">
        <v>10.283300000000001</v>
      </c>
      <c r="D242" s="11">
        <v>11</v>
      </c>
      <c r="E242" s="11">
        <v>7</v>
      </c>
      <c r="F242" s="28"/>
      <c r="G242" s="28"/>
      <c r="H242" s="3"/>
      <c r="I242" s="28"/>
      <c r="J242" s="28"/>
      <c r="K242" s="28"/>
      <c r="L242" s="28"/>
    </row>
    <row r="243" spans="1:12" ht="15.75" customHeight="1" x14ac:dyDescent="0.25">
      <c r="A243" s="9" t="s">
        <v>72</v>
      </c>
      <c r="B243" s="300"/>
      <c r="C243" s="47">
        <v>11.8833</v>
      </c>
      <c r="D243" s="11">
        <v>10</v>
      </c>
      <c r="E243" s="11">
        <v>12</v>
      </c>
      <c r="F243" s="28"/>
      <c r="G243" s="28"/>
      <c r="H243" s="3"/>
      <c r="I243" s="28"/>
      <c r="J243" s="28"/>
      <c r="K243" s="28"/>
      <c r="L243" s="28"/>
    </row>
    <row r="244" spans="1:12" ht="15.75" customHeight="1" x14ac:dyDescent="0.25">
      <c r="A244" s="9" t="s">
        <v>73</v>
      </c>
      <c r="B244" s="301"/>
      <c r="C244" s="47">
        <v>17.433299999999999</v>
      </c>
      <c r="D244" s="11">
        <v>16</v>
      </c>
      <c r="E244" s="11">
        <v>19</v>
      </c>
      <c r="F244" s="28"/>
      <c r="G244" s="28"/>
      <c r="H244" s="3"/>
      <c r="I244" s="28"/>
      <c r="J244" s="28"/>
      <c r="K244" s="28"/>
      <c r="L244" s="28"/>
    </row>
    <row r="245" spans="1:12" ht="15.75" customHeight="1" x14ac:dyDescent="0.25">
      <c r="A245" s="41"/>
      <c r="B245" s="42"/>
      <c r="C245" s="69"/>
      <c r="D245" s="11"/>
      <c r="E245" s="11"/>
      <c r="F245" s="28"/>
      <c r="G245" s="28"/>
      <c r="H245" s="3"/>
      <c r="I245" s="28"/>
      <c r="J245" s="28"/>
      <c r="K245" s="28"/>
      <c r="L245" s="28"/>
    </row>
    <row r="246" spans="1:12" ht="15.75" customHeight="1" x14ac:dyDescent="0.25">
      <c r="A246" s="9" t="s">
        <v>76</v>
      </c>
      <c r="B246" s="302" t="s">
        <v>77</v>
      </c>
      <c r="C246" s="47">
        <v>117.467</v>
      </c>
      <c r="D246" s="11">
        <v>113</v>
      </c>
      <c r="E246" s="11">
        <v>109</v>
      </c>
      <c r="F246" s="28"/>
      <c r="G246" s="28"/>
      <c r="H246" s="3"/>
      <c r="I246" s="28"/>
      <c r="J246" s="28"/>
      <c r="K246" s="28"/>
      <c r="L246" s="28"/>
    </row>
    <row r="247" spans="1:12" ht="15.75" customHeight="1" x14ac:dyDescent="0.25">
      <c r="A247" s="9" t="s">
        <v>78</v>
      </c>
      <c r="B247" s="300"/>
      <c r="C247" s="47">
        <v>187.833</v>
      </c>
      <c r="D247" s="11">
        <v>187</v>
      </c>
      <c r="E247" s="11">
        <v>180</v>
      </c>
      <c r="F247" s="28"/>
      <c r="G247" s="28"/>
      <c r="H247" s="3"/>
      <c r="I247" s="28"/>
      <c r="J247" s="28"/>
      <c r="K247" s="28"/>
      <c r="L247" s="28"/>
    </row>
    <row r="248" spans="1:12" ht="15.75" customHeight="1" x14ac:dyDescent="0.25">
      <c r="A248" s="9" t="s">
        <v>79</v>
      </c>
      <c r="B248" s="300"/>
      <c r="C248" s="47">
        <v>218.333</v>
      </c>
      <c r="D248" s="11">
        <v>217</v>
      </c>
      <c r="E248" s="11">
        <v>238</v>
      </c>
      <c r="F248" s="28"/>
      <c r="G248" s="28"/>
      <c r="H248" s="3"/>
      <c r="I248" s="28"/>
      <c r="J248" s="28"/>
      <c r="K248" s="28"/>
      <c r="L248" s="28"/>
    </row>
    <row r="249" spans="1:12" ht="15.75" customHeight="1" x14ac:dyDescent="0.25">
      <c r="A249" s="49" t="s">
        <v>80</v>
      </c>
      <c r="B249" s="300"/>
      <c r="C249" s="50">
        <v>238.5</v>
      </c>
      <c r="D249" s="11">
        <v>239</v>
      </c>
      <c r="E249" s="11">
        <v>217</v>
      </c>
      <c r="F249" s="28"/>
      <c r="G249" s="28"/>
      <c r="H249" s="3"/>
      <c r="I249" s="28"/>
      <c r="J249" s="28"/>
      <c r="K249" s="28"/>
      <c r="L249" s="28"/>
    </row>
    <row r="250" spans="1:12" ht="15.75" customHeight="1" x14ac:dyDescent="0.25">
      <c r="A250" s="132"/>
      <c r="B250" s="133"/>
      <c r="C250" s="133"/>
      <c r="D250" s="244"/>
      <c r="E250" s="244"/>
      <c r="F250" s="28"/>
      <c r="G250" s="28"/>
      <c r="H250" s="3"/>
      <c r="I250" s="28"/>
      <c r="J250" s="28"/>
      <c r="K250" s="28"/>
      <c r="L250" s="28"/>
    </row>
    <row r="251" spans="1:12" ht="15.75" customHeight="1" x14ac:dyDescent="0.25">
      <c r="A251" s="9" t="s">
        <v>81</v>
      </c>
      <c r="B251" s="299" t="s">
        <v>82</v>
      </c>
      <c r="C251" s="47">
        <v>2</v>
      </c>
      <c r="D251" s="53">
        <v>1</v>
      </c>
      <c r="E251" s="53">
        <v>1</v>
      </c>
      <c r="F251" s="28"/>
      <c r="G251" s="28"/>
      <c r="H251" s="3"/>
      <c r="I251" s="28"/>
      <c r="J251" s="28"/>
      <c r="K251" s="28"/>
      <c r="L251" s="28"/>
    </row>
    <row r="252" spans="1:12" ht="15.75" customHeight="1" x14ac:dyDescent="0.25">
      <c r="A252" s="9" t="s">
        <v>83</v>
      </c>
      <c r="B252" s="300"/>
      <c r="C252" s="47">
        <v>7.133</v>
      </c>
      <c r="D252" s="54">
        <v>2</v>
      </c>
      <c r="E252" s="54">
        <v>1</v>
      </c>
      <c r="F252" s="28"/>
      <c r="G252" s="28"/>
      <c r="H252" s="3"/>
      <c r="I252" s="28"/>
      <c r="J252" s="28"/>
      <c r="K252" s="28"/>
      <c r="L252" s="28"/>
    </row>
    <row r="253" spans="1:12" ht="15.75" customHeight="1" x14ac:dyDescent="0.25">
      <c r="A253" s="9" t="s">
        <v>84</v>
      </c>
      <c r="B253" s="301"/>
      <c r="C253" s="47">
        <v>10.72</v>
      </c>
      <c r="D253" s="55">
        <v>2</v>
      </c>
      <c r="E253" s="55">
        <v>1</v>
      </c>
      <c r="F253" s="28"/>
      <c r="G253" s="28"/>
      <c r="H253" s="3"/>
      <c r="I253" s="28"/>
      <c r="J253" s="28"/>
      <c r="K253" s="28"/>
      <c r="L253" s="28"/>
    </row>
    <row r="254" spans="1:12" ht="15.75" customHeight="1" x14ac:dyDescent="0.25">
      <c r="A254" s="41"/>
      <c r="B254" s="42"/>
      <c r="C254" s="69"/>
      <c r="D254" s="11"/>
      <c r="E254" s="11"/>
      <c r="F254" s="28"/>
      <c r="G254" s="28"/>
      <c r="H254" s="3"/>
      <c r="I254" s="28"/>
      <c r="J254" s="28"/>
      <c r="K254" s="28"/>
      <c r="L254" s="28"/>
    </row>
    <row r="255" spans="1:12" ht="15.75" customHeight="1" x14ac:dyDescent="0.25">
      <c r="A255" s="9" t="s">
        <v>86</v>
      </c>
      <c r="B255" s="302" t="s">
        <v>87</v>
      </c>
      <c r="C255" s="47">
        <v>20.466999999999999</v>
      </c>
      <c r="D255" s="11">
        <v>20</v>
      </c>
      <c r="E255" s="11">
        <v>11</v>
      </c>
      <c r="F255" s="28"/>
      <c r="G255" s="28"/>
      <c r="H255" s="3"/>
      <c r="I255" s="28"/>
      <c r="J255" s="28"/>
      <c r="K255" s="28"/>
      <c r="L255" s="28"/>
    </row>
    <row r="256" spans="1:12" ht="15.75" customHeight="1" x14ac:dyDescent="0.25">
      <c r="A256" s="49" t="s">
        <v>88</v>
      </c>
      <c r="B256" s="300"/>
      <c r="C256" s="50">
        <v>20.367000000000001</v>
      </c>
      <c r="D256" s="51">
        <v>20</v>
      </c>
      <c r="E256" s="51">
        <v>19</v>
      </c>
      <c r="F256" s="28"/>
      <c r="G256" s="28"/>
      <c r="H256" s="3"/>
      <c r="I256" s="28"/>
      <c r="J256" s="28"/>
      <c r="K256" s="28"/>
      <c r="L256" s="28"/>
    </row>
    <row r="257" spans="1:44" ht="15.75" customHeight="1" x14ac:dyDescent="0.25">
      <c r="A257" s="44"/>
      <c r="B257" s="46"/>
      <c r="C257" s="46"/>
      <c r="D257" s="216"/>
      <c r="E257" s="216"/>
      <c r="F257" s="28"/>
      <c r="G257" s="28"/>
      <c r="H257" s="3"/>
      <c r="I257" s="28"/>
      <c r="J257" s="28"/>
      <c r="K257" s="28"/>
      <c r="L257" s="28"/>
    </row>
    <row r="258" spans="1:44" ht="15.75" customHeight="1" x14ac:dyDescent="0.25">
      <c r="A258" s="9" t="s">
        <v>89</v>
      </c>
      <c r="B258" s="299" t="s">
        <v>90</v>
      </c>
      <c r="C258" s="47">
        <v>5.15</v>
      </c>
      <c r="D258" s="11">
        <v>6</v>
      </c>
      <c r="E258" s="11">
        <v>5</v>
      </c>
      <c r="F258" s="28"/>
      <c r="G258" s="28"/>
      <c r="H258" s="3"/>
      <c r="I258" s="28"/>
      <c r="J258" s="28"/>
      <c r="K258" s="28"/>
      <c r="L258" s="28"/>
    </row>
    <row r="259" spans="1:44" ht="15.75" customHeight="1" x14ac:dyDescent="0.25">
      <c r="A259" s="49" t="s">
        <v>91</v>
      </c>
      <c r="B259" s="300"/>
      <c r="C259" s="50">
        <v>16.2</v>
      </c>
      <c r="D259" s="51">
        <v>17</v>
      </c>
      <c r="E259" s="51">
        <v>24</v>
      </c>
      <c r="F259" s="28"/>
      <c r="G259" s="28"/>
      <c r="H259" s="3"/>
      <c r="I259" s="28"/>
      <c r="J259" s="28"/>
      <c r="K259" s="28"/>
      <c r="L259" s="28"/>
    </row>
    <row r="260" spans="1:44" ht="15.75" customHeight="1" x14ac:dyDescent="0.25">
      <c r="A260" s="41"/>
      <c r="B260" s="42"/>
      <c r="C260" s="69"/>
      <c r="D260" s="201"/>
      <c r="E260" s="201"/>
      <c r="F260" s="28"/>
      <c r="G260" s="28"/>
      <c r="H260" s="3"/>
      <c r="I260" s="28"/>
      <c r="J260" s="28"/>
      <c r="K260" s="28"/>
      <c r="L260" s="28"/>
    </row>
    <row r="261" spans="1:44" ht="15.75" customHeight="1" x14ac:dyDescent="0.25">
      <c r="A261" s="9" t="s">
        <v>94</v>
      </c>
      <c r="B261" s="299" t="s">
        <v>95</v>
      </c>
      <c r="C261" s="47">
        <v>50.082999999999998</v>
      </c>
      <c r="D261" s="11">
        <v>50</v>
      </c>
      <c r="E261" s="11">
        <v>35</v>
      </c>
      <c r="F261" s="28"/>
      <c r="G261" s="28"/>
      <c r="H261" s="3"/>
      <c r="I261" s="28"/>
      <c r="J261" s="28"/>
      <c r="K261" s="28"/>
      <c r="L261" s="28"/>
    </row>
    <row r="262" spans="1:44" ht="15.75" customHeight="1" x14ac:dyDescent="0.25">
      <c r="A262" s="9" t="s">
        <v>96</v>
      </c>
      <c r="B262" s="300"/>
      <c r="C262" s="47">
        <v>93.992999999999995</v>
      </c>
      <c r="D262" s="11">
        <v>93</v>
      </c>
      <c r="E262" s="11">
        <v>116</v>
      </c>
      <c r="F262" s="28"/>
      <c r="G262" s="28"/>
      <c r="H262" s="3"/>
      <c r="I262" s="28"/>
      <c r="J262" s="28"/>
      <c r="K262" s="28"/>
      <c r="L262" s="28"/>
    </row>
    <row r="263" spans="1:44" ht="15.75" customHeight="1" x14ac:dyDescent="0.25">
      <c r="A263" s="9" t="s">
        <v>97</v>
      </c>
      <c r="B263" s="300"/>
      <c r="C263" s="47">
        <v>95.516999999999996</v>
      </c>
      <c r="D263" s="11">
        <v>96</v>
      </c>
      <c r="E263" s="11">
        <v>112</v>
      </c>
      <c r="F263" s="28"/>
      <c r="G263" s="28"/>
      <c r="H263" s="3"/>
      <c r="I263" s="28"/>
      <c r="J263" s="28"/>
      <c r="K263" s="28"/>
      <c r="L263" s="28"/>
    </row>
    <row r="264" spans="1:44" ht="15.75" customHeight="1" x14ac:dyDescent="0.25">
      <c r="A264" s="9" t="s">
        <v>98</v>
      </c>
      <c r="B264" s="300"/>
      <c r="C264" s="47">
        <v>100.92</v>
      </c>
      <c r="D264" s="11">
        <v>98</v>
      </c>
      <c r="E264" s="11">
        <v>139</v>
      </c>
      <c r="F264" s="28"/>
      <c r="G264" s="28"/>
      <c r="H264" s="3"/>
      <c r="I264" s="28"/>
      <c r="J264" s="28"/>
      <c r="K264" s="28"/>
      <c r="L264" s="28"/>
    </row>
    <row r="265" spans="1:44" ht="15.75" customHeight="1" x14ac:dyDescent="0.25">
      <c r="A265" s="9" t="s">
        <v>99</v>
      </c>
      <c r="B265" s="301"/>
      <c r="C265" s="47">
        <v>115.37</v>
      </c>
      <c r="D265" s="11">
        <v>114</v>
      </c>
      <c r="E265" s="11">
        <v>131</v>
      </c>
      <c r="F265" s="28"/>
      <c r="G265" s="28"/>
      <c r="H265" s="3"/>
      <c r="I265" s="28"/>
      <c r="J265" s="28"/>
      <c r="K265" s="28"/>
      <c r="L265" s="28"/>
    </row>
    <row r="266" spans="1:44" ht="15.75" customHeight="1" x14ac:dyDescent="0.2"/>
    <row r="267" spans="1:44" ht="15.75" customHeight="1" x14ac:dyDescent="0.2"/>
    <row r="268" spans="1:44" ht="15.75" customHeight="1" x14ac:dyDescent="0.2"/>
    <row r="269" spans="1:44" ht="15.75" customHeight="1" x14ac:dyDescent="0.2"/>
    <row r="270" spans="1:44" ht="15.75" customHeight="1" x14ac:dyDescent="0.25">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row>
    <row r="271" spans="1:44" ht="15.75" customHeight="1" x14ac:dyDescent="0.25">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row>
    <row r="272" spans="1:44" ht="15.75" customHeight="1" x14ac:dyDescent="0.25">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row>
    <row r="273" spans="1:44" ht="15.75" customHeight="1" x14ac:dyDescent="0.25">
      <c r="A273" s="28" t="s">
        <v>1226</v>
      </c>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row>
    <row r="274" spans="1:44" ht="15.75" customHeight="1" x14ac:dyDescent="0.25">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row>
    <row r="275" spans="1:44" ht="15.75" customHeight="1" x14ac:dyDescent="0.25">
      <c r="A275" s="304" t="s">
        <v>633</v>
      </c>
      <c r="B275" s="297"/>
      <c r="C275" s="358">
        <v>43454</v>
      </c>
      <c r="D275" s="297"/>
      <c r="E275" s="298"/>
      <c r="F275" s="28"/>
      <c r="G275" s="28"/>
      <c r="H275" s="3"/>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row>
    <row r="276" spans="1:44" ht="15.75" customHeight="1" x14ac:dyDescent="0.25">
      <c r="A276" s="4" t="s">
        <v>0</v>
      </c>
      <c r="B276" s="5" t="s">
        <v>1</v>
      </c>
      <c r="C276" s="5" t="s">
        <v>2</v>
      </c>
      <c r="D276" s="5" t="s">
        <v>43</v>
      </c>
      <c r="E276" s="45" t="s">
        <v>125</v>
      </c>
      <c r="F276" s="28"/>
      <c r="G276" s="296" t="s">
        <v>6</v>
      </c>
      <c r="H276" s="297"/>
      <c r="I276" s="297"/>
      <c r="J276" s="297"/>
      <c r="K276" s="297"/>
      <c r="L276" s="29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row>
    <row r="277" spans="1:44" ht="15.75" customHeight="1" x14ac:dyDescent="0.25">
      <c r="A277" s="9" t="s">
        <v>7</v>
      </c>
      <c r="B277" s="302" t="s">
        <v>9</v>
      </c>
      <c r="C277" s="47">
        <v>28.1</v>
      </c>
      <c r="D277" s="11">
        <v>25</v>
      </c>
      <c r="E277" s="11">
        <v>23</v>
      </c>
      <c r="F277" s="28"/>
      <c r="G277" s="296" t="s">
        <v>106</v>
      </c>
      <c r="H277" s="297"/>
      <c r="I277" s="298"/>
      <c r="J277" s="296" t="s">
        <v>107</v>
      </c>
      <c r="K277" s="297"/>
      <c r="L277" s="29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row>
    <row r="278" spans="1:44" ht="15.75" customHeight="1" x14ac:dyDescent="0.25">
      <c r="A278" s="9" t="s">
        <v>17</v>
      </c>
      <c r="B278" s="300"/>
      <c r="C278" s="47">
        <v>63.911000000000001</v>
      </c>
      <c r="D278" s="11">
        <v>55</v>
      </c>
      <c r="E278" s="11">
        <v>46</v>
      </c>
      <c r="F278" s="28"/>
      <c r="G278" s="13" t="s">
        <v>13</v>
      </c>
      <c r="H278" s="39">
        <f>H280+H280*0.05</f>
        <v>911.4</v>
      </c>
      <c r="I278" s="17" t="s">
        <v>1378</v>
      </c>
      <c r="J278" s="13" t="s">
        <v>13</v>
      </c>
      <c r="K278" s="39">
        <f>K280+K280*0.05</f>
        <v>787.5</v>
      </c>
      <c r="L278" s="17" t="s">
        <v>1379</v>
      </c>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row>
    <row r="279" spans="1:44" ht="15.75" customHeight="1" x14ac:dyDescent="0.25">
      <c r="A279" s="9" t="s">
        <v>26</v>
      </c>
      <c r="B279" s="300"/>
      <c r="C279" s="47">
        <v>69.921999999999997</v>
      </c>
      <c r="D279" s="11">
        <v>75</v>
      </c>
      <c r="E279" s="11">
        <v>68</v>
      </c>
      <c r="F279" s="28"/>
      <c r="G279" s="13" t="s">
        <v>19</v>
      </c>
      <c r="H279" s="40">
        <f>H280-H280*0.05</f>
        <v>824.6</v>
      </c>
      <c r="I279" s="17" t="s">
        <v>1381</v>
      </c>
      <c r="J279" s="13" t="s">
        <v>19</v>
      </c>
      <c r="K279" s="40">
        <f>K280-K280*0.05</f>
        <v>712.5</v>
      </c>
      <c r="L279" s="17" t="s">
        <v>1382</v>
      </c>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row>
    <row r="280" spans="1:44" ht="15.75" customHeight="1" x14ac:dyDescent="0.25">
      <c r="A280" s="9" t="s">
        <v>32</v>
      </c>
      <c r="B280" s="300"/>
      <c r="C280" s="47">
        <v>96.744</v>
      </c>
      <c r="D280" s="11">
        <v>97</v>
      </c>
      <c r="E280" s="11">
        <v>95</v>
      </c>
      <c r="F280" s="28"/>
      <c r="G280" s="13" t="s">
        <v>27</v>
      </c>
      <c r="H280" s="20">
        <v>868</v>
      </c>
      <c r="I280" s="17" t="s">
        <v>1383</v>
      </c>
      <c r="J280" s="13" t="s">
        <v>27</v>
      </c>
      <c r="K280" s="20">
        <v>750</v>
      </c>
      <c r="L280" s="17" t="s">
        <v>1384</v>
      </c>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row>
    <row r="281" spans="1:44" ht="15.75" customHeight="1" x14ac:dyDescent="0.25">
      <c r="A281" s="9" t="s">
        <v>33</v>
      </c>
      <c r="B281" s="301"/>
      <c r="C281" s="47">
        <v>128.11000000000001</v>
      </c>
      <c r="D281" s="11">
        <v>125</v>
      </c>
      <c r="E281" s="11">
        <v>123</v>
      </c>
      <c r="F281" s="28"/>
      <c r="G281" s="13" t="s">
        <v>121</v>
      </c>
      <c r="H281" s="20">
        <v>372</v>
      </c>
      <c r="I281" s="17" t="s">
        <v>1386</v>
      </c>
      <c r="J281" s="13" t="s">
        <v>121</v>
      </c>
      <c r="K281" s="20">
        <v>744</v>
      </c>
      <c r="L281" s="17" t="s">
        <v>1387</v>
      </c>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row>
    <row r="282" spans="1:44" ht="15.75" customHeight="1" x14ac:dyDescent="0.25">
      <c r="A282" s="41"/>
      <c r="B282" s="42"/>
      <c r="C282" s="69"/>
      <c r="D282" s="11"/>
      <c r="E282" s="11"/>
      <c r="F282" s="28"/>
      <c r="G282" s="28"/>
      <c r="H282" s="3"/>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row>
    <row r="283" spans="1:44" ht="15.75" customHeight="1" x14ac:dyDescent="0.25">
      <c r="A283" s="9" t="s">
        <v>35</v>
      </c>
      <c r="B283" s="302" t="s">
        <v>36</v>
      </c>
      <c r="C283" s="47">
        <v>207.78</v>
      </c>
      <c r="D283" s="11">
        <v>212</v>
      </c>
      <c r="E283" s="11">
        <v>223</v>
      </c>
      <c r="F283" s="28"/>
      <c r="G283" s="31"/>
      <c r="H283" s="3"/>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row>
    <row r="284" spans="1:44" ht="15.75" customHeight="1" x14ac:dyDescent="0.25">
      <c r="A284" s="9" t="s">
        <v>37</v>
      </c>
      <c r="B284" s="300"/>
      <c r="C284" s="47">
        <v>444.11</v>
      </c>
      <c r="D284" s="11">
        <v>381</v>
      </c>
      <c r="E284" s="11">
        <v>354</v>
      </c>
      <c r="F284" s="28"/>
      <c r="G284" s="31"/>
      <c r="H284" s="3"/>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row>
    <row r="285" spans="1:44" ht="15.75" customHeight="1" x14ac:dyDescent="0.25">
      <c r="A285" s="9" t="s">
        <v>38</v>
      </c>
      <c r="B285" s="300"/>
      <c r="C285" s="47">
        <v>579.55999999999995</v>
      </c>
      <c r="D285" s="11">
        <v>571</v>
      </c>
      <c r="E285" s="11">
        <v>557</v>
      </c>
      <c r="F285" s="28"/>
      <c r="G285" s="31"/>
      <c r="H285" s="3"/>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row>
    <row r="286" spans="1:44" ht="15.75" customHeight="1" x14ac:dyDescent="0.25">
      <c r="A286" s="9" t="s">
        <v>39</v>
      </c>
      <c r="B286" s="300"/>
      <c r="C286" s="47">
        <v>746.22</v>
      </c>
      <c r="D286" s="11">
        <v>633</v>
      </c>
      <c r="E286" s="11">
        <v>580</v>
      </c>
      <c r="F286" s="28"/>
      <c r="G286" s="31"/>
      <c r="H286" s="3"/>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row>
    <row r="287" spans="1:44" ht="15.75" customHeight="1" x14ac:dyDescent="0.25">
      <c r="A287" s="49" t="s">
        <v>41</v>
      </c>
      <c r="B287" s="300"/>
      <c r="C287" s="50">
        <v>869.5</v>
      </c>
      <c r="D287" s="51">
        <v>865</v>
      </c>
      <c r="E287" s="51">
        <v>759</v>
      </c>
      <c r="F287" s="28"/>
      <c r="G287" s="31"/>
      <c r="H287" s="3"/>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row>
    <row r="288" spans="1:44" ht="15.75" customHeight="1" x14ac:dyDescent="0.25">
      <c r="A288" s="79"/>
      <c r="B288" s="81"/>
      <c r="C288" s="81"/>
      <c r="D288" s="215"/>
      <c r="E288" s="215"/>
      <c r="F288" s="28"/>
      <c r="G288" s="28"/>
      <c r="H288" s="3"/>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row>
    <row r="289" spans="1:44" ht="15.75" customHeight="1" x14ac:dyDescent="0.25">
      <c r="A289" s="9" t="s">
        <v>46</v>
      </c>
      <c r="B289" s="299" t="s">
        <v>47</v>
      </c>
      <c r="C289" s="47">
        <v>88.4</v>
      </c>
      <c r="D289" s="11">
        <v>89</v>
      </c>
      <c r="E289" s="11">
        <v>87</v>
      </c>
      <c r="F289" s="28"/>
      <c r="G289" s="202"/>
      <c r="H289" s="202"/>
      <c r="I289" s="202"/>
      <c r="J289" s="202"/>
      <c r="K289" s="202"/>
      <c r="L289" s="202"/>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row>
    <row r="290" spans="1:44" ht="15.75" customHeight="1" x14ac:dyDescent="0.25">
      <c r="A290" s="9" t="s">
        <v>48</v>
      </c>
      <c r="B290" s="300"/>
      <c r="C290" s="47">
        <v>94.6</v>
      </c>
      <c r="D290" s="11">
        <v>92</v>
      </c>
      <c r="E290" s="11">
        <v>88</v>
      </c>
      <c r="F290" s="28"/>
      <c r="G290" s="202"/>
      <c r="H290" s="202"/>
      <c r="I290" s="202"/>
      <c r="J290" s="27"/>
      <c r="K290" s="27"/>
      <c r="L290" s="1"/>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row>
    <row r="291" spans="1:44" ht="15.75" customHeight="1" x14ac:dyDescent="0.25">
      <c r="A291" s="41"/>
      <c r="B291" s="42"/>
      <c r="C291" s="69"/>
      <c r="D291" s="11"/>
      <c r="E291" s="11"/>
      <c r="F291" s="28"/>
      <c r="G291" s="28"/>
      <c r="H291" s="28"/>
      <c r="I291" s="28"/>
      <c r="J291" s="43"/>
      <c r="K291" s="234"/>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row>
    <row r="292" spans="1:44" ht="15.75" customHeight="1" x14ac:dyDescent="0.25">
      <c r="A292" s="9" t="s">
        <v>50</v>
      </c>
      <c r="B292" s="302" t="s">
        <v>51</v>
      </c>
      <c r="C292" s="47">
        <v>271.44400000000002</v>
      </c>
      <c r="D292" s="11">
        <v>279</v>
      </c>
      <c r="E292" s="11">
        <v>281</v>
      </c>
      <c r="F292" s="28"/>
      <c r="G292" s="28"/>
      <c r="H292" s="28"/>
      <c r="I292" s="28"/>
      <c r="J292" s="234"/>
      <c r="K292" s="234"/>
      <c r="L292" s="234"/>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row>
    <row r="293" spans="1:44" ht="15.75" customHeight="1" x14ac:dyDescent="0.25">
      <c r="A293" s="9" t="s">
        <v>54</v>
      </c>
      <c r="B293" s="300"/>
      <c r="C293" s="47">
        <v>550.22199999999998</v>
      </c>
      <c r="D293" s="11">
        <v>488</v>
      </c>
      <c r="E293" s="11">
        <v>486</v>
      </c>
      <c r="F293" s="28"/>
      <c r="G293" s="28"/>
      <c r="H293" s="28"/>
      <c r="I293" s="28"/>
      <c r="J293" s="234"/>
      <c r="K293" s="28"/>
      <c r="L293" s="234"/>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row>
    <row r="294" spans="1:44" ht="15.75" customHeight="1" x14ac:dyDescent="0.25">
      <c r="A294" s="9" t="s">
        <v>55</v>
      </c>
      <c r="B294" s="300"/>
      <c r="C294" s="47">
        <v>609</v>
      </c>
      <c r="D294" s="11">
        <v>602</v>
      </c>
      <c r="E294" s="11">
        <v>592</v>
      </c>
      <c r="F294" s="28"/>
      <c r="G294" s="28"/>
      <c r="H294" s="28"/>
      <c r="I294" s="28"/>
      <c r="J294" s="234"/>
      <c r="K294" s="234"/>
      <c r="L294" s="234"/>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row>
    <row r="295" spans="1:44" ht="15.75" customHeight="1" x14ac:dyDescent="0.25">
      <c r="A295" s="9" t="s">
        <v>56</v>
      </c>
      <c r="B295" s="300"/>
      <c r="C295" s="47">
        <v>739.11099999999999</v>
      </c>
      <c r="D295" s="11">
        <v>764</v>
      </c>
      <c r="E295" s="11">
        <v>754</v>
      </c>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row>
    <row r="296" spans="1:44" ht="15.75" customHeight="1" x14ac:dyDescent="0.25">
      <c r="A296" s="49" t="s">
        <v>57</v>
      </c>
      <c r="B296" s="300"/>
      <c r="C296" s="50">
        <v>746.88900000000001</v>
      </c>
      <c r="D296" s="11">
        <v>787</v>
      </c>
      <c r="E296" s="11">
        <v>754</v>
      </c>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row>
    <row r="297" spans="1:44" ht="15.75" customHeight="1" x14ac:dyDescent="0.25">
      <c r="A297" s="130"/>
      <c r="B297" s="131"/>
      <c r="C297" s="131"/>
      <c r="D297" s="243"/>
      <c r="E297" s="243"/>
      <c r="F297" s="28"/>
      <c r="G297" s="28"/>
      <c r="H297" s="28"/>
      <c r="I297" s="28"/>
      <c r="J297" s="234"/>
      <c r="K297" s="234"/>
      <c r="L297" s="234"/>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row>
    <row r="298" spans="1:44" ht="15.75" customHeight="1" x14ac:dyDescent="0.25">
      <c r="A298" s="9" t="s">
        <v>60</v>
      </c>
      <c r="B298" s="299" t="s">
        <v>62</v>
      </c>
      <c r="C298" s="47">
        <v>19.36</v>
      </c>
      <c r="D298" s="11">
        <v>30</v>
      </c>
      <c r="E298" s="11">
        <v>10</v>
      </c>
      <c r="F298" s="28"/>
      <c r="G298" s="28"/>
      <c r="H298" s="28"/>
      <c r="I298" s="28"/>
      <c r="J298" s="234"/>
      <c r="K298" s="234"/>
      <c r="L298" s="234"/>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row>
    <row r="299" spans="1:44" ht="15.75" customHeight="1" x14ac:dyDescent="0.25">
      <c r="A299" s="9" t="s">
        <v>64</v>
      </c>
      <c r="B299" s="300"/>
      <c r="C299" s="47">
        <v>33.31</v>
      </c>
      <c r="D299" s="11">
        <v>34</v>
      </c>
      <c r="E299" s="11">
        <v>37</v>
      </c>
      <c r="F299" s="28"/>
      <c r="G299" s="28"/>
      <c r="H299" s="28"/>
      <c r="I299" s="28"/>
      <c r="J299" s="234"/>
      <c r="K299" s="234"/>
      <c r="L299" s="234"/>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row>
    <row r="300" spans="1:44" ht="15.75" customHeight="1" x14ac:dyDescent="0.25">
      <c r="A300" s="9" t="s">
        <v>65</v>
      </c>
      <c r="B300" s="301"/>
      <c r="C300" s="47">
        <v>41.74</v>
      </c>
      <c r="D300" s="11">
        <v>71</v>
      </c>
      <c r="E300" s="11">
        <v>60</v>
      </c>
      <c r="F300" s="28"/>
      <c r="G300" s="28"/>
      <c r="H300" s="28"/>
      <c r="I300" s="28"/>
      <c r="J300" s="234"/>
      <c r="K300" s="234"/>
      <c r="L300" s="234"/>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row>
    <row r="301" spans="1:44" ht="15.75" customHeight="1" x14ac:dyDescent="0.25">
      <c r="A301" s="41"/>
      <c r="B301" s="42"/>
      <c r="C301" s="69"/>
      <c r="D301" s="11"/>
      <c r="E301" s="11"/>
      <c r="F301" s="28"/>
      <c r="G301" s="28"/>
      <c r="H301" s="28"/>
      <c r="I301" s="28"/>
      <c r="J301" s="234"/>
      <c r="K301" s="234"/>
      <c r="L301" s="234"/>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row>
    <row r="302" spans="1:44" ht="15.75" customHeight="1" x14ac:dyDescent="0.25">
      <c r="A302" s="9" t="s">
        <v>66</v>
      </c>
      <c r="B302" s="302" t="s">
        <v>68</v>
      </c>
      <c r="C302" s="47">
        <v>204.5</v>
      </c>
      <c r="D302" s="11">
        <v>202</v>
      </c>
      <c r="E302" s="11">
        <v>200</v>
      </c>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row>
    <row r="303" spans="1:44" ht="15.75" customHeight="1" x14ac:dyDescent="0.25">
      <c r="A303" s="49" t="s">
        <v>69</v>
      </c>
      <c r="B303" s="300"/>
      <c r="C303" s="50">
        <v>277.7</v>
      </c>
      <c r="D303" s="51">
        <v>274</v>
      </c>
      <c r="E303" s="51">
        <v>265</v>
      </c>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row>
    <row r="304" spans="1:44" ht="15.75" customHeight="1" x14ac:dyDescent="0.25">
      <c r="A304" s="44"/>
      <c r="B304" s="46"/>
      <c r="C304" s="46"/>
      <c r="D304" s="216"/>
      <c r="E304" s="216"/>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row>
    <row r="305" spans="1:44" ht="15.75" customHeight="1" x14ac:dyDescent="0.25">
      <c r="A305" s="9" t="s">
        <v>69</v>
      </c>
      <c r="B305" s="299" t="s">
        <v>71</v>
      </c>
      <c r="C305" s="47">
        <v>10.283300000000001</v>
      </c>
      <c r="D305" s="11">
        <v>7</v>
      </c>
      <c r="E305" s="11">
        <v>5</v>
      </c>
      <c r="F305" s="28"/>
      <c r="G305" s="28"/>
      <c r="H305" s="3"/>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row>
    <row r="306" spans="1:44" ht="15.75" customHeight="1" x14ac:dyDescent="0.25">
      <c r="A306" s="9" t="s">
        <v>72</v>
      </c>
      <c r="B306" s="300"/>
      <c r="C306" s="47">
        <v>11.8833</v>
      </c>
      <c r="D306" s="11">
        <v>12</v>
      </c>
      <c r="E306" s="11">
        <v>8</v>
      </c>
      <c r="F306" s="28"/>
      <c r="G306" s="28"/>
      <c r="H306" s="3"/>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row>
    <row r="307" spans="1:44" ht="15.75" customHeight="1" x14ac:dyDescent="0.25">
      <c r="A307" s="9" t="s">
        <v>73</v>
      </c>
      <c r="B307" s="301"/>
      <c r="C307" s="47">
        <v>17.433299999999999</v>
      </c>
      <c r="D307" s="11">
        <v>19</v>
      </c>
      <c r="E307" s="11">
        <v>16</v>
      </c>
      <c r="F307" s="28"/>
      <c r="G307" s="28"/>
      <c r="H307" s="3"/>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row>
    <row r="308" spans="1:44" ht="15.75" customHeight="1" x14ac:dyDescent="0.25">
      <c r="A308" s="41"/>
      <c r="B308" s="42"/>
      <c r="C308" s="69"/>
      <c r="D308" s="11"/>
      <c r="E308" s="11"/>
      <c r="F308" s="28"/>
      <c r="G308" s="28"/>
      <c r="H308" s="3"/>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row>
    <row r="309" spans="1:44" ht="15.75" customHeight="1" x14ac:dyDescent="0.25">
      <c r="A309" s="9" t="s">
        <v>76</v>
      </c>
      <c r="B309" s="302" t="s">
        <v>77</v>
      </c>
      <c r="C309" s="47">
        <v>117.467</v>
      </c>
      <c r="D309" s="11">
        <v>109</v>
      </c>
      <c r="E309" s="11">
        <v>216</v>
      </c>
      <c r="F309" s="28"/>
      <c r="G309" s="28"/>
      <c r="H309" s="3"/>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row>
    <row r="310" spans="1:44" ht="15.75" customHeight="1" x14ac:dyDescent="0.25">
      <c r="A310" s="9" t="s">
        <v>78</v>
      </c>
      <c r="B310" s="300"/>
      <c r="C310" s="47">
        <v>187.833</v>
      </c>
      <c r="D310" s="11">
        <v>180</v>
      </c>
      <c r="E310" s="11">
        <v>175</v>
      </c>
      <c r="F310" s="28"/>
      <c r="G310" s="28"/>
      <c r="H310" s="3"/>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row>
    <row r="311" spans="1:44" ht="15.75" customHeight="1" x14ac:dyDescent="0.25">
      <c r="A311" s="9" t="s">
        <v>79</v>
      </c>
      <c r="B311" s="300"/>
      <c r="C311" s="47">
        <v>218.333</v>
      </c>
      <c r="D311" s="11">
        <v>238</v>
      </c>
      <c r="E311" s="11">
        <v>238</v>
      </c>
      <c r="F311" s="28"/>
      <c r="G311" s="28"/>
      <c r="H311" s="3"/>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row>
    <row r="312" spans="1:44" ht="15.75" customHeight="1" x14ac:dyDescent="0.25">
      <c r="A312" s="49" t="s">
        <v>80</v>
      </c>
      <c r="B312" s="300"/>
      <c r="C312" s="50">
        <v>238.5</v>
      </c>
      <c r="D312" s="11">
        <v>217</v>
      </c>
      <c r="E312" s="11">
        <v>108</v>
      </c>
      <c r="F312" s="28"/>
      <c r="G312" s="28"/>
      <c r="H312" s="3"/>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row>
    <row r="313" spans="1:44" ht="15.75" customHeight="1" x14ac:dyDescent="0.25">
      <c r="A313" s="132"/>
      <c r="B313" s="133"/>
      <c r="C313" s="133"/>
      <c r="D313" s="244"/>
      <c r="E313" s="244"/>
      <c r="F313" s="28"/>
      <c r="G313" s="28"/>
      <c r="H313" s="3"/>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row>
    <row r="314" spans="1:44" ht="15.75" customHeight="1" x14ac:dyDescent="0.25">
      <c r="A314" s="9" t="s">
        <v>81</v>
      </c>
      <c r="B314" s="299" t="s">
        <v>82</v>
      </c>
      <c r="C314" s="47">
        <v>2</v>
      </c>
      <c r="D314" s="53">
        <v>1</v>
      </c>
      <c r="E314" s="53">
        <v>1</v>
      </c>
      <c r="F314" s="28"/>
      <c r="G314" s="28"/>
      <c r="H314" s="3"/>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row>
    <row r="315" spans="1:44" ht="15.75" customHeight="1" x14ac:dyDescent="0.25">
      <c r="A315" s="9" t="s">
        <v>83</v>
      </c>
      <c r="B315" s="300"/>
      <c r="C315" s="47">
        <v>7.133</v>
      </c>
      <c r="D315" s="54">
        <v>1</v>
      </c>
      <c r="E315" s="54">
        <v>1</v>
      </c>
      <c r="F315" s="28"/>
      <c r="G315" s="28"/>
      <c r="H315" s="3"/>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row>
    <row r="316" spans="1:44" ht="15.75" customHeight="1" x14ac:dyDescent="0.25">
      <c r="A316" s="9" t="s">
        <v>84</v>
      </c>
      <c r="B316" s="301"/>
      <c r="C316" s="47">
        <v>10.72</v>
      </c>
      <c r="D316" s="55">
        <v>1</v>
      </c>
      <c r="E316" s="55">
        <v>1</v>
      </c>
      <c r="F316" s="28"/>
      <c r="G316" s="28"/>
      <c r="H316" s="3"/>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row>
    <row r="317" spans="1:44" ht="15.75" customHeight="1" x14ac:dyDescent="0.25">
      <c r="A317" s="41"/>
      <c r="B317" s="42"/>
      <c r="C317" s="69"/>
      <c r="D317" s="11"/>
      <c r="E317" s="11"/>
      <c r="F317" s="28"/>
      <c r="G317" s="28"/>
      <c r="H317" s="3"/>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row>
    <row r="318" spans="1:44" ht="15.75" customHeight="1" x14ac:dyDescent="0.25">
      <c r="A318" s="9" t="s">
        <v>86</v>
      </c>
      <c r="B318" s="302" t="s">
        <v>87</v>
      </c>
      <c r="C318" s="47">
        <v>20.466999999999999</v>
      </c>
      <c r="D318" s="11">
        <v>11</v>
      </c>
      <c r="E318" s="11">
        <v>19</v>
      </c>
      <c r="F318" s="28"/>
      <c r="G318" s="28"/>
      <c r="H318" s="3"/>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row>
    <row r="319" spans="1:44" ht="15.75" customHeight="1" x14ac:dyDescent="0.25">
      <c r="A319" s="49" t="s">
        <v>88</v>
      </c>
      <c r="B319" s="300"/>
      <c r="C319" s="50">
        <v>20.367000000000001</v>
      </c>
      <c r="D319" s="51">
        <v>19</v>
      </c>
      <c r="E319" s="51">
        <v>19</v>
      </c>
      <c r="F319" s="28"/>
      <c r="G319" s="28"/>
      <c r="H319" s="3"/>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row>
    <row r="320" spans="1:44" ht="15.75" customHeight="1" x14ac:dyDescent="0.25">
      <c r="A320" s="44"/>
      <c r="B320" s="46"/>
      <c r="C320" s="46"/>
      <c r="D320" s="216"/>
      <c r="E320" s="216"/>
      <c r="F320" s="28"/>
      <c r="G320" s="28"/>
      <c r="H320" s="3"/>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row>
    <row r="321" spans="1:44" ht="15.75" customHeight="1" x14ac:dyDescent="0.25">
      <c r="A321" s="9" t="s">
        <v>89</v>
      </c>
      <c r="B321" s="299" t="s">
        <v>90</v>
      </c>
      <c r="C321" s="47">
        <v>5.15</v>
      </c>
      <c r="D321" s="11">
        <v>5</v>
      </c>
      <c r="E321" s="11">
        <v>2</v>
      </c>
      <c r="F321" s="28"/>
      <c r="G321" s="28"/>
      <c r="H321" s="3"/>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row>
    <row r="322" spans="1:44" ht="15.75" customHeight="1" x14ac:dyDescent="0.25">
      <c r="A322" s="49" t="s">
        <v>91</v>
      </c>
      <c r="B322" s="300"/>
      <c r="C322" s="50">
        <v>16.2</v>
      </c>
      <c r="D322" s="51">
        <v>24</v>
      </c>
      <c r="E322" s="51">
        <v>10</v>
      </c>
      <c r="F322" s="28"/>
      <c r="G322" s="28"/>
      <c r="H322" s="3"/>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row>
    <row r="323" spans="1:44" ht="15.75" customHeight="1" x14ac:dyDescent="0.25">
      <c r="A323" s="41"/>
      <c r="B323" s="42"/>
      <c r="C323" s="69"/>
      <c r="D323" s="201"/>
      <c r="E323" s="201"/>
      <c r="F323" s="28"/>
      <c r="G323" s="28"/>
      <c r="H323" s="3"/>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row>
    <row r="324" spans="1:44" ht="15.75" customHeight="1" x14ac:dyDescent="0.25">
      <c r="A324" s="9" t="s">
        <v>94</v>
      </c>
      <c r="B324" s="299" t="s">
        <v>95</v>
      </c>
      <c r="C324" s="47">
        <v>50.082999999999998</v>
      </c>
      <c r="D324" s="11">
        <v>35</v>
      </c>
      <c r="E324" s="11">
        <v>22</v>
      </c>
      <c r="F324" s="28"/>
      <c r="G324" s="28"/>
      <c r="H324" s="3"/>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row>
    <row r="325" spans="1:44" ht="15.75" customHeight="1" x14ac:dyDescent="0.25">
      <c r="A325" s="9" t="s">
        <v>96</v>
      </c>
      <c r="B325" s="300"/>
      <c r="C325" s="47">
        <v>93.992999999999995</v>
      </c>
      <c r="D325" s="11">
        <v>116</v>
      </c>
      <c r="E325" s="11">
        <v>116</v>
      </c>
      <c r="F325" s="28"/>
      <c r="G325" s="28"/>
      <c r="H325" s="3"/>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row>
    <row r="326" spans="1:44" ht="15.75" customHeight="1" x14ac:dyDescent="0.25">
      <c r="A326" s="9" t="s">
        <v>97</v>
      </c>
      <c r="B326" s="300"/>
      <c r="C326" s="47">
        <v>95.516999999999996</v>
      </c>
      <c r="D326" s="11">
        <v>112</v>
      </c>
      <c r="E326" s="11">
        <v>107</v>
      </c>
      <c r="F326" s="28"/>
      <c r="G326" s="28"/>
      <c r="H326" s="3"/>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row>
    <row r="327" spans="1:44" ht="15.75" customHeight="1" x14ac:dyDescent="0.25">
      <c r="A327" s="9" t="s">
        <v>98</v>
      </c>
      <c r="B327" s="300"/>
      <c r="C327" s="47">
        <v>100.92</v>
      </c>
      <c r="D327" s="11">
        <v>139</v>
      </c>
      <c r="E327" s="11">
        <v>123</v>
      </c>
      <c r="F327" s="28"/>
      <c r="G327" s="28"/>
      <c r="H327" s="3"/>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row>
    <row r="328" spans="1:44" ht="15.75" customHeight="1" x14ac:dyDescent="0.25">
      <c r="A328" s="9" t="s">
        <v>99</v>
      </c>
      <c r="B328" s="301"/>
      <c r="C328" s="47">
        <v>115.37</v>
      </c>
      <c r="D328" s="11">
        <v>131</v>
      </c>
      <c r="E328" s="11">
        <v>136</v>
      </c>
      <c r="F328" s="28"/>
      <c r="G328" s="28"/>
      <c r="H328" s="3"/>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row>
    <row r="329" spans="1:44" ht="15.75" customHeight="1" x14ac:dyDescent="0.25">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row>
    <row r="330" spans="1:44" ht="15.75" customHeight="1" x14ac:dyDescent="0.25">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row>
    <row r="331" spans="1:44" ht="15.75" customHeight="1" x14ac:dyDescent="0.2"/>
    <row r="332" spans="1:44" ht="15.75" customHeight="1" x14ac:dyDescent="0.25">
      <c r="A332" s="124">
        <v>43613</v>
      </c>
      <c r="B332" s="28"/>
      <c r="C332" s="28"/>
      <c r="D332" s="28"/>
      <c r="E332" s="28"/>
      <c r="F332" s="28"/>
      <c r="G332" s="28"/>
      <c r="H332" s="28"/>
      <c r="I332" s="28"/>
      <c r="J332" s="28"/>
      <c r="K332" s="28"/>
      <c r="L332" s="28"/>
    </row>
    <row r="333" spans="1:44" ht="15.75" customHeight="1" x14ac:dyDescent="0.25">
      <c r="A333" s="28" t="s">
        <v>1415</v>
      </c>
      <c r="B333" s="28"/>
      <c r="C333" s="28"/>
      <c r="D333" s="28"/>
      <c r="E333" s="28"/>
      <c r="F333" s="28"/>
      <c r="G333" s="28"/>
      <c r="H333" s="28"/>
      <c r="I333" s="28"/>
      <c r="J333" s="28"/>
      <c r="K333" s="28"/>
      <c r="L333" s="28"/>
    </row>
    <row r="334" spans="1:44" ht="15.75" customHeight="1" x14ac:dyDescent="0.25">
      <c r="A334" s="4" t="s">
        <v>0</v>
      </c>
      <c r="B334" s="5" t="s">
        <v>1</v>
      </c>
      <c r="C334" s="5" t="s">
        <v>42</v>
      </c>
      <c r="D334" s="5" t="s">
        <v>43</v>
      </c>
      <c r="E334" s="5" t="s">
        <v>44</v>
      </c>
      <c r="F334" s="28"/>
      <c r="G334" s="296" t="s">
        <v>45</v>
      </c>
      <c r="H334" s="297"/>
      <c r="I334" s="297"/>
      <c r="J334" s="298"/>
      <c r="K334" s="28"/>
      <c r="L334" s="28"/>
    </row>
    <row r="335" spans="1:44" ht="15.75" customHeight="1" x14ac:dyDescent="0.25">
      <c r="A335" s="310" t="s">
        <v>8</v>
      </c>
      <c r="B335" s="297"/>
      <c r="C335" s="297"/>
      <c r="D335" s="297"/>
      <c r="E335" s="298"/>
      <c r="F335" s="28"/>
      <c r="G335" s="305" t="s">
        <v>10</v>
      </c>
      <c r="H335" s="297"/>
      <c r="I335" s="297"/>
      <c r="J335" s="298"/>
      <c r="K335" s="28"/>
      <c r="L335" s="28"/>
    </row>
    <row r="336" spans="1:44" ht="15.75" customHeight="1" x14ac:dyDescent="0.25">
      <c r="A336" s="9" t="s">
        <v>11</v>
      </c>
      <c r="B336" s="12" t="s">
        <v>12</v>
      </c>
      <c r="C336" s="17"/>
      <c r="D336" s="22">
        <v>525</v>
      </c>
      <c r="E336" s="22">
        <v>530</v>
      </c>
      <c r="F336" s="28"/>
      <c r="G336" s="12"/>
      <c r="H336" s="12" t="s">
        <v>52</v>
      </c>
      <c r="I336" s="12" t="s">
        <v>53</v>
      </c>
      <c r="J336" s="12"/>
      <c r="K336" s="28"/>
      <c r="L336" s="28"/>
    </row>
    <row r="337" spans="1:44" ht="15.75" customHeight="1" x14ac:dyDescent="0.25">
      <c r="A337" s="9" t="s">
        <v>11</v>
      </c>
      <c r="B337" s="12" t="s">
        <v>18</v>
      </c>
      <c r="C337" s="17">
        <v>0</v>
      </c>
      <c r="D337" s="22">
        <v>0</v>
      </c>
      <c r="E337" s="11">
        <v>0</v>
      </c>
      <c r="F337" s="28"/>
      <c r="G337" s="12" t="s">
        <v>12</v>
      </c>
      <c r="H337" s="11">
        <v>470</v>
      </c>
      <c r="I337" s="11">
        <v>515</v>
      </c>
      <c r="J337" s="17" t="s">
        <v>1421</v>
      </c>
      <c r="K337" s="28"/>
      <c r="L337" s="28"/>
    </row>
    <row r="338" spans="1:44" ht="15.75" customHeight="1" x14ac:dyDescent="0.25">
      <c r="A338" s="9" t="s">
        <v>21</v>
      </c>
      <c r="B338" s="12" t="s">
        <v>59</v>
      </c>
      <c r="C338" s="17">
        <v>440</v>
      </c>
      <c r="D338" s="22">
        <v>402</v>
      </c>
      <c r="E338" s="11">
        <v>441</v>
      </c>
      <c r="F338" s="28"/>
      <c r="G338" s="12" t="s">
        <v>18</v>
      </c>
      <c r="H338" s="17">
        <v>0</v>
      </c>
      <c r="I338" s="11">
        <v>0</v>
      </c>
      <c r="J338" s="17" t="s">
        <v>1423</v>
      </c>
      <c r="K338" s="28"/>
      <c r="L338" s="28"/>
    </row>
    <row r="339" spans="1:44" ht="15.75" customHeight="1" x14ac:dyDescent="0.25">
      <c r="A339" s="9" t="s">
        <v>21</v>
      </c>
      <c r="B339" s="12" t="s">
        <v>63</v>
      </c>
      <c r="C339" s="17">
        <v>160</v>
      </c>
      <c r="D339" s="22">
        <v>138</v>
      </c>
      <c r="E339" s="22">
        <v>165</v>
      </c>
      <c r="F339" s="28"/>
      <c r="G339" s="305" t="s">
        <v>23</v>
      </c>
      <c r="H339" s="297"/>
      <c r="I339" s="297"/>
      <c r="J339" s="298"/>
      <c r="K339" s="28"/>
      <c r="L339" s="28"/>
    </row>
    <row r="340" spans="1:44" ht="15.75" customHeight="1" x14ac:dyDescent="0.25">
      <c r="A340" s="9" t="s">
        <v>21</v>
      </c>
      <c r="B340" s="12" t="s">
        <v>218</v>
      </c>
      <c r="C340" s="17">
        <v>0</v>
      </c>
      <c r="D340" s="22">
        <v>0</v>
      </c>
      <c r="E340" s="11">
        <v>0</v>
      </c>
      <c r="F340" s="28"/>
      <c r="G340" s="12" t="s">
        <v>12</v>
      </c>
      <c r="H340" s="11">
        <v>450</v>
      </c>
      <c r="I340" s="11">
        <v>490</v>
      </c>
      <c r="J340" s="17" t="s">
        <v>1427</v>
      </c>
      <c r="K340" s="28"/>
      <c r="L340" s="28"/>
    </row>
    <row r="341" spans="1:44" ht="15.75" customHeight="1" x14ac:dyDescent="0.25">
      <c r="A341" s="310" t="s">
        <v>29</v>
      </c>
      <c r="B341" s="297"/>
      <c r="C341" s="297"/>
      <c r="D341" s="297"/>
      <c r="E341" s="298"/>
      <c r="F341" s="28"/>
      <c r="G341" s="12" t="s">
        <v>18</v>
      </c>
      <c r="H341" s="17">
        <v>0</v>
      </c>
      <c r="I341" s="11">
        <v>0</v>
      </c>
      <c r="J341" s="17" t="s">
        <v>1429</v>
      </c>
      <c r="K341" s="28"/>
      <c r="L341" s="28"/>
    </row>
    <row r="342" spans="1:44" ht="15.75" customHeight="1" x14ac:dyDescent="0.25">
      <c r="A342" s="9" t="s">
        <v>11</v>
      </c>
      <c r="B342" s="12" t="s">
        <v>12</v>
      </c>
      <c r="C342" s="17"/>
      <c r="D342" s="22">
        <v>498</v>
      </c>
      <c r="E342" s="22">
        <v>500</v>
      </c>
      <c r="F342" s="28"/>
      <c r="G342" s="28"/>
      <c r="H342" s="28"/>
      <c r="I342" s="28"/>
      <c r="J342" s="28"/>
      <c r="K342" s="28"/>
      <c r="L342" s="28"/>
    </row>
    <row r="343" spans="1:44" ht="15.75" customHeight="1" x14ac:dyDescent="0.25">
      <c r="A343" s="9" t="s">
        <v>11</v>
      </c>
      <c r="B343" s="12" t="s">
        <v>18</v>
      </c>
      <c r="C343" s="17">
        <v>0</v>
      </c>
      <c r="D343" s="22">
        <v>0</v>
      </c>
      <c r="E343" s="22">
        <v>0</v>
      </c>
      <c r="F343" s="28"/>
      <c r="G343" s="204">
        <v>100</v>
      </c>
      <c r="H343" s="204">
        <v>75</v>
      </c>
      <c r="I343" s="204">
        <v>85</v>
      </c>
      <c r="J343" s="27" t="s">
        <v>1272</v>
      </c>
      <c r="K343" s="204" t="s">
        <v>1273</v>
      </c>
      <c r="L343" s="204" t="s">
        <v>1274</v>
      </c>
    </row>
    <row r="344" spans="1:44" ht="15.75" customHeight="1" x14ac:dyDescent="0.25">
      <c r="A344" s="9" t="s">
        <v>21</v>
      </c>
      <c r="B344" s="12" t="s">
        <v>59</v>
      </c>
      <c r="C344" s="17">
        <v>420</v>
      </c>
      <c r="D344" s="22">
        <v>393</v>
      </c>
      <c r="E344" s="22">
        <v>415</v>
      </c>
      <c r="F344" s="28">
        <v>394</v>
      </c>
      <c r="G344" s="28">
        <v>420</v>
      </c>
      <c r="H344" s="28">
        <v>413</v>
      </c>
      <c r="I344" s="28">
        <v>400</v>
      </c>
      <c r="J344" s="28">
        <v>400</v>
      </c>
      <c r="K344" s="28">
        <v>410</v>
      </c>
      <c r="L344" s="28">
        <v>416</v>
      </c>
    </row>
    <row r="345" spans="1:44" ht="15.75" customHeight="1" x14ac:dyDescent="0.25">
      <c r="A345" s="9" t="s">
        <v>21</v>
      </c>
      <c r="B345" s="12" t="s">
        <v>63</v>
      </c>
      <c r="C345" s="17">
        <v>140</v>
      </c>
      <c r="D345" s="22">
        <v>135</v>
      </c>
      <c r="E345" s="22">
        <v>152</v>
      </c>
      <c r="F345" s="28">
        <v>124</v>
      </c>
      <c r="G345" s="28">
        <v>131</v>
      </c>
      <c r="H345" s="28">
        <v>130</v>
      </c>
      <c r="I345" s="28">
        <v>123</v>
      </c>
      <c r="J345" s="28">
        <v>133</v>
      </c>
      <c r="K345" s="28">
        <v>143</v>
      </c>
      <c r="L345" s="28">
        <v>154</v>
      </c>
    </row>
    <row r="346" spans="1:44" ht="15.75" customHeight="1" x14ac:dyDescent="0.25">
      <c r="A346" s="9" t="s">
        <v>21</v>
      </c>
      <c r="B346" s="12" t="s">
        <v>218</v>
      </c>
      <c r="C346" s="17">
        <v>0</v>
      </c>
      <c r="D346" s="22">
        <v>0</v>
      </c>
      <c r="E346" s="11">
        <v>0</v>
      </c>
      <c r="F346" s="28"/>
      <c r="G346" s="28"/>
      <c r="H346" s="28"/>
      <c r="I346" s="28"/>
      <c r="J346" s="28"/>
      <c r="K346" s="28"/>
      <c r="L346" s="28"/>
    </row>
    <row r="347" spans="1:44" ht="15.75" customHeight="1" x14ac:dyDescent="0.25">
      <c r="A347" s="28"/>
      <c r="B347" s="28"/>
      <c r="C347" s="28"/>
      <c r="D347" s="28"/>
      <c r="E347" s="28"/>
      <c r="F347" s="28"/>
      <c r="G347" s="28"/>
      <c r="H347" s="28"/>
      <c r="I347" s="28"/>
      <c r="J347" s="28"/>
      <c r="K347" s="28"/>
      <c r="L347" s="28"/>
    </row>
    <row r="348" spans="1:44" ht="15.75" customHeight="1" x14ac:dyDescent="0.2"/>
    <row r="349" spans="1:44" ht="15.75" customHeight="1" x14ac:dyDescent="0.2"/>
    <row r="350" spans="1:44" ht="15.75" customHeight="1" x14ac:dyDescent="0.25">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row>
    <row r="351" spans="1:44" ht="15.75" customHeight="1" x14ac:dyDescent="0.25">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row>
    <row r="352" spans="1:44" ht="15.75" customHeight="1" x14ac:dyDescent="0.25">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row>
    <row r="353" spans="1:44" ht="15.75" customHeight="1" x14ac:dyDescent="0.25">
      <c r="A353" s="28" t="s">
        <v>1226</v>
      </c>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row>
    <row r="354" spans="1:44" ht="15.75" customHeight="1" x14ac:dyDescent="0.25">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row>
    <row r="355" spans="1:44" ht="15.75" customHeight="1" x14ac:dyDescent="0.25">
      <c r="A355" s="304" t="s">
        <v>633</v>
      </c>
      <c r="B355" s="297"/>
      <c r="C355" s="358">
        <v>43454</v>
      </c>
      <c r="D355" s="297"/>
      <c r="E355" s="298"/>
      <c r="F355" s="28"/>
      <c r="G355" s="28"/>
      <c r="H355" s="3"/>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row>
    <row r="356" spans="1:44" ht="15.75" customHeight="1" x14ac:dyDescent="0.25">
      <c r="A356" s="4" t="s">
        <v>0</v>
      </c>
      <c r="B356" s="5" t="s">
        <v>1</v>
      </c>
      <c r="C356" s="5" t="s">
        <v>2</v>
      </c>
      <c r="D356" s="5" t="s">
        <v>43</v>
      </c>
      <c r="E356" s="45" t="s">
        <v>125</v>
      </c>
      <c r="F356" s="28"/>
      <c r="G356" s="296" t="s">
        <v>6</v>
      </c>
      <c r="H356" s="297"/>
      <c r="I356" s="297"/>
      <c r="J356" s="297"/>
      <c r="K356" s="297"/>
      <c r="L356" s="29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row>
    <row r="357" spans="1:44" ht="15.75" customHeight="1" x14ac:dyDescent="0.25">
      <c r="A357" s="9" t="s">
        <v>7</v>
      </c>
      <c r="B357" s="302" t="s">
        <v>9</v>
      </c>
      <c r="C357" s="47">
        <v>28.1</v>
      </c>
      <c r="D357" s="11">
        <v>23</v>
      </c>
      <c r="E357" s="11">
        <v>26</v>
      </c>
      <c r="F357" s="28"/>
      <c r="G357" s="296" t="s">
        <v>106</v>
      </c>
      <c r="H357" s="297"/>
      <c r="I357" s="298"/>
      <c r="J357" s="296" t="s">
        <v>107</v>
      </c>
      <c r="K357" s="297"/>
      <c r="L357" s="29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row>
    <row r="358" spans="1:44" ht="15.75" customHeight="1" x14ac:dyDescent="0.25">
      <c r="A358" s="9" t="s">
        <v>17</v>
      </c>
      <c r="B358" s="300"/>
      <c r="C358" s="47">
        <v>63.911000000000001</v>
      </c>
      <c r="D358" s="11">
        <v>46</v>
      </c>
      <c r="E358" s="11">
        <v>53</v>
      </c>
      <c r="F358" s="28"/>
      <c r="G358" s="13" t="s">
        <v>13</v>
      </c>
      <c r="H358" s="39">
        <f>H360+H360*0.05</f>
        <v>781.2</v>
      </c>
      <c r="I358" s="17" t="s">
        <v>1436</v>
      </c>
      <c r="J358" s="13" t="s">
        <v>13</v>
      </c>
      <c r="K358" s="39">
        <f>K360+K360*0.05</f>
        <v>798</v>
      </c>
      <c r="L358" s="17" t="s">
        <v>1437</v>
      </c>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row>
    <row r="359" spans="1:44" ht="15.75" customHeight="1" x14ac:dyDescent="0.25">
      <c r="A359" s="9" t="s">
        <v>26</v>
      </c>
      <c r="B359" s="300"/>
      <c r="C359" s="47">
        <v>69.921999999999997</v>
      </c>
      <c r="D359" s="11">
        <v>68</v>
      </c>
      <c r="E359" s="11">
        <v>78</v>
      </c>
      <c r="F359" s="28"/>
      <c r="G359" s="13" t="s">
        <v>19</v>
      </c>
      <c r="H359" s="40">
        <f>H360-H360*0.05</f>
        <v>706.8</v>
      </c>
      <c r="I359" s="17" t="s">
        <v>1438</v>
      </c>
      <c r="J359" s="13" t="s">
        <v>19</v>
      </c>
      <c r="K359" s="40">
        <f>K360-K360*0.05</f>
        <v>722</v>
      </c>
      <c r="L359" s="17" t="s">
        <v>1439</v>
      </c>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row>
    <row r="360" spans="1:44" ht="15.75" customHeight="1" x14ac:dyDescent="0.25">
      <c r="A360" s="9" t="s">
        <v>32</v>
      </c>
      <c r="B360" s="300"/>
      <c r="C360" s="47">
        <v>96.744</v>
      </c>
      <c r="D360" s="11">
        <v>95</v>
      </c>
      <c r="E360" s="11">
        <v>96</v>
      </c>
      <c r="F360" s="28"/>
      <c r="G360" s="13" t="s">
        <v>27</v>
      </c>
      <c r="H360" s="20">
        <v>744</v>
      </c>
      <c r="I360" s="17" t="s">
        <v>1440</v>
      </c>
      <c r="J360" s="13" t="s">
        <v>27</v>
      </c>
      <c r="K360" s="20">
        <v>760</v>
      </c>
      <c r="L360" s="17" t="s">
        <v>1441</v>
      </c>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row>
    <row r="361" spans="1:44" ht="15.75" customHeight="1" x14ac:dyDescent="0.25">
      <c r="A361" s="9" t="s">
        <v>33</v>
      </c>
      <c r="B361" s="301"/>
      <c r="C361" s="47">
        <v>128.11000000000001</v>
      </c>
      <c r="D361" s="11">
        <v>123</v>
      </c>
      <c r="E361" s="11">
        <v>124</v>
      </c>
      <c r="F361" s="28"/>
      <c r="G361" s="13" t="s">
        <v>121</v>
      </c>
      <c r="H361" s="20">
        <v>725</v>
      </c>
      <c r="I361" s="17" t="s">
        <v>1443</v>
      </c>
      <c r="J361" s="13" t="s">
        <v>121</v>
      </c>
      <c r="K361" s="20">
        <v>757</v>
      </c>
      <c r="L361" s="17" t="s">
        <v>1444</v>
      </c>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row>
    <row r="362" spans="1:44" ht="15.75" customHeight="1" x14ac:dyDescent="0.25">
      <c r="A362" s="41"/>
      <c r="B362" s="42"/>
      <c r="C362" s="69"/>
      <c r="D362" s="11"/>
      <c r="E362" s="11"/>
      <c r="F362" s="28"/>
      <c r="G362" s="28"/>
      <c r="H362" s="3"/>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row>
    <row r="363" spans="1:44" ht="15.75" customHeight="1" x14ac:dyDescent="0.25">
      <c r="A363" s="9" t="s">
        <v>35</v>
      </c>
      <c r="B363" s="302" t="s">
        <v>36</v>
      </c>
      <c r="C363" s="47">
        <v>207.78</v>
      </c>
      <c r="D363" s="11">
        <v>223</v>
      </c>
      <c r="E363" s="11">
        <v>211</v>
      </c>
      <c r="F363" s="28"/>
      <c r="G363" s="31"/>
      <c r="H363" s="3"/>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row>
    <row r="364" spans="1:44" ht="15.75" customHeight="1" x14ac:dyDescent="0.25">
      <c r="A364" s="9" t="s">
        <v>37</v>
      </c>
      <c r="B364" s="300"/>
      <c r="C364" s="47">
        <v>444.11</v>
      </c>
      <c r="D364" s="11">
        <v>354</v>
      </c>
      <c r="E364" s="11">
        <v>341</v>
      </c>
      <c r="F364" s="28"/>
      <c r="G364" s="31"/>
      <c r="H364" s="3"/>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row>
    <row r="365" spans="1:44" ht="15.75" customHeight="1" x14ac:dyDescent="0.25">
      <c r="A365" s="9" t="s">
        <v>38</v>
      </c>
      <c r="B365" s="300"/>
      <c r="C365" s="47">
        <v>579.55999999999995</v>
      </c>
      <c r="D365" s="11">
        <v>557</v>
      </c>
      <c r="E365" s="11">
        <v>553</v>
      </c>
      <c r="F365" s="28"/>
      <c r="G365" s="31"/>
      <c r="H365" s="3"/>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row>
    <row r="366" spans="1:44" ht="15.75" customHeight="1" x14ac:dyDescent="0.25">
      <c r="A366" s="9" t="s">
        <v>39</v>
      </c>
      <c r="B366" s="300"/>
      <c r="C366" s="47">
        <v>746.22</v>
      </c>
      <c r="D366" s="11">
        <v>580</v>
      </c>
      <c r="E366" s="11">
        <v>528</v>
      </c>
      <c r="F366" s="28"/>
      <c r="G366" s="31"/>
      <c r="H366" s="3"/>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row>
    <row r="367" spans="1:44" ht="15.75" customHeight="1" x14ac:dyDescent="0.25">
      <c r="A367" s="49" t="s">
        <v>41</v>
      </c>
      <c r="B367" s="300"/>
      <c r="C367" s="50">
        <v>869.5</v>
      </c>
      <c r="D367" s="51">
        <v>759</v>
      </c>
      <c r="E367" s="51">
        <v>812</v>
      </c>
      <c r="F367" s="28"/>
      <c r="G367" s="31"/>
      <c r="H367" s="3"/>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row>
    <row r="368" spans="1:44" ht="15.75" customHeight="1" x14ac:dyDescent="0.25">
      <c r="A368" s="79"/>
      <c r="B368" s="81"/>
      <c r="C368" s="81"/>
      <c r="D368" s="215"/>
      <c r="E368" s="215"/>
      <c r="F368" s="28"/>
      <c r="G368" s="28"/>
      <c r="H368" s="3"/>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row>
    <row r="369" spans="1:44" ht="15.75" customHeight="1" x14ac:dyDescent="0.25">
      <c r="A369" s="9" t="s">
        <v>46</v>
      </c>
      <c r="B369" s="299" t="s">
        <v>47</v>
      </c>
      <c r="C369" s="47">
        <v>88.4</v>
      </c>
      <c r="D369" s="11">
        <v>87</v>
      </c>
      <c r="E369" s="11">
        <v>86</v>
      </c>
      <c r="F369" s="28"/>
      <c r="G369" s="202"/>
      <c r="H369" s="202"/>
      <c r="I369" s="202"/>
      <c r="J369" s="202"/>
      <c r="K369" s="202"/>
      <c r="L369" s="202"/>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row>
    <row r="370" spans="1:44" ht="15.75" customHeight="1" x14ac:dyDescent="0.25">
      <c r="A370" s="9" t="s">
        <v>48</v>
      </c>
      <c r="B370" s="300"/>
      <c r="C370" s="47">
        <v>94.6</v>
      </c>
      <c r="D370" s="11">
        <v>88</v>
      </c>
      <c r="E370" s="11">
        <v>90</v>
      </c>
      <c r="F370" s="28"/>
      <c r="G370" s="202"/>
      <c r="H370" s="202"/>
      <c r="I370" s="202"/>
      <c r="J370" s="27"/>
      <c r="K370" s="27"/>
      <c r="L370" s="1"/>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row>
    <row r="371" spans="1:44" ht="15.75" customHeight="1" x14ac:dyDescent="0.25">
      <c r="A371" s="41"/>
      <c r="B371" s="42"/>
      <c r="C371" s="69"/>
      <c r="D371" s="11"/>
      <c r="E371" s="11"/>
      <c r="F371" s="28"/>
      <c r="G371" s="28"/>
      <c r="H371" s="28"/>
      <c r="I371" s="28"/>
      <c r="J371" s="43"/>
      <c r="K371" s="234"/>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row>
    <row r="372" spans="1:44" ht="15.75" customHeight="1" x14ac:dyDescent="0.25">
      <c r="A372" s="9" t="s">
        <v>50</v>
      </c>
      <c r="B372" s="302" t="s">
        <v>51</v>
      </c>
      <c r="C372" s="47">
        <v>271.44400000000002</v>
      </c>
      <c r="D372" s="11">
        <v>281</v>
      </c>
      <c r="E372" s="11">
        <v>239</v>
      </c>
      <c r="F372" s="28"/>
      <c r="G372" s="28"/>
      <c r="H372" s="28"/>
      <c r="I372" s="28"/>
      <c r="J372" s="234"/>
      <c r="K372" s="234"/>
      <c r="L372" s="234"/>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row>
    <row r="373" spans="1:44" ht="15.75" customHeight="1" x14ac:dyDescent="0.25">
      <c r="A373" s="9" t="s">
        <v>54</v>
      </c>
      <c r="B373" s="300"/>
      <c r="C373" s="47">
        <v>550.22199999999998</v>
      </c>
      <c r="D373" s="11">
        <v>486</v>
      </c>
      <c r="E373" s="11">
        <v>462</v>
      </c>
      <c r="F373" s="28"/>
      <c r="G373" s="28"/>
      <c r="H373" s="28"/>
      <c r="I373" s="28"/>
      <c r="J373" s="234"/>
      <c r="K373" s="28"/>
      <c r="L373" s="234"/>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row>
    <row r="374" spans="1:44" ht="15.75" customHeight="1" x14ac:dyDescent="0.25">
      <c r="A374" s="9" t="s">
        <v>55</v>
      </c>
      <c r="B374" s="300"/>
      <c r="C374" s="47">
        <v>609</v>
      </c>
      <c r="D374" s="11">
        <v>592</v>
      </c>
      <c r="E374" s="11">
        <v>672</v>
      </c>
      <c r="F374" s="28"/>
      <c r="G374" s="28"/>
      <c r="H374" s="28"/>
      <c r="I374" s="28"/>
      <c r="J374" s="234"/>
      <c r="K374" s="234"/>
      <c r="L374" s="234"/>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row>
    <row r="375" spans="1:44" ht="15.75" customHeight="1" x14ac:dyDescent="0.25">
      <c r="A375" s="9" t="s">
        <v>56</v>
      </c>
      <c r="B375" s="300"/>
      <c r="C375" s="47">
        <v>739.11099999999999</v>
      </c>
      <c r="D375" s="11">
        <v>754</v>
      </c>
      <c r="E375" s="11">
        <v>750</v>
      </c>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row>
    <row r="376" spans="1:44" ht="15.75" customHeight="1" x14ac:dyDescent="0.25">
      <c r="A376" s="49" t="s">
        <v>57</v>
      </c>
      <c r="B376" s="300"/>
      <c r="C376" s="50">
        <v>746.88900000000001</v>
      </c>
      <c r="D376" s="11">
        <v>754</v>
      </c>
      <c r="E376" s="11">
        <v>723</v>
      </c>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row>
    <row r="377" spans="1:44" ht="15.75" customHeight="1" x14ac:dyDescent="0.25">
      <c r="A377" s="130"/>
      <c r="B377" s="131"/>
      <c r="C377" s="131"/>
      <c r="D377" s="243"/>
      <c r="E377" s="243"/>
      <c r="F377" s="28"/>
      <c r="G377" s="28"/>
      <c r="H377" s="28"/>
      <c r="I377" s="28"/>
      <c r="J377" s="234"/>
      <c r="K377" s="234"/>
      <c r="L377" s="234"/>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row>
    <row r="378" spans="1:44" ht="15.75" customHeight="1" x14ac:dyDescent="0.25">
      <c r="A378" s="9" t="s">
        <v>60</v>
      </c>
      <c r="B378" s="299" t="s">
        <v>62</v>
      </c>
      <c r="C378" s="47">
        <v>19.36</v>
      </c>
      <c r="D378" s="11">
        <v>10</v>
      </c>
      <c r="E378" s="11">
        <v>10</v>
      </c>
      <c r="F378" s="28"/>
      <c r="G378" s="28"/>
      <c r="H378" s="28"/>
      <c r="I378" s="28"/>
      <c r="J378" s="234"/>
      <c r="K378" s="234"/>
      <c r="L378" s="234"/>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row>
    <row r="379" spans="1:44" ht="15.75" customHeight="1" x14ac:dyDescent="0.25">
      <c r="A379" s="9" t="s">
        <v>64</v>
      </c>
      <c r="B379" s="300"/>
      <c r="C379" s="47">
        <v>33.31</v>
      </c>
      <c r="D379" s="11">
        <v>37</v>
      </c>
      <c r="E379" s="11">
        <v>37</v>
      </c>
      <c r="F379" s="28"/>
      <c r="G379" s="28"/>
      <c r="H379" s="28"/>
      <c r="I379" s="28"/>
      <c r="J379" s="234"/>
      <c r="K379" s="234"/>
      <c r="L379" s="234"/>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row>
    <row r="380" spans="1:44" ht="15.75" customHeight="1" x14ac:dyDescent="0.25">
      <c r="A380" s="9" t="s">
        <v>65</v>
      </c>
      <c r="B380" s="301"/>
      <c r="C380" s="47">
        <v>41.74</v>
      </c>
      <c r="D380" s="11">
        <v>60</v>
      </c>
      <c r="E380" s="11">
        <v>60</v>
      </c>
      <c r="F380" s="28"/>
      <c r="G380" s="28"/>
      <c r="H380" s="28"/>
      <c r="I380" s="28"/>
      <c r="J380" s="234"/>
      <c r="K380" s="234"/>
      <c r="L380" s="234"/>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row>
    <row r="381" spans="1:44" ht="15.75" customHeight="1" x14ac:dyDescent="0.25">
      <c r="A381" s="41"/>
      <c r="B381" s="42"/>
      <c r="C381" s="69"/>
      <c r="D381" s="11"/>
      <c r="E381" s="11"/>
      <c r="F381" s="28"/>
      <c r="G381" s="28"/>
      <c r="H381" s="28"/>
      <c r="I381" s="28"/>
      <c r="J381" s="234"/>
      <c r="K381" s="234"/>
      <c r="L381" s="234"/>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row>
    <row r="382" spans="1:44" ht="15.75" customHeight="1" x14ac:dyDescent="0.25">
      <c r="A382" s="9" t="s">
        <v>66</v>
      </c>
      <c r="B382" s="302" t="s">
        <v>68</v>
      </c>
      <c r="C382" s="47">
        <v>204.5</v>
      </c>
      <c r="D382" s="11">
        <v>200</v>
      </c>
      <c r="E382" s="11">
        <v>200</v>
      </c>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row>
    <row r="383" spans="1:44" ht="15.75" customHeight="1" x14ac:dyDescent="0.25">
      <c r="A383" s="49" t="s">
        <v>69</v>
      </c>
      <c r="B383" s="300"/>
      <c r="C383" s="50">
        <v>277.7</v>
      </c>
      <c r="D383" s="51">
        <v>265</v>
      </c>
      <c r="E383" s="51">
        <v>265</v>
      </c>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row>
    <row r="384" spans="1:44" ht="15.75" customHeight="1" x14ac:dyDescent="0.25">
      <c r="A384" s="44"/>
      <c r="B384" s="46"/>
      <c r="C384" s="46"/>
      <c r="D384" s="216"/>
      <c r="E384" s="216"/>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row>
    <row r="385" spans="1:44" ht="15.75" customHeight="1" x14ac:dyDescent="0.25">
      <c r="A385" s="9" t="s">
        <v>69</v>
      </c>
      <c r="B385" s="299" t="s">
        <v>71</v>
      </c>
      <c r="C385" s="47">
        <v>10.283300000000001</v>
      </c>
      <c r="D385" s="11">
        <v>5</v>
      </c>
      <c r="E385" s="11">
        <v>5</v>
      </c>
      <c r="F385" s="28"/>
      <c r="G385" s="28"/>
      <c r="H385" s="3"/>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row>
    <row r="386" spans="1:44" ht="15.75" customHeight="1" x14ac:dyDescent="0.25">
      <c r="A386" s="9" t="s">
        <v>72</v>
      </c>
      <c r="B386" s="300"/>
      <c r="C386" s="47">
        <v>11.8833</v>
      </c>
      <c r="D386" s="11">
        <v>8</v>
      </c>
      <c r="E386" s="11">
        <v>8</v>
      </c>
      <c r="F386" s="28"/>
      <c r="G386" s="28"/>
      <c r="H386" s="3"/>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row>
    <row r="387" spans="1:44" ht="15.75" customHeight="1" x14ac:dyDescent="0.25">
      <c r="A387" s="9" t="s">
        <v>73</v>
      </c>
      <c r="B387" s="301"/>
      <c r="C387" s="47">
        <v>17.433299999999999</v>
      </c>
      <c r="D387" s="11">
        <v>16</v>
      </c>
      <c r="E387" s="11">
        <v>16</v>
      </c>
      <c r="F387" s="28"/>
      <c r="G387" s="28"/>
      <c r="H387" s="3"/>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row>
    <row r="388" spans="1:44" ht="15.75" customHeight="1" x14ac:dyDescent="0.25">
      <c r="A388" s="41"/>
      <c r="B388" s="42"/>
      <c r="C388" s="69"/>
      <c r="D388" s="11"/>
      <c r="E388" s="11"/>
      <c r="F388" s="28"/>
      <c r="G388" s="28"/>
      <c r="H388" s="3"/>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row>
    <row r="389" spans="1:44" ht="15.75" customHeight="1" x14ac:dyDescent="0.25">
      <c r="A389" s="9" t="s">
        <v>76</v>
      </c>
      <c r="B389" s="302" t="s">
        <v>77</v>
      </c>
      <c r="C389" s="47">
        <v>117.467</v>
      </c>
      <c r="D389" s="11">
        <v>216</v>
      </c>
      <c r="E389" s="11">
        <v>216</v>
      </c>
      <c r="F389" s="28"/>
      <c r="G389" s="28"/>
      <c r="H389" s="3"/>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8"/>
    </row>
    <row r="390" spans="1:44" ht="15.75" customHeight="1" x14ac:dyDescent="0.25">
      <c r="A390" s="9" t="s">
        <v>78</v>
      </c>
      <c r="B390" s="300"/>
      <c r="C390" s="47">
        <v>187.833</v>
      </c>
      <c r="D390" s="11">
        <v>175</v>
      </c>
      <c r="E390" s="11">
        <v>175</v>
      </c>
      <c r="F390" s="28"/>
      <c r="G390" s="28"/>
      <c r="H390" s="3"/>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row>
    <row r="391" spans="1:44" ht="15.75" customHeight="1" x14ac:dyDescent="0.25">
      <c r="A391" s="9" t="s">
        <v>79</v>
      </c>
      <c r="B391" s="300"/>
      <c r="C391" s="47">
        <v>218.333</v>
      </c>
      <c r="D391" s="11">
        <v>238</v>
      </c>
      <c r="E391" s="11">
        <v>238</v>
      </c>
      <c r="F391" s="28"/>
      <c r="G391" s="28"/>
      <c r="H391" s="3"/>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8"/>
      <c r="AR391" s="28"/>
    </row>
    <row r="392" spans="1:44" ht="15.75" customHeight="1" x14ac:dyDescent="0.25">
      <c r="A392" s="49" t="s">
        <v>80</v>
      </c>
      <c r="B392" s="300"/>
      <c r="C392" s="50">
        <v>238.5</v>
      </c>
      <c r="D392" s="11">
        <v>108</v>
      </c>
      <c r="E392" s="11">
        <v>108</v>
      </c>
      <c r="F392" s="28"/>
      <c r="G392" s="28"/>
      <c r="H392" s="3"/>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row>
    <row r="393" spans="1:44" ht="15.75" customHeight="1" x14ac:dyDescent="0.25">
      <c r="A393" s="132"/>
      <c r="B393" s="133"/>
      <c r="C393" s="133"/>
      <c r="D393" s="244"/>
      <c r="E393" s="244"/>
      <c r="F393" s="28"/>
      <c r="G393" s="28"/>
      <c r="H393" s="3"/>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row>
    <row r="394" spans="1:44" ht="15.75" customHeight="1" x14ac:dyDescent="0.25">
      <c r="A394" s="9" t="s">
        <v>81</v>
      </c>
      <c r="B394" s="299" t="s">
        <v>82</v>
      </c>
      <c r="C394" s="47">
        <v>2</v>
      </c>
      <c r="D394" s="53">
        <v>1</v>
      </c>
      <c r="E394" s="53">
        <v>1</v>
      </c>
      <c r="F394" s="28"/>
      <c r="G394" s="28"/>
      <c r="H394" s="3"/>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row>
    <row r="395" spans="1:44" ht="15.75" customHeight="1" x14ac:dyDescent="0.25">
      <c r="A395" s="9" t="s">
        <v>83</v>
      </c>
      <c r="B395" s="300"/>
      <c r="C395" s="47">
        <v>7.133</v>
      </c>
      <c r="D395" s="54">
        <v>1</v>
      </c>
      <c r="E395" s="54">
        <v>1</v>
      </c>
      <c r="F395" s="28"/>
      <c r="G395" s="28"/>
      <c r="H395" s="3"/>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row>
    <row r="396" spans="1:44" ht="15.75" customHeight="1" x14ac:dyDescent="0.25">
      <c r="A396" s="9" t="s">
        <v>84</v>
      </c>
      <c r="B396" s="301"/>
      <c r="C396" s="47">
        <v>10.72</v>
      </c>
      <c r="D396" s="55">
        <v>1</v>
      </c>
      <c r="E396" s="55">
        <v>1</v>
      </c>
      <c r="F396" s="28"/>
      <c r="G396" s="28"/>
      <c r="H396" s="3"/>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row>
    <row r="397" spans="1:44" ht="15.75" customHeight="1" x14ac:dyDescent="0.25">
      <c r="A397" s="41"/>
      <c r="B397" s="42"/>
      <c r="C397" s="69"/>
      <c r="D397" s="11"/>
      <c r="E397" s="11"/>
      <c r="F397" s="28"/>
      <c r="G397" s="28"/>
      <c r="H397" s="3"/>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row>
    <row r="398" spans="1:44" ht="15.75" customHeight="1" x14ac:dyDescent="0.25">
      <c r="A398" s="9" t="s">
        <v>86</v>
      </c>
      <c r="B398" s="302" t="s">
        <v>87</v>
      </c>
      <c r="C398" s="47">
        <v>20.466999999999999</v>
      </c>
      <c r="D398" s="11">
        <v>19</v>
      </c>
      <c r="E398" s="11">
        <v>19</v>
      </c>
      <c r="F398" s="28"/>
      <c r="G398" s="28"/>
      <c r="H398" s="3"/>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row>
    <row r="399" spans="1:44" ht="15.75" customHeight="1" x14ac:dyDescent="0.25">
      <c r="A399" s="49" t="s">
        <v>88</v>
      </c>
      <c r="B399" s="300"/>
      <c r="C399" s="50">
        <v>20.367000000000001</v>
      </c>
      <c r="D399" s="51">
        <v>19</v>
      </c>
      <c r="E399" s="51">
        <v>19</v>
      </c>
      <c r="F399" s="28"/>
      <c r="G399" s="28"/>
      <c r="H399" s="3"/>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8"/>
      <c r="AR399" s="28"/>
    </row>
    <row r="400" spans="1:44" ht="15.75" customHeight="1" x14ac:dyDescent="0.25">
      <c r="A400" s="44"/>
      <c r="B400" s="46"/>
      <c r="C400" s="46"/>
      <c r="D400" s="216"/>
      <c r="E400" s="216"/>
      <c r="F400" s="28"/>
      <c r="G400" s="28"/>
      <c r="H400" s="3"/>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row>
    <row r="401" spans="1:44" ht="15.75" customHeight="1" x14ac:dyDescent="0.25">
      <c r="A401" s="9" t="s">
        <v>89</v>
      </c>
      <c r="B401" s="299" t="s">
        <v>90</v>
      </c>
      <c r="C401" s="47">
        <v>5.15</v>
      </c>
      <c r="D401" s="11">
        <v>2</v>
      </c>
      <c r="E401" s="11">
        <v>2</v>
      </c>
      <c r="F401" s="28"/>
      <c r="G401" s="28"/>
      <c r="H401" s="3"/>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row>
    <row r="402" spans="1:44" ht="15.75" customHeight="1" x14ac:dyDescent="0.25">
      <c r="A402" s="49" t="s">
        <v>91</v>
      </c>
      <c r="B402" s="300"/>
      <c r="C402" s="50">
        <v>16.2</v>
      </c>
      <c r="D402" s="51">
        <v>10</v>
      </c>
      <c r="E402" s="51">
        <v>10</v>
      </c>
      <c r="F402" s="28"/>
      <c r="G402" s="28"/>
      <c r="H402" s="3"/>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row>
    <row r="403" spans="1:44" ht="15.75" customHeight="1" x14ac:dyDescent="0.25">
      <c r="A403" s="41"/>
      <c r="B403" s="42"/>
      <c r="C403" s="69"/>
      <c r="D403" s="201"/>
      <c r="E403" s="201"/>
      <c r="F403" s="28"/>
      <c r="G403" s="28"/>
      <c r="H403" s="3"/>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8"/>
      <c r="AR403" s="28"/>
    </row>
    <row r="404" spans="1:44" ht="15.75" customHeight="1" x14ac:dyDescent="0.25">
      <c r="A404" s="9" t="s">
        <v>94</v>
      </c>
      <c r="B404" s="299" t="s">
        <v>95</v>
      </c>
      <c r="C404" s="47">
        <v>50.082999999999998</v>
      </c>
      <c r="D404" s="11">
        <v>22</v>
      </c>
      <c r="E404" s="11">
        <v>22</v>
      </c>
      <c r="F404" s="28"/>
      <c r="G404" s="28"/>
      <c r="H404" s="3"/>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row>
    <row r="405" spans="1:44" ht="15.75" customHeight="1" x14ac:dyDescent="0.25">
      <c r="A405" s="9" t="s">
        <v>96</v>
      </c>
      <c r="B405" s="300"/>
      <c r="C405" s="47">
        <v>93.992999999999995</v>
      </c>
      <c r="D405" s="11">
        <v>116</v>
      </c>
      <c r="E405" s="11">
        <v>116</v>
      </c>
      <c r="F405" s="28"/>
      <c r="G405" s="28"/>
      <c r="H405" s="3"/>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row>
    <row r="406" spans="1:44" ht="15.75" customHeight="1" x14ac:dyDescent="0.25">
      <c r="A406" s="9" t="s">
        <v>97</v>
      </c>
      <c r="B406" s="300"/>
      <c r="C406" s="47">
        <v>95.516999999999996</v>
      </c>
      <c r="D406" s="11">
        <v>107</v>
      </c>
      <c r="E406" s="11">
        <v>107</v>
      </c>
      <c r="F406" s="28"/>
      <c r="G406" s="28"/>
      <c r="H406" s="3"/>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row>
    <row r="407" spans="1:44" ht="15.75" customHeight="1" x14ac:dyDescent="0.25">
      <c r="A407" s="9" t="s">
        <v>98</v>
      </c>
      <c r="B407" s="300"/>
      <c r="C407" s="47">
        <v>100.92</v>
      </c>
      <c r="D407" s="11">
        <v>123</v>
      </c>
      <c r="E407" s="11">
        <v>123</v>
      </c>
      <c r="F407" s="28"/>
      <c r="G407" s="28"/>
      <c r="H407" s="3"/>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row>
    <row r="408" spans="1:44" ht="15.75" customHeight="1" x14ac:dyDescent="0.25">
      <c r="A408" s="9" t="s">
        <v>99</v>
      </c>
      <c r="B408" s="301"/>
      <c r="C408" s="47">
        <v>115.37</v>
      </c>
      <c r="D408" s="11">
        <v>136</v>
      </c>
      <c r="E408" s="11">
        <v>136</v>
      </c>
      <c r="F408" s="28"/>
      <c r="G408" s="28"/>
      <c r="H408" s="3"/>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row>
    <row r="409" spans="1:44" ht="15.75" customHeight="1" x14ac:dyDescent="0.2"/>
    <row r="410" spans="1:44" ht="15.75" customHeight="1" x14ac:dyDescent="0.2"/>
    <row r="411" spans="1:44" ht="15.75" customHeight="1" x14ac:dyDescent="0.2"/>
    <row r="412" spans="1:44" ht="15.75" customHeight="1" x14ac:dyDescent="0.2"/>
    <row r="413" spans="1:44" ht="15.75" customHeight="1" x14ac:dyDescent="0.2"/>
    <row r="414" spans="1:44" ht="15.75" customHeight="1" x14ac:dyDescent="0.2"/>
    <row r="415" spans="1:44" ht="15.75" customHeight="1" x14ac:dyDescent="0.2"/>
    <row r="416" spans="1:44"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96">
    <mergeCell ref="G335:J335"/>
    <mergeCell ref="G339:J339"/>
    <mergeCell ref="A341:E341"/>
    <mergeCell ref="C355:E355"/>
    <mergeCell ref="G356:L356"/>
    <mergeCell ref="G357:I357"/>
    <mergeCell ref="J357:L357"/>
    <mergeCell ref="B309:B312"/>
    <mergeCell ref="B314:B316"/>
    <mergeCell ref="B318:B319"/>
    <mergeCell ref="B321:B322"/>
    <mergeCell ref="B324:B328"/>
    <mergeCell ref="G334:J334"/>
    <mergeCell ref="A335:E335"/>
    <mergeCell ref="A355:B355"/>
    <mergeCell ref="B357:B361"/>
    <mergeCell ref="B193:B194"/>
    <mergeCell ref="A195:E195"/>
    <mergeCell ref="B196:B197"/>
    <mergeCell ref="B199:B203"/>
    <mergeCell ref="G276:L276"/>
    <mergeCell ref="G277:I277"/>
    <mergeCell ref="J277:L277"/>
    <mergeCell ref="B246:B249"/>
    <mergeCell ref="B251:B253"/>
    <mergeCell ref="B255:B256"/>
    <mergeCell ref="B258:B259"/>
    <mergeCell ref="B261:B265"/>
    <mergeCell ref="A275:B275"/>
    <mergeCell ref="C275:E275"/>
    <mergeCell ref="B235:B237"/>
    <mergeCell ref="B239:B240"/>
    <mergeCell ref="B242:B244"/>
    <mergeCell ref="B277:B281"/>
    <mergeCell ref="B167:B171"/>
    <mergeCell ref="A172:E172"/>
    <mergeCell ref="B173:B175"/>
    <mergeCell ref="B177:B178"/>
    <mergeCell ref="A179:E179"/>
    <mergeCell ref="B180:B182"/>
    <mergeCell ref="B184:B187"/>
    <mergeCell ref="A188:E188"/>
    <mergeCell ref="B189:B191"/>
    <mergeCell ref="B305:B307"/>
    <mergeCell ref="B394:B396"/>
    <mergeCell ref="B398:B399"/>
    <mergeCell ref="B401:B402"/>
    <mergeCell ref="B404:B408"/>
    <mergeCell ref="B363:B367"/>
    <mergeCell ref="B369:B370"/>
    <mergeCell ref="B372:B376"/>
    <mergeCell ref="B378:B380"/>
    <mergeCell ref="B382:B383"/>
    <mergeCell ref="B385:B387"/>
    <mergeCell ref="B389:B392"/>
    <mergeCell ref="B283:B287"/>
    <mergeCell ref="B289:B290"/>
    <mergeCell ref="B292:B296"/>
    <mergeCell ref="B298:B300"/>
    <mergeCell ref="B302:B303"/>
    <mergeCell ref="A212:B212"/>
    <mergeCell ref="C212:E212"/>
    <mergeCell ref="G213:L213"/>
    <mergeCell ref="G214:I214"/>
    <mergeCell ref="J214:L214"/>
    <mergeCell ref="B214:B218"/>
    <mergeCell ref="B220:B224"/>
    <mergeCell ref="B226:B227"/>
    <mergeCell ref="B229:B233"/>
    <mergeCell ref="G166:I166"/>
    <mergeCell ref="P170:U170"/>
    <mergeCell ref="P171:U171"/>
    <mergeCell ref="P174:U174"/>
    <mergeCell ref="P175:U175"/>
    <mergeCell ref="P176:U176"/>
    <mergeCell ref="J164:L164"/>
    <mergeCell ref="G165:I165"/>
    <mergeCell ref="P165:U165"/>
    <mergeCell ref="P166:U166"/>
    <mergeCell ref="P167:U167"/>
    <mergeCell ref="P168:U168"/>
    <mergeCell ref="P169:U169"/>
    <mergeCell ref="G174:I174"/>
    <mergeCell ref="G175:I175"/>
    <mergeCell ref="G176:I176"/>
    <mergeCell ref="G167:I167"/>
    <mergeCell ref="G168:I168"/>
    <mergeCell ref="G169:I169"/>
    <mergeCell ref="G170:I170"/>
    <mergeCell ref="G171:I171"/>
    <mergeCell ref="G172:I172"/>
    <mergeCell ref="G173:I173"/>
    <mergeCell ref="G135:J135"/>
    <mergeCell ref="AD135:AF135"/>
    <mergeCell ref="P136:T136"/>
    <mergeCell ref="W136:AA136"/>
    <mergeCell ref="A137:E137"/>
    <mergeCell ref="A163:E163"/>
    <mergeCell ref="G164:I164"/>
    <mergeCell ref="M164:O164"/>
    <mergeCell ref="P164:U164"/>
    <mergeCell ref="A150:E150"/>
    <mergeCell ref="G151:L151"/>
    <mergeCell ref="B152:B156"/>
    <mergeCell ref="G152:I152"/>
    <mergeCell ref="J152:L152"/>
    <mergeCell ref="B158:B162"/>
    <mergeCell ref="B164:B165"/>
    <mergeCell ref="AM134:AR134"/>
    <mergeCell ref="AM135:AR135"/>
    <mergeCell ref="AM136:AR136"/>
    <mergeCell ref="AM137:AR137"/>
    <mergeCell ref="AM138:AR138"/>
    <mergeCell ref="AM139:AR139"/>
    <mergeCell ref="AM140:AR140"/>
    <mergeCell ref="AM141:AR141"/>
    <mergeCell ref="AD130:AF130"/>
    <mergeCell ref="AM130:AR130"/>
    <mergeCell ref="AD131:AF131"/>
    <mergeCell ref="AM131:AR131"/>
    <mergeCell ref="AD132:AF132"/>
    <mergeCell ref="AM132:AR132"/>
    <mergeCell ref="AM133:AR133"/>
    <mergeCell ref="AD136:AF136"/>
    <mergeCell ref="AD137:AF137"/>
    <mergeCell ref="AD138:AF138"/>
    <mergeCell ref="AD139:AF139"/>
    <mergeCell ref="AD140:AF140"/>
    <mergeCell ref="AD141:AF141"/>
    <mergeCell ref="AD133:AF133"/>
    <mergeCell ref="AD134:AF134"/>
    <mergeCell ref="A131:E131"/>
    <mergeCell ref="G131:J131"/>
    <mergeCell ref="G111:J111"/>
    <mergeCell ref="G112:J112"/>
    <mergeCell ref="G116:J116"/>
    <mergeCell ref="A118:E118"/>
    <mergeCell ref="AG125:AI125"/>
    <mergeCell ref="AJ125:AL125"/>
    <mergeCell ref="AM125:AR125"/>
    <mergeCell ref="AM128:AR128"/>
    <mergeCell ref="AM129:AR129"/>
    <mergeCell ref="AD125:AF125"/>
    <mergeCell ref="AD126:AF126"/>
    <mergeCell ref="AM126:AR126"/>
    <mergeCell ref="AD127:AF127"/>
    <mergeCell ref="AM127:AR127"/>
    <mergeCell ref="AD128:AF128"/>
    <mergeCell ref="AD129:AF129"/>
    <mergeCell ref="H94:K94"/>
    <mergeCell ref="A95:F95"/>
    <mergeCell ref="H95:K95"/>
    <mergeCell ref="H99:K99"/>
    <mergeCell ref="A100:F100"/>
    <mergeCell ref="A112:E112"/>
    <mergeCell ref="P129:T129"/>
    <mergeCell ref="W129:AA129"/>
    <mergeCell ref="G130:J130"/>
    <mergeCell ref="P130:T130"/>
    <mergeCell ref="W130:AA130"/>
    <mergeCell ref="A67:E67"/>
    <mergeCell ref="B65:B66"/>
    <mergeCell ref="B68:B69"/>
    <mergeCell ref="B71:B75"/>
    <mergeCell ref="H79:K79"/>
    <mergeCell ref="A80:F80"/>
    <mergeCell ref="H80:K80"/>
    <mergeCell ref="A85:F85"/>
    <mergeCell ref="H84:K84"/>
    <mergeCell ref="B39:B43"/>
    <mergeCell ref="A44:E44"/>
    <mergeCell ref="B45:B47"/>
    <mergeCell ref="B49:B50"/>
    <mergeCell ref="A51:E51"/>
    <mergeCell ref="B52:B54"/>
    <mergeCell ref="B56:B59"/>
    <mergeCell ref="A60:E60"/>
    <mergeCell ref="B61:B63"/>
    <mergeCell ref="H18:K18"/>
    <mergeCell ref="A22:D22"/>
    <mergeCell ref="G23:L23"/>
    <mergeCell ref="G24:I24"/>
    <mergeCell ref="J24:L24"/>
    <mergeCell ref="B24:B28"/>
    <mergeCell ref="B30:B34"/>
    <mergeCell ref="A35:E35"/>
    <mergeCell ref="B36:B37"/>
    <mergeCell ref="B4:F4"/>
    <mergeCell ref="H5:K5"/>
    <mergeCell ref="B6:F6"/>
    <mergeCell ref="H6:K6"/>
    <mergeCell ref="H10:K10"/>
    <mergeCell ref="B12:F12"/>
    <mergeCell ref="B14:F14"/>
    <mergeCell ref="H13:K13"/>
    <mergeCell ref="H14:K14"/>
  </mergeCells>
  <pageMargins left="0.7" right="0.7" top="0.75" bottom="0.75" header="0" footer="0"/>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Z1000"/>
  <sheetViews>
    <sheetView workbookViewId="0"/>
  </sheetViews>
  <sheetFormatPr baseColWidth="10" defaultColWidth="12.625" defaultRowHeight="15" customHeight="1" x14ac:dyDescent="0.2"/>
  <cols>
    <col min="1" max="26" width="10" customWidth="1"/>
  </cols>
  <sheetData>
    <row r="1" spans="2:13" x14ac:dyDescent="0.25">
      <c r="B1" s="21" t="s">
        <v>1286</v>
      </c>
    </row>
    <row r="2" spans="2:13" x14ac:dyDescent="0.25">
      <c r="B2" s="304" t="s">
        <v>662</v>
      </c>
      <c r="C2" s="297"/>
      <c r="D2" s="297"/>
      <c r="E2" s="297"/>
      <c r="F2" s="154"/>
      <c r="I2" s="3"/>
    </row>
    <row r="3" spans="2:13" ht="24" x14ac:dyDescent="0.2">
      <c r="B3" s="4" t="s">
        <v>0</v>
      </c>
      <c r="C3" s="5" t="s">
        <v>1</v>
      </c>
      <c r="D3" s="5" t="s">
        <v>2</v>
      </c>
      <c r="E3" s="5" t="s">
        <v>43</v>
      </c>
      <c r="F3" s="45" t="s">
        <v>125</v>
      </c>
      <c r="H3" s="296" t="s">
        <v>6</v>
      </c>
      <c r="I3" s="297"/>
      <c r="J3" s="297"/>
      <c r="K3" s="297"/>
      <c r="L3" s="297"/>
      <c r="M3" s="298"/>
    </row>
    <row r="4" spans="2:13" ht="14.25" x14ac:dyDescent="0.2">
      <c r="B4" s="9" t="s">
        <v>7</v>
      </c>
      <c r="C4" s="302" t="s">
        <v>9</v>
      </c>
      <c r="D4" s="11">
        <v>28.1</v>
      </c>
      <c r="E4" s="11">
        <v>38</v>
      </c>
      <c r="F4" s="11">
        <v>47</v>
      </c>
      <c r="H4" s="296" t="s">
        <v>106</v>
      </c>
      <c r="I4" s="297"/>
      <c r="J4" s="298"/>
      <c r="K4" s="296" t="s">
        <v>107</v>
      </c>
      <c r="L4" s="297"/>
      <c r="M4" s="298"/>
    </row>
    <row r="5" spans="2:13" ht="14.25" x14ac:dyDescent="0.2">
      <c r="B5" s="9" t="s">
        <v>17</v>
      </c>
      <c r="C5" s="300"/>
      <c r="D5" s="11">
        <v>63.911000000000001</v>
      </c>
      <c r="E5" s="11">
        <v>32</v>
      </c>
      <c r="F5" s="11">
        <v>63</v>
      </c>
      <c r="H5" s="13" t="s">
        <v>13</v>
      </c>
      <c r="I5" s="39">
        <f>I7+(I7*0.05)</f>
        <v>666.75</v>
      </c>
      <c r="J5" s="17" t="s">
        <v>1291</v>
      </c>
      <c r="K5" s="13" t="s">
        <v>13</v>
      </c>
      <c r="L5" s="39">
        <f>L7+L7*0.05</f>
        <v>724.5</v>
      </c>
      <c r="M5" s="17" t="s">
        <v>1293</v>
      </c>
    </row>
    <row r="6" spans="2:13" ht="14.25" x14ac:dyDescent="0.2">
      <c r="B6" s="9" t="s">
        <v>26</v>
      </c>
      <c r="C6" s="300"/>
      <c r="D6" s="11">
        <v>69.921999999999997</v>
      </c>
      <c r="E6" s="11">
        <v>23</v>
      </c>
      <c r="F6" s="11">
        <v>65</v>
      </c>
      <c r="H6" s="13" t="s">
        <v>19</v>
      </c>
      <c r="I6" s="40">
        <f>I7-(I7*0.05)</f>
        <v>603.25</v>
      </c>
      <c r="J6" s="17" t="s">
        <v>1295</v>
      </c>
      <c r="K6" s="13" t="s">
        <v>19</v>
      </c>
      <c r="L6" s="40">
        <f>L7-L7*0.05</f>
        <v>655.5</v>
      </c>
      <c r="M6" s="17" t="s">
        <v>1298</v>
      </c>
    </row>
    <row r="7" spans="2:13" ht="14.25" x14ac:dyDescent="0.2">
      <c r="B7" s="9" t="s">
        <v>32</v>
      </c>
      <c r="C7" s="300"/>
      <c r="D7" s="11">
        <v>96.744</v>
      </c>
      <c r="E7" s="11">
        <v>83</v>
      </c>
      <c r="F7" s="11">
        <v>108</v>
      </c>
      <c r="H7" s="13" t="s">
        <v>27</v>
      </c>
      <c r="I7" s="20">
        <v>635</v>
      </c>
      <c r="J7" s="17" t="s">
        <v>1300</v>
      </c>
      <c r="K7" s="13" t="s">
        <v>27</v>
      </c>
      <c r="L7" s="20">
        <v>690</v>
      </c>
      <c r="M7" s="17" t="s">
        <v>1302</v>
      </c>
    </row>
    <row r="8" spans="2:13" ht="14.25" x14ac:dyDescent="0.2">
      <c r="B8" s="9" t="s">
        <v>33</v>
      </c>
      <c r="C8" s="301"/>
      <c r="D8" s="11">
        <v>128.11000000000001</v>
      </c>
      <c r="E8" s="11">
        <v>124</v>
      </c>
      <c r="F8" s="11">
        <v>140</v>
      </c>
      <c r="H8" s="13" t="s">
        <v>121</v>
      </c>
      <c r="I8" s="20">
        <v>603</v>
      </c>
      <c r="J8" s="17" t="s">
        <v>1303</v>
      </c>
      <c r="K8" s="13" t="s">
        <v>121</v>
      </c>
      <c r="L8" s="20">
        <v>691</v>
      </c>
      <c r="M8" s="17" t="s">
        <v>1304</v>
      </c>
    </row>
    <row r="9" spans="2:13" x14ac:dyDescent="0.25">
      <c r="B9" s="296"/>
      <c r="C9" s="297"/>
      <c r="D9" s="297"/>
      <c r="E9" s="297"/>
      <c r="F9" s="11"/>
      <c r="I9" s="3"/>
    </row>
    <row r="10" spans="2:13" x14ac:dyDescent="0.25">
      <c r="B10" s="9" t="s">
        <v>35</v>
      </c>
      <c r="C10" s="302" t="s">
        <v>36</v>
      </c>
      <c r="D10" s="11">
        <v>207.78</v>
      </c>
      <c r="E10" s="11">
        <v>207</v>
      </c>
      <c r="F10" s="11">
        <v>415</v>
      </c>
      <c r="I10" s="3"/>
    </row>
    <row r="11" spans="2:13" x14ac:dyDescent="0.25">
      <c r="B11" s="9" t="s">
        <v>37</v>
      </c>
      <c r="C11" s="300"/>
      <c r="D11" s="11">
        <v>444.11</v>
      </c>
      <c r="E11" s="11">
        <v>203</v>
      </c>
      <c r="F11" s="11">
        <v>433</v>
      </c>
      <c r="I11" s="3"/>
    </row>
    <row r="12" spans="2:13" x14ac:dyDescent="0.25">
      <c r="B12" s="9" t="s">
        <v>38</v>
      </c>
      <c r="C12" s="300"/>
      <c r="D12" s="11">
        <v>579.55999999999995</v>
      </c>
      <c r="E12" s="11">
        <v>475</v>
      </c>
      <c r="F12" s="11">
        <v>503</v>
      </c>
      <c r="I12" s="3"/>
    </row>
    <row r="13" spans="2:13" x14ac:dyDescent="0.25">
      <c r="B13" s="9" t="s">
        <v>39</v>
      </c>
      <c r="C13" s="300"/>
      <c r="D13" s="11">
        <v>746.22</v>
      </c>
      <c r="E13" s="11">
        <v>682</v>
      </c>
      <c r="F13" s="11">
        <v>641</v>
      </c>
      <c r="I13" s="3"/>
    </row>
    <row r="14" spans="2:13" x14ac:dyDescent="0.25">
      <c r="B14" s="49" t="s">
        <v>41</v>
      </c>
      <c r="C14" s="300"/>
      <c r="D14" s="51">
        <v>869.5</v>
      </c>
      <c r="E14" s="51">
        <v>694</v>
      </c>
      <c r="F14" s="51">
        <v>691</v>
      </c>
      <c r="I14" s="3"/>
    </row>
    <row r="15" spans="2:13" x14ac:dyDescent="0.25">
      <c r="B15" s="308"/>
      <c r="C15" s="297"/>
      <c r="D15" s="297"/>
      <c r="E15" s="297"/>
      <c r="F15" s="306"/>
      <c r="I15" s="3"/>
    </row>
    <row r="16" spans="2:13" x14ac:dyDescent="0.25">
      <c r="B16" s="9" t="s">
        <v>46</v>
      </c>
      <c r="C16" s="299" t="s">
        <v>47</v>
      </c>
      <c r="D16" s="11">
        <v>88.4</v>
      </c>
      <c r="E16" s="11">
        <v>110</v>
      </c>
      <c r="F16" s="11">
        <v>97</v>
      </c>
      <c r="I16" s="3"/>
    </row>
    <row r="17" spans="2:9" x14ac:dyDescent="0.25">
      <c r="B17" s="9" t="s">
        <v>48</v>
      </c>
      <c r="C17" s="300"/>
      <c r="D17" s="11">
        <v>94.6</v>
      </c>
      <c r="E17" s="11">
        <v>108</v>
      </c>
      <c r="F17" s="11">
        <v>99</v>
      </c>
      <c r="I17" s="3"/>
    </row>
    <row r="18" spans="2:9" x14ac:dyDescent="0.25">
      <c r="B18" s="41"/>
      <c r="C18" s="42"/>
      <c r="D18" s="42"/>
      <c r="E18" s="42"/>
      <c r="F18" s="11"/>
      <c r="I18" s="3"/>
    </row>
    <row r="19" spans="2:9" x14ac:dyDescent="0.25">
      <c r="B19" s="9" t="s">
        <v>50</v>
      </c>
      <c r="C19" s="302" t="s">
        <v>51</v>
      </c>
      <c r="D19" s="11">
        <v>271.44400000000002</v>
      </c>
      <c r="E19" s="11">
        <v>302</v>
      </c>
      <c r="F19" s="11">
        <v>301</v>
      </c>
      <c r="I19" s="3"/>
    </row>
    <row r="20" spans="2:9" x14ac:dyDescent="0.25">
      <c r="B20" s="9" t="s">
        <v>54</v>
      </c>
      <c r="C20" s="300"/>
      <c r="D20" s="11">
        <v>550.22199999999998</v>
      </c>
      <c r="E20" s="11">
        <v>264</v>
      </c>
      <c r="F20" s="11">
        <v>308</v>
      </c>
      <c r="I20" s="3"/>
    </row>
    <row r="21" spans="2:9" ht="15.75" customHeight="1" x14ac:dyDescent="0.25">
      <c r="B21" s="9" t="s">
        <v>55</v>
      </c>
      <c r="C21" s="300"/>
      <c r="D21" s="11">
        <v>609</v>
      </c>
      <c r="E21" s="11">
        <v>621</v>
      </c>
      <c r="F21" s="11">
        <v>667</v>
      </c>
      <c r="I21" s="3"/>
    </row>
    <row r="22" spans="2:9" ht="15.75" customHeight="1" x14ac:dyDescent="0.25">
      <c r="B22" s="9" t="s">
        <v>56</v>
      </c>
      <c r="C22" s="300"/>
      <c r="D22" s="11">
        <v>739.11099999999999</v>
      </c>
      <c r="E22" s="11">
        <v>728</v>
      </c>
      <c r="F22" s="11">
        <v>713</v>
      </c>
      <c r="I22" s="3"/>
    </row>
    <row r="23" spans="2:9" ht="15.75" customHeight="1" x14ac:dyDescent="0.25">
      <c r="B23" s="49" t="s">
        <v>57</v>
      </c>
      <c r="C23" s="300"/>
      <c r="D23" s="51">
        <v>746.88900000000001</v>
      </c>
      <c r="E23" s="51">
        <v>337</v>
      </c>
      <c r="F23" s="51">
        <v>620</v>
      </c>
      <c r="I23" s="3"/>
    </row>
    <row r="24" spans="2:9" ht="15.75" customHeight="1" x14ac:dyDescent="0.25">
      <c r="B24" s="308"/>
      <c r="C24" s="297"/>
      <c r="D24" s="297"/>
      <c r="E24" s="297"/>
      <c r="F24" s="306"/>
      <c r="I24" s="3"/>
    </row>
    <row r="25" spans="2:9" ht="15.75" customHeight="1" x14ac:dyDescent="0.25">
      <c r="B25" s="9" t="s">
        <v>60</v>
      </c>
      <c r="C25" s="299" t="s">
        <v>62</v>
      </c>
      <c r="D25" s="11">
        <v>19.36</v>
      </c>
      <c r="E25" s="11">
        <v>17</v>
      </c>
      <c r="F25" s="11">
        <v>22</v>
      </c>
      <c r="I25" s="3"/>
    </row>
    <row r="26" spans="2:9" ht="15.75" customHeight="1" x14ac:dyDescent="0.25">
      <c r="B26" s="9" t="s">
        <v>64</v>
      </c>
      <c r="C26" s="300"/>
      <c r="D26" s="11">
        <v>33.31</v>
      </c>
      <c r="E26" s="11">
        <v>21</v>
      </c>
      <c r="F26" s="11">
        <v>41</v>
      </c>
      <c r="I26" s="3"/>
    </row>
    <row r="27" spans="2:9" ht="15.75" customHeight="1" x14ac:dyDescent="0.25">
      <c r="B27" s="9" t="s">
        <v>65</v>
      </c>
      <c r="C27" s="301"/>
      <c r="D27" s="11">
        <v>41.74</v>
      </c>
      <c r="E27" s="11">
        <v>13</v>
      </c>
      <c r="F27" s="11">
        <v>37</v>
      </c>
      <c r="I27" s="3"/>
    </row>
    <row r="28" spans="2:9" ht="15.75" customHeight="1" x14ac:dyDescent="0.25">
      <c r="B28" s="41"/>
      <c r="C28" s="42"/>
      <c r="D28" s="42"/>
      <c r="E28" s="42"/>
      <c r="F28" s="11"/>
      <c r="I28" s="3"/>
    </row>
    <row r="29" spans="2:9" ht="15.75" customHeight="1" x14ac:dyDescent="0.25">
      <c r="B29" s="9" t="s">
        <v>66</v>
      </c>
      <c r="C29" s="302" t="s">
        <v>68</v>
      </c>
      <c r="D29" s="11">
        <v>204.5</v>
      </c>
      <c r="E29" s="11">
        <v>217</v>
      </c>
      <c r="F29" s="11">
        <v>225</v>
      </c>
      <c r="I29" s="3"/>
    </row>
    <row r="30" spans="2:9" ht="15.75" customHeight="1" x14ac:dyDescent="0.25">
      <c r="B30" s="49" t="s">
        <v>69</v>
      </c>
      <c r="C30" s="300"/>
      <c r="D30" s="51">
        <v>277.7</v>
      </c>
      <c r="E30" s="51">
        <v>274</v>
      </c>
      <c r="F30" s="51">
        <v>279</v>
      </c>
      <c r="I30" s="3"/>
    </row>
    <row r="31" spans="2:9" ht="15.75" customHeight="1" x14ac:dyDescent="0.25">
      <c r="B31" s="305"/>
      <c r="C31" s="297"/>
      <c r="D31" s="297"/>
      <c r="E31" s="297"/>
      <c r="F31" s="306"/>
      <c r="I31" s="3"/>
    </row>
    <row r="32" spans="2:9" ht="15.75" customHeight="1" x14ac:dyDescent="0.25">
      <c r="B32" s="9" t="s">
        <v>69</v>
      </c>
      <c r="C32" s="299" t="s">
        <v>71</v>
      </c>
      <c r="D32" s="11">
        <v>10.283300000000001</v>
      </c>
      <c r="E32" s="11">
        <v>16</v>
      </c>
      <c r="F32" s="11">
        <v>22</v>
      </c>
      <c r="I32" s="3"/>
    </row>
    <row r="33" spans="2:9" ht="15.75" customHeight="1" x14ac:dyDescent="0.25">
      <c r="B33" s="9" t="s">
        <v>72</v>
      </c>
      <c r="C33" s="300"/>
      <c r="D33" s="11">
        <v>11.8833</v>
      </c>
      <c r="E33" s="11">
        <v>17</v>
      </c>
      <c r="F33" s="11">
        <v>22</v>
      </c>
      <c r="I33" s="3"/>
    </row>
    <row r="34" spans="2:9" ht="15.75" customHeight="1" x14ac:dyDescent="0.25">
      <c r="B34" s="9" t="s">
        <v>73</v>
      </c>
      <c r="C34" s="301"/>
      <c r="D34" s="11">
        <v>17.433299999999999</v>
      </c>
      <c r="E34" s="11">
        <v>20</v>
      </c>
      <c r="F34" s="11">
        <v>25</v>
      </c>
      <c r="I34" s="3"/>
    </row>
    <row r="35" spans="2:9" ht="15.75" customHeight="1" x14ac:dyDescent="0.25">
      <c r="B35" s="296"/>
      <c r="C35" s="297"/>
      <c r="D35" s="297"/>
      <c r="E35" s="297"/>
      <c r="F35" s="11"/>
      <c r="I35" s="3"/>
    </row>
    <row r="36" spans="2:9" ht="15.75" customHeight="1" x14ac:dyDescent="0.25">
      <c r="B36" s="9" t="s">
        <v>76</v>
      </c>
      <c r="C36" s="302" t="s">
        <v>77</v>
      </c>
      <c r="D36" s="11">
        <v>117.467</v>
      </c>
      <c r="E36" s="11">
        <v>137</v>
      </c>
      <c r="F36" s="11">
        <v>197</v>
      </c>
      <c r="I36" s="3"/>
    </row>
    <row r="37" spans="2:9" ht="15.75" customHeight="1" x14ac:dyDescent="0.25">
      <c r="B37" s="9" t="s">
        <v>78</v>
      </c>
      <c r="C37" s="300"/>
      <c r="D37" s="11">
        <v>187.833</v>
      </c>
      <c r="E37" s="11">
        <v>140</v>
      </c>
      <c r="F37" s="11">
        <v>155</v>
      </c>
      <c r="I37" s="3"/>
    </row>
    <row r="38" spans="2:9" ht="15.75" customHeight="1" x14ac:dyDescent="0.25">
      <c r="B38" s="9" t="s">
        <v>79</v>
      </c>
      <c r="C38" s="300"/>
      <c r="D38" s="11">
        <v>218.333</v>
      </c>
      <c r="E38" s="11">
        <v>179</v>
      </c>
      <c r="F38" s="11">
        <v>244</v>
      </c>
      <c r="I38" s="3"/>
    </row>
    <row r="39" spans="2:9" ht="15.75" customHeight="1" x14ac:dyDescent="0.25">
      <c r="B39" s="49" t="s">
        <v>80</v>
      </c>
      <c r="C39" s="300"/>
      <c r="D39" s="51">
        <v>238.5</v>
      </c>
      <c r="E39" s="51">
        <v>118</v>
      </c>
      <c r="F39" s="51">
        <v>119</v>
      </c>
      <c r="I39" s="3"/>
    </row>
    <row r="40" spans="2:9" ht="15.75" customHeight="1" x14ac:dyDescent="0.25">
      <c r="B40" s="305"/>
      <c r="C40" s="297"/>
      <c r="D40" s="297"/>
      <c r="E40" s="297"/>
      <c r="F40" s="306"/>
      <c r="I40" s="3"/>
    </row>
    <row r="41" spans="2:9" ht="15.75" customHeight="1" x14ac:dyDescent="0.25">
      <c r="B41" s="9" t="s">
        <v>81</v>
      </c>
      <c r="C41" s="299" t="s">
        <v>82</v>
      </c>
      <c r="D41" s="11">
        <v>2</v>
      </c>
      <c r="E41" s="11">
        <v>7</v>
      </c>
      <c r="F41" s="11">
        <v>15</v>
      </c>
      <c r="I41" s="3"/>
    </row>
    <row r="42" spans="2:9" ht="15.75" customHeight="1" x14ac:dyDescent="0.25">
      <c r="B42" s="9" t="s">
        <v>83</v>
      </c>
      <c r="C42" s="300"/>
      <c r="D42" s="11">
        <v>7.133</v>
      </c>
      <c r="E42" s="11">
        <v>11</v>
      </c>
      <c r="F42" s="11">
        <v>15</v>
      </c>
      <c r="I42" s="3"/>
    </row>
    <row r="43" spans="2:9" ht="15.75" customHeight="1" x14ac:dyDescent="0.25">
      <c r="B43" s="9" t="s">
        <v>84</v>
      </c>
      <c r="C43" s="301"/>
      <c r="D43" s="11">
        <v>10.72</v>
      </c>
      <c r="E43" s="11">
        <v>6</v>
      </c>
      <c r="F43" s="11">
        <v>13</v>
      </c>
      <c r="I43" s="3"/>
    </row>
    <row r="44" spans="2:9" ht="15.75" customHeight="1" x14ac:dyDescent="0.25">
      <c r="B44" s="296"/>
      <c r="C44" s="297"/>
      <c r="D44" s="297"/>
      <c r="E44" s="297"/>
      <c r="F44" s="11"/>
      <c r="I44" s="3"/>
    </row>
    <row r="45" spans="2:9" ht="15.75" customHeight="1" x14ac:dyDescent="0.25">
      <c r="B45" s="9" t="s">
        <v>86</v>
      </c>
      <c r="C45" s="302" t="s">
        <v>87</v>
      </c>
      <c r="D45" s="11">
        <v>20.466999999999999</v>
      </c>
      <c r="E45" s="11">
        <v>23</v>
      </c>
      <c r="F45" s="11">
        <v>25</v>
      </c>
      <c r="I45" s="3"/>
    </row>
    <row r="46" spans="2:9" ht="15.75" customHeight="1" x14ac:dyDescent="0.25">
      <c r="B46" s="49" t="s">
        <v>88</v>
      </c>
      <c r="C46" s="300"/>
      <c r="D46" s="51">
        <v>20.367000000000001</v>
      </c>
      <c r="E46" s="51">
        <v>22</v>
      </c>
      <c r="F46" s="51">
        <v>25</v>
      </c>
      <c r="I46" s="3"/>
    </row>
    <row r="47" spans="2:9" ht="15.75" customHeight="1" x14ac:dyDescent="0.25">
      <c r="B47" s="44"/>
      <c r="C47" s="46"/>
      <c r="D47" s="46"/>
      <c r="E47" s="46"/>
      <c r="F47" s="46"/>
      <c r="I47" s="3"/>
    </row>
    <row r="48" spans="2:9" ht="15.75" customHeight="1" x14ac:dyDescent="0.25">
      <c r="B48" s="9" t="s">
        <v>89</v>
      </c>
      <c r="C48" s="299" t="s">
        <v>90</v>
      </c>
      <c r="D48" s="11">
        <v>5.15</v>
      </c>
      <c r="E48" s="11">
        <v>17</v>
      </c>
      <c r="F48" s="11">
        <v>11</v>
      </c>
      <c r="I48" s="3"/>
    </row>
    <row r="49" spans="1:26" ht="15.75" customHeight="1" x14ac:dyDescent="0.25">
      <c r="B49" s="49" t="s">
        <v>91</v>
      </c>
      <c r="C49" s="300"/>
      <c r="D49" s="51">
        <v>16.2</v>
      </c>
      <c r="E49" s="51">
        <v>16</v>
      </c>
      <c r="F49" s="51">
        <v>11</v>
      </c>
      <c r="I49" s="3"/>
    </row>
    <row r="50" spans="1:26" ht="15.75" customHeight="1" x14ac:dyDescent="0.25">
      <c r="B50" s="41"/>
      <c r="C50" s="42"/>
      <c r="D50" s="42"/>
      <c r="E50" s="42"/>
      <c r="F50" s="201"/>
      <c r="I50" s="3"/>
    </row>
    <row r="51" spans="1:26" ht="15.75" customHeight="1" x14ac:dyDescent="0.25">
      <c r="B51" s="9" t="s">
        <v>94</v>
      </c>
      <c r="C51" s="299" t="s">
        <v>95</v>
      </c>
      <c r="D51" s="11">
        <v>50.082999999999998</v>
      </c>
      <c r="E51" s="11">
        <v>54</v>
      </c>
      <c r="F51" s="11">
        <v>117</v>
      </c>
      <c r="I51" s="3"/>
    </row>
    <row r="52" spans="1:26" ht="15.75" customHeight="1" x14ac:dyDescent="0.25">
      <c r="B52" s="9" t="s">
        <v>96</v>
      </c>
      <c r="C52" s="300"/>
      <c r="D52" s="11">
        <v>93.992999999999995</v>
      </c>
      <c r="E52" s="11">
        <v>55</v>
      </c>
      <c r="F52" s="11">
        <v>124</v>
      </c>
      <c r="I52" s="3"/>
    </row>
    <row r="53" spans="1:26" ht="15.75" customHeight="1" x14ac:dyDescent="0.25">
      <c r="B53" s="9" t="s">
        <v>97</v>
      </c>
      <c r="C53" s="300"/>
      <c r="D53" s="11">
        <v>95.516999999999996</v>
      </c>
      <c r="E53" s="11">
        <v>48</v>
      </c>
      <c r="F53" s="11">
        <v>118</v>
      </c>
      <c r="I53" s="3"/>
    </row>
    <row r="54" spans="1:26" ht="15.75" customHeight="1" x14ac:dyDescent="0.25">
      <c r="B54" s="9" t="s">
        <v>98</v>
      </c>
      <c r="C54" s="300"/>
      <c r="D54" s="11">
        <v>100.92</v>
      </c>
      <c r="E54" s="11">
        <v>55</v>
      </c>
      <c r="F54" s="11">
        <v>125</v>
      </c>
      <c r="I54" s="3"/>
    </row>
    <row r="55" spans="1:26" ht="15.75" customHeight="1" x14ac:dyDescent="0.25">
      <c r="B55" s="9" t="s">
        <v>99</v>
      </c>
      <c r="C55" s="301"/>
      <c r="D55" s="11">
        <v>115.37</v>
      </c>
      <c r="E55" s="11">
        <v>114</v>
      </c>
      <c r="F55" s="11">
        <v>125</v>
      </c>
      <c r="I55" s="3"/>
    </row>
    <row r="56" spans="1:26" ht="15.75" customHeight="1" x14ac:dyDescent="0.25">
      <c r="B56" s="1"/>
      <c r="C56" s="1"/>
      <c r="D56" s="2"/>
      <c r="E56" s="2"/>
      <c r="F56" s="146"/>
      <c r="I56" s="3"/>
    </row>
    <row r="57" spans="1:26" ht="15.75" customHeight="1" x14ac:dyDescent="0.2"/>
    <row r="58" spans="1:26" ht="15.75" customHeight="1" x14ac:dyDescent="0.25">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spans="1:26" ht="15.75" customHeight="1" x14ac:dyDescent="0.2"/>
    <row r="60" spans="1:26" ht="15.75" customHeight="1" x14ac:dyDescent="0.25">
      <c r="A60" s="23" t="s">
        <v>115</v>
      </c>
      <c r="B60" s="43" t="s">
        <v>1286</v>
      </c>
    </row>
    <row r="61" spans="1:26" ht="15.75" customHeight="1" x14ac:dyDescent="0.25">
      <c r="A61" s="304" t="s">
        <v>1307</v>
      </c>
      <c r="B61" s="297"/>
      <c r="C61" s="297"/>
      <c r="D61" s="297"/>
      <c r="E61" s="298"/>
      <c r="H61" s="3"/>
    </row>
    <row r="62" spans="1:26" ht="15.75" customHeight="1" x14ac:dyDescent="0.2">
      <c r="A62" s="4" t="s">
        <v>0</v>
      </c>
      <c r="B62" s="5" t="s">
        <v>1</v>
      </c>
      <c r="C62" s="5" t="s">
        <v>2</v>
      </c>
      <c r="D62" s="5" t="s">
        <v>43</v>
      </c>
      <c r="E62" s="45" t="s">
        <v>125</v>
      </c>
      <c r="G62" s="296" t="s">
        <v>6</v>
      </c>
      <c r="H62" s="297"/>
      <c r="I62" s="297"/>
      <c r="J62" s="297"/>
      <c r="K62" s="297"/>
      <c r="L62" s="298"/>
    </row>
    <row r="63" spans="1:26" ht="15.75" customHeight="1" x14ac:dyDescent="0.2">
      <c r="A63" s="9" t="s">
        <v>7</v>
      </c>
      <c r="B63" s="302" t="s">
        <v>9</v>
      </c>
      <c r="C63" s="47">
        <v>28.1</v>
      </c>
      <c r="D63" s="11">
        <v>47</v>
      </c>
      <c r="E63" s="47">
        <v>57</v>
      </c>
      <c r="G63" s="296" t="s">
        <v>106</v>
      </c>
      <c r="H63" s="297"/>
      <c r="I63" s="298"/>
      <c r="J63" s="296" t="s">
        <v>107</v>
      </c>
      <c r="K63" s="297"/>
      <c r="L63" s="298"/>
    </row>
    <row r="64" spans="1:26" ht="15.75" customHeight="1" x14ac:dyDescent="0.2">
      <c r="A64" s="9" t="s">
        <v>17</v>
      </c>
      <c r="B64" s="300"/>
      <c r="C64" s="47">
        <v>63.911000000000001</v>
      </c>
      <c r="D64" s="11">
        <v>63</v>
      </c>
      <c r="E64" s="47">
        <v>99</v>
      </c>
      <c r="G64" s="13" t="s">
        <v>13</v>
      </c>
      <c r="H64" s="39">
        <f>H66+H66*0.05</f>
        <v>724.5</v>
      </c>
      <c r="I64" s="17" t="s">
        <v>1309</v>
      </c>
      <c r="J64" s="13" t="s">
        <v>13</v>
      </c>
      <c r="K64" s="39">
        <f>K66+(K66*0.05)</f>
        <v>693</v>
      </c>
      <c r="L64" s="17" t="s">
        <v>1310</v>
      </c>
    </row>
    <row r="65" spans="1:12" ht="15.75" customHeight="1" x14ac:dyDescent="0.2">
      <c r="A65" s="9" t="s">
        <v>26</v>
      </c>
      <c r="B65" s="300"/>
      <c r="C65" s="47">
        <v>69.921999999999997</v>
      </c>
      <c r="D65" s="11">
        <v>65</v>
      </c>
      <c r="E65" s="47">
        <v>101</v>
      </c>
      <c r="G65" s="13" t="s">
        <v>19</v>
      </c>
      <c r="H65" s="40">
        <f>H66-H66*0.05</f>
        <v>655.5</v>
      </c>
      <c r="I65" s="17" t="s">
        <v>1312</v>
      </c>
      <c r="J65" s="13" t="s">
        <v>19</v>
      </c>
      <c r="K65" s="40">
        <f>K66-(K66*0.05)</f>
        <v>627</v>
      </c>
      <c r="L65" s="17" t="s">
        <v>1314</v>
      </c>
    </row>
    <row r="66" spans="1:12" ht="15.75" customHeight="1" x14ac:dyDescent="0.2">
      <c r="A66" s="9" t="s">
        <v>32</v>
      </c>
      <c r="B66" s="300"/>
      <c r="C66" s="47">
        <v>96.744</v>
      </c>
      <c r="D66" s="11">
        <v>108</v>
      </c>
      <c r="E66" s="47">
        <v>113</v>
      </c>
      <c r="G66" s="13" t="s">
        <v>27</v>
      </c>
      <c r="H66" s="20">
        <v>690</v>
      </c>
      <c r="I66" s="17" t="s">
        <v>1316</v>
      </c>
      <c r="J66" s="13" t="s">
        <v>27</v>
      </c>
      <c r="K66" s="20">
        <v>660</v>
      </c>
      <c r="L66" s="17" t="s">
        <v>1317</v>
      </c>
    </row>
    <row r="67" spans="1:12" ht="15.75" customHeight="1" x14ac:dyDescent="0.2">
      <c r="A67" s="9" t="s">
        <v>33</v>
      </c>
      <c r="B67" s="301"/>
      <c r="C67" s="47">
        <v>128.11000000000001</v>
      </c>
      <c r="D67" s="11">
        <v>140</v>
      </c>
      <c r="E67" s="47">
        <v>146</v>
      </c>
      <c r="G67" s="13" t="s">
        <v>121</v>
      </c>
      <c r="H67" s="20">
        <v>691</v>
      </c>
      <c r="I67" s="17" t="s">
        <v>1319</v>
      </c>
      <c r="J67" s="13" t="s">
        <v>121</v>
      </c>
      <c r="K67" s="20">
        <v>664</v>
      </c>
      <c r="L67" s="17" t="s">
        <v>1320</v>
      </c>
    </row>
    <row r="68" spans="1:12" ht="15.75" customHeight="1" x14ac:dyDescent="0.25">
      <c r="A68" s="180"/>
      <c r="B68" s="180"/>
      <c r="C68" s="180"/>
      <c r="D68" s="180"/>
      <c r="E68" s="180"/>
      <c r="H68" s="3"/>
    </row>
    <row r="69" spans="1:12" ht="15.75" customHeight="1" x14ac:dyDescent="0.25">
      <c r="A69" s="126" t="s">
        <v>35</v>
      </c>
      <c r="B69" s="302" t="s">
        <v>36</v>
      </c>
      <c r="C69" s="47">
        <v>207.78</v>
      </c>
      <c r="D69" s="11">
        <v>415</v>
      </c>
      <c r="E69" s="47">
        <v>190</v>
      </c>
      <c r="H69" s="3"/>
      <c r="I69" s="27" t="s">
        <v>241</v>
      </c>
      <c r="J69" s="128">
        <v>43320</v>
      </c>
    </row>
    <row r="70" spans="1:12" ht="15.75" customHeight="1" x14ac:dyDescent="0.25">
      <c r="A70" s="126" t="s">
        <v>37</v>
      </c>
      <c r="B70" s="300"/>
      <c r="C70" s="47">
        <v>444.11</v>
      </c>
      <c r="D70" s="11">
        <v>433</v>
      </c>
      <c r="E70" s="47">
        <v>446</v>
      </c>
      <c r="H70" s="3"/>
    </row>
    <row r="71" spans="1:12" ht="15.75" customHeight="1" x14ac:dyDescent="0.25">
      <c r="A71" s="126" t="s">
        <v>38</v>
      </c>
      <c r="B71" s="300"/>
      <c r="C71" s="47">
        <v>579.55999999999995</v>
      </c>
      <c r="D71" s="11">
        <v>503</v>
      </c>
      <c r="E71" s="47">
        <v>518</v>
      </c>
      <c r="H71" s="3"/>
    </row>
    <row r="72" spans="1:12" ht="15.75" customHeight="1" x14ac:dyDescent="0.25">
      <c r="A72" s="129" t="s">
        <v>39</v>
      </c>
      <c r="B72" s="300"/>
      <c r="C72" s="50">
        <v>746.22</v>
      </c>
      <c r="D72" s="11">
        <v>641</v>
      </c>
      <c r="E72" s="11">
        <v>671</v>
      </c>
      <c r="H72" s="3"/>
    </row>
    <row r="73" spans="1:12" ht="15.75" customHeight="1" x14ac:dyDescent="0.25">
      <c r="A73" s="10" t="s">
        <v>41</v>
      </c>
      <c r="B73" s="300"/>
      <c r="C73" s="239">
        <v>869.5</v>
      </c>
      <c r="D73" s="51">
        <v>691</v>
      </c>
      <c r="E73" s="50">
        <v>725</v>
      </c>
      <c r="H73" s="3"/>
    </row>
    <row r="74" spans="1:12" ht="15.75" customHeight="1" x14ac:dyDescent="0.25">
      <c r="A74" s="79"/>
      <c r="B74" s="81"/>
      <c r="C74" s="81"/>
      <c r="D74" s="81"/>
      <c r="E74" s="215"/>
      <c r="H74" s="3"/>
    </row>
    <row r="75" spans="1:12" ht="15.75" customHeight="1" x14ac:dyDescent="0.25">
      <c r="A75" s="9" t="s">
        <v>46</v>
      </c>
      <c r="B75" s="299" t="s">
        <v>47</v>
      </c>
      <c r="C75" s="11">
        <v>88.4</v>
      </c>
      <c r="D75" s="11">
        <v>97</v>
      </c>
      <c r="E75" s="47">
        <v>102</v>
      </c>
      <c r="H75" s="3"/>
    </row>
    <row r="76" spans="1:12" ht="15.75" customHeight="1" x14ac:dyDescent="0.25">
      <c r="A76" s="9" t="s">
        <v>48</v>
      </c>
      <c r="B76" s="300"/>
      <c r="C76" s="11">
        <v>94.6</v>
      </c>
      <c r="D76" s="11">
        <v>99</v>
      </c>
      <c r="E76" s="47">
        <v>106</v>
      </c>
      <c r="H76" s="3"/>
    </row>
    <row r="77" spans="1:12" ht="15.75" customHeight="1" x14ac:dyDescent="0.25">
      <c r="A77" s="41"/>
      <c r="B77" s="125"/>
      <c r="C77" s="42"/>
      <c r="D77" s="11"/>
      <c r="E77" s="180"/>
      <c r="H77" s="3"/>
    </row>
    <row r="78" spans="1:12" ht="15.75" customHeight="1" x14ac:dyDescent="0.25">
      <c r="A78" s="126" t="s">
        <v>50</v>
      </c>
      <c r="B78" s="302" t="s">
        <v>51</v>
      </c>
      <c r="C78" s="47">
        <v>271.44</v>
      </c>
      <c r="D78" s="11">
        <v>301</v>
      </c>
      <c r="E78" s="11">
        <v>305</v>
      </c>
      <c r="H78" s="3"/>
    </row>
    <row r="79" spans="1:12" ht="15.75" customHeight="1" x14ac:dyDescent="0.25">
      <c r="A79" s="126" t="s">
        <v>54</v>
      </c>
      <c r="B79" s="300"/>
      <c r="C79" s="47">
        <v>550.22199999999998</v>
      </c>
      <c r="D79" s="11">
        <v>308</v>
      </c>
      <c r="E79" s="11">
        <v>340</v>
      </c>
      <c r="H79" s="3"/>
    </row>
    <row r="80" spans="1:12" ht="15.75" customHeight="1" x14ac:dyDescent="0.25">
      <c r="A80" s="126" t="s">
        <v>55</v>
      </c>
      <c r="B80" s="300"/>
      <c r="C80" s="47">
        <v>746.8</v>
      </c>
      <c r="D80" s="11">
        <v>667</v>
      </c>
      <c r="E80" s="11">
        <v>689</v>
      </c>
      <c r="H80" s="3"/>
    </row>
    <row r="81" spans="1:8" ht="15.75" customHeight="1" x14ac:dyDescent="0.25">
      <c r="A81" s="129" t="s">
        <v>56</v>
      </c>
      <c r="B81" s="300"/>
      <c r="C81" s="50">
        <v>768.33333333333337</v>
      </c>
      <c r="D81" s="11">
        <v>713</v>
      </c>
      <c r="E81" s="11">
        <v>740</v>
      </c>
      <c r="H81" s="3"/>
    </row>
    <row r="82" spans="1:8" ht="15.75" customHeight="1" x14ac:dyDescent="0.25">
      <c r="A82" s="240" t="s">
        <v>57</v>
      </c>
      <c r="B82" s="300"/>
      <c r="C82" s="239">
        <v>609</v>
      </c>
      <c r="D82" s="51">
        <v>620</v>
      </c>
      <c r="E82" s="51">
        <v>620</v>
      </c>
      <c r="H82" s="3"/>
    </row>
    <row r="83" spans="1:8" ht="15.75" customHeight="1" x14ac:dyDescent="0.25">
      <c r="A83" s="79"/>
      <c r="B83" s="81"/>
      <c r="C83" s="81"/>
      <c r="D83" s="81"/>
      <c r="E83" s="215"/>
      <c r="H83" s="3"/>
    </row>
    <row r="84" spans="1:8" ht="15.75" customHeight="1" x14ac:dyDescent="0.25">
      <c r="A84" s="9" t="s">
        <v>60</v>
      </c>
      <c r="B84" s="299" t="s">
        <v>62</v>
      </c>
      <c r="C84" s="47">
        <v>19.741666666666667</v>
      </c>
      <c r="D84" s="11">
        <v>22</v>
      </c>
      <c r="E84" s="53">
        <v>34</v>
      </c>
      <c r="H84" s="3"/>
    </row>
    <row r="85" spans="1:8" ht="15.75" customHeight="1" x14ac:dyDescent="0.25">
      <c r="A85" s="9" t="s">
        <v>65</v>
      </c>
      <c r="B85" s="300"/>
      <c r="C85" s="11">
        <v>42</v>
      </c>
      <c r="D85" s="11">
        <v>41</v>
      </c>
      <c r="E85" s="54">
        <v>38</v>
      </c>
      <c r="H85" s="3"/>
    </row>
    <row r="86" spans="1:8" ht="15.75" customHeight="1" x14ac:dyDescent="0.25">
      <c r="A86" s="9" t="s">
        <v>64</v>
      </c>
      <c r="B86" s="301"/>
      <c r="C86" s="11">
        <v>42</v>
      </c>
      <c r="D86" s="11">
        <v>37</v>
      </c>
      <c r="E86" s="55">
        <v>43</v>
      </c>
      <c r="H86" s="3"/>
    </row>
    <row r="87" spans="1:8" ht="15.75" customHeight="1" x14ac:dyDescent="0.25">
      <c r="A87" s="180"/>
      <c r="B87" s="180"/>
      <c r="C87" s="180"/>
      <c r="D87" s="11"/>
      <c r="E87" s="180"/>
      <c r="H87" s="3"/>
    </row>
    <row r="88" spans="1:8" ht="15.75" customHeight="1" x14ac:dyDescent="0.25">
      <c r="A88" s="129" t="s">
        <v>66</v>
      </c>
      <c r="B88" s="302" t="s">
        <v>68</v>
      </c>
      <c r="C88" s="50">
        <v>204.5</v>
      </c>
      <c r="D88" s="11">
        <v>225</v>
      </c>
      <c r="E88" s="11">
        <v>231</v>
      </c>
      <c r="H88" s="3"/>
    </row>
    <row r="89" spans="1:8" ht="15.75" customHeight="1" x14ac:dyDescent="0.25">
      <c r="A89" s="10" t="s">
        <v>69</v>
      </c>
      <c r="B89" s="300"/>
      <c r="C89" s="239">
        <v>277.7</v>
      </c>
      <c r="D89" s="51">
        <v>279</v>
      </c>
      <c r="E89" s="51">
        <v>291</v>
      </c>
      <c r="H89" s="3"/>
    </row>
    <row r="90" spans="1:8" ht="15.75" customHeight="1" x14ac:dyDescent="0.25">
      <c r="A90" s="44"/>
      <c r="B90" s="46"/>
      <c r="C90" s="46"/>
      <c r="D90" s="46"/>
      <c r="E90" s="216"/>
      <c r="H90" s="3"/>
    </row>
    <row r="91" spans="1:8" ht="15.75" customHeight="1" x14ac:dyDescent="0.25">
      <c r="A91" s="56" t="s">
        <v>69</v>
      </c>
      <c r="B91" s="303" t="s">
        <v>71</v>
      </c>
      <c r="C91" s="47">
        <v>12</v>
      </c>
      <c r="D91" s="11">
        <v>22</v>
      </c>
      <c r="E91" s="11">
        <v>21</v>
      </c>
      <c r="H91" s="3"/>
    </row>
    <row r="92" spans="1:8" ht="15.75" customHeight="1" x14ac:dyDescent="0.25">
      <c r="A92" s="56" t="s">
        <v>72</v>
      </c>
      <c r="B92" s="300"/>
      <c r="C92" s="47">
        <v>14</v>
      </c>
      <c r="D92" s="11">
        <v>22</v>
      </c>
      <c r="E92" s="11">
        <v>23</v>
      </c>
      <c r="H92" s="3"/>
    </row>
    <row r="93" spans="1:8" ht="15.75" customHeight="1" x14ac:dyDescent="0.25">
      <c r="A93" s="56" t="s">
        <v>73</v>
      </c>
      <c r="B93" s="301"/>
      <c r="C93" s="47">
        <v>17.43333333333333</v>
      </c>
      <c r="D93" s="11">
        <v>25</v>
      </c>
      <c r="E93" s="11">
        <v>27</v>
      </c>
      <c r="H93" s="3"/>
    </row>
    <row r="94" spans="1:8" ht="15.75" customHeight="1" x14ac:dyDescent="0.25">
      <c r="A94" s="180"/>
      <c r="B94" s="180"/>
      <c r="C94" s="180"/>
      <c r="D94" s="11"/>
      <c r="E94" s="180"/>
      <c r="H94" s="3"/>
    </row>
    <row r="95" spans="1:8" ht="15.75" customHeight="1" x14ac:dyDescent="0.25">
      <c r="A95" s="56" t="s">
        <v>80</v>
      </c>
      <c r="B95" s="309" t="s">
        <v>77</v>
      </c>
      <c r="C95" s="47">
        <v>117</v>
      </c>
      <c r="D95" s="11">
        <v>197</v>
      </c>
      <c r="E95" s="11">
        <v>122</v>
      </c>
      <c r="H95" s="3"/>
    </row>
    <row r="96" spans="1:8" ht="15.75" customHeight="1" x14ac:dyDescent="0.25">
      <c r="A96" s="56" t="s">
        <v>78</v>
      </c>
      <c r="B96" s="300"/>
      <c r="C96" s="47">
        <v>188</v>
      </c>
      <c r="D96" s="11">
        <v>155</v>
      </c>
      <c r="E96" s="11">
        <v>157</v>
      </c>
      <c r="H96" s="3"/>
    </row>
    <row r="97" spans="1:8" ht="15.75" customHeight="1" x14ac:dyDescent="0.25">
      <c r="A97" s="56" t="s">
        <v>76</v>
      </c>
      <c r="B97" s="300"/>
      <c r="C97" s="50">
        <v>218</v>
      </c>
      <c r="D97" s="11">
        <v>244</v>
      </c>
      <c r="E97" s="11">
        <v>197</v>
      </c>
      <c r="H97" s="3"/>
    </row>
    <row r="98" spans="1:8" ht="15.75" customHeight="1" x14ac:dyDescent="0.25">
      <c r="A98" s="57" t="s">
        <v>79</v>
      </c>
      <c r="B98" s="300"/>
      <c r="C98" s="241">
        <v>239</v>
      </c>
      <c r="D98" s="51">
        <v>119</v>
      </c>
      <c r="E98" s="51">
        <v>255</v>
      </c>
      <c r="H98" s="3"/>
    </row>
    <row r="99" spans="1:8" ht="15.75" customHeight="1" x14ac:dyDescent="0.25">
      <c r="A99" s="44"/>
      <c r="B99" s="46"/>
      <c r="C99" s="46"/>
      <c r="D99" s="46"/>
      <c r="E99" s="216"/>
      <c r="H99" s="3"/>
    </row>
    <row r="100" spans="1:8" ht="15.75" customHeight="1" x14ac:dyDescent="0.25">
      <c r="A100" s="9" t="s">
        <v>81</v>
      </c>
      <c r="B100" s="299" t="s">
        <v>82</v>
      </c>
      <c r="C100" s="11">
        <v>2</v>
      </c>
      <c r="D100" s="11">
        <v>15</v>
      </c>
      <c r="E100" s="11">
        <v>9</v>
      </c>
      <c r="H100" s="3"/>
    </row>
    <row r="101" spans="1:8" ht="15.75" customHeight="1" x14ac:dyDescent="0.25">
      <c r="A101" s="9" t="s">
        <v>83</v>
      </c>
      <c r="B101" s="300"/>
      <c r="C101" s="11">
        <v>7.133</v>
      </c>
      <c r="D101" s="11">
        <v>15</v>
      </c>
      <c r="E101" s="11">
        <v>14</v>
      </c>
      <c r="H101" s="3"/>
    </row>
    <row r="102" spans="1:8" ht="15.75" customHeight="1" x14ac:dyDescent="0.25">
      <c r="A102" s="9" t="s">
        <v>155</v>
      </c>
      <c r="B102" s="301"/>
      <c r="C102" s="11">
        <v>10.72</v>
      </c>
      <c r="D102" s="11">
        <v>13</v>
      </c>
      <c r="E102" s="11">
        <v>16</v>
      </c>
      <c r="H102" s="3"/>
    </row>
    <row r="103" spans="1:8" ht="15.75" customHeight="1" x14ac:dyDescent="0.25">
      <c r="A103" s="180"/>
      <c r="B103" s="180"/>
      <c r="C103" s="180"/>
      <c r="D103" s="180"/>
      <c r="E103" s="180"/>
      <c r="H103" s="3"/>
    </row>
    <row r="104" spans="1:8" ht="15.75" customHeight="1" x14ac:dyDescent="0.25">
      <c r="A104" s="129" t="s">
        <v>86</v>
      </c>
      <c r="B104" s="302" t="s">
        <v>87</v>
      </c>
      <c r="C104" s="51">
        <v>19</v>
      </c>
      <c r="D104" s="11">
        <v>25</v>
      </c>
      <c r="E104" s="11">
        <v>25</v>
      </c>
      <c r="H104" s="3"/>
    </row>
    <row r="105" spans="1:8" ht="15.75" customHeight="1" x14ac:dyDescent="0.25">
      <c r="A105" s="10" t="s">
        <v>88</v>
      </c>
      <c r="B105" s="300"/>
      <c r="C105" s="176">
        <v>20</v>
      </c>
      <c r="D105" s="51">
        <v>25</v>
      </c>
      <c r="E105" s="51">
        <v>25</v>
      </c>
      <c r="H105" s="3"/>
    </row>
    <row r="106" spans="1:8" ht="15.75" customHeight="1" x14ac:dyDescent="0.25">
      <c r="A106" s="44"/>
      <c r="B106" s="46"/>
      <c r="C106" s="46"/>
      <c r="D106" s="46"/>
      <c r="E106" s="216"/>
      <c r="H106" s="3"/>
    </row>
    <row r="107" spans="1:8" ht="15.75" customHeight="1" x14ac:dyDescent="0.25">
      <c r="A107" s="8" t="s">
        <v>89</v>
      </c>
      <c r="B107" s="302" t="s">
        <v>90</v>
      </c>
      <c r="C107" s="25">
        <v>6</v>
      </c>
      <c r="D107" s="11">
        <v>11</v>
      </c>
      <c r="E107" s="11">
        <v>10</v>
      </c>
      <c r="H107" s="3"/>
    </row>
    <row r="108" spans="1:8" ht="15.75" customHeight="1" x14ac:dyDescent="0.25">
      <c r="A108" s="126" t="s">
        <v>91</v>
      </c>
      <c r="B108" s="301"/>
      <c r="C108" s="11">
        <v>16</v>
      </c>
      <c r="D108" s="51">
        <v>11</v>
      </c>
      <c r="E108" s="11">
        <v>11</v>
      </c>
      <c r="H108" s="3"/>
    </row>
    <row r="109" spans="1:8" ht="15.75" customHeight="1" x14ac:dyDescent="0.25">
      <c r="A109" s="180"/>
      <c r="B109" s="180"/>
      <c r="C109" s="180"/>
      <c r="D109" s="180"/>
      <c r="E109" s="180"/>
      <c r="H109" s="3"/>
    </row>
    <row r="110" spans="1:8" ht="15.75" customHeight="1" x14ac:dyDescent="0.25">
      <c r="A110" s="9" t="s">
        <v>94</v>
      </c>
      <c r="B110" s="299" t="s">
        <v>95</v>
      </c>
      <c r="C110" s="47">
        <v>49.666666666666664</v>
      </c>
      <c r="D110" s="11">
        <v>117</v>
      </c>
      <c r="E110" s="11">
        <v>118</v>
      </c>
      <c r="H110" s="3"/>
    </row>
    <row r="111" spans="1:8" ht="15.75" customHeight="1" x14ac:dyDescent="0.25">
      <c r="A111" s="9" t="s">
        <v>96</v>
      </c>
      <c r="B111" s="300"/>
      <c r="C111" s="47">
        <v>122</v>
      </c>
      <c r="D111" s="11">
        <v>124</v>
      </c>
      <c r="E111" s="11">
        <v>119</v>
      </c>
      <c r="H111" s="3"/>
    </row>
    <row r="112" spans="1:8" ht="15.75" customHeight="1" x14ac:dyDescent="0.25">
      <c r="A112" s="9" t="s">
        <v>97</v>
      </c>
      <c r="B112" s="300"/>
      <c r="C112" s="47">
        <v>130</v>
      </c>
      <c r="D112" s="11">
        <v>118</v>
      </c>
      <c r="E112" s="11">
        <v>122</v>
      </c>
      <c r="H112" s="3"/>
    </row>
    <row r="113" spans="1:8" ht="15.75" customHeight="1" x14ac:dyDescent="0.25">
      <c r="A113" s="9" t="s">
        <v>98</v>
      </c>
      <c r="B113" s="300"/>
      <c r="C113" s="47">
        <v>142</v>
      </c>
      <c r="D113" s="11">
        <v>125</v>
      </c>
      <c r="E113" s="11">
        <v>124</v>
      </c>
      <c r="H113" s="3"/>
    </row>
    <row r="114" spans="1:8" ht="15.75" customHeight="1" x14ac:dyDescent="0.25">
      <c r="A114" s="9" t="s">
        <v>99</v>
      </c>
      <c r="B114" s="301"/>
      <c r="C114" s="47">
        <v>146</v>
      </c>
      <c r="D114" s="11">
        <v>125</v>
      </c>
      <c r="E114" s="11">
        <v>125</v>
      </c>
      <c r="H114" s="3"/>
    </row>
    <row r="115" spans="1:8" ht="15.75" customHeight="1" x14ac:dyDescent="0.2"/>
    <row r="116" spans="1:8" ht="15.75" customHeight="1" x14ac:dyDescent="0.2"/>
    <row r="117" spans="1:8" ht="15.75" customHeight="1" x14ac:dyDescent="0.2"/>
    <row r="118" spans="1:8" ht="15.75" customHeight="1" x14ac:dyDescent="0.2"/>
    <row r="119" spans="1:8" ht="15.75" customHeight="1" x14ac:dyDescent="0.2"/>
    <row r="120" spans="1:8" ht="15.75" customHeight="1" x14ac:dyDescent="0.2"/>
    <row r="121" spans="1:8" ht="15.75" customHeight="1" x14ac:dyDescent="0.2"/>
    <row r="122" spans="1:8" ht="15.75" customHeight="1" x14ac:dyDescent="0.2"/>
    <row r="123" spans="1:8" ht="15.75" customHeight="1" x14ac:dyDescent="0.2"/>
    <row r="124" spans="1:8" ht="15.75" customHeight="1" x14ac:dyDescent="0.2"/>
    <row r="125" spans="1:8" ht="15.75" customHeight="1" x14ac:dyDescent="0.2"/>
    <row r="126" spans="1:8" ht="15.75" customHeight="1" x14ac:dyDescent="0.2"/>
    <row r="127" spans="1:8" ht="15.75" customHeight="1" x14ac:dyDescent="0.2"/>
    <row r="128" spans="1: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9">
    <mergeCell ref="B107:B108"/>
    <mergeCell ref="B110:B114"/>
    <mergeCell ref="B69:B73"/>
    <mergeCell ref="B75:B76"/>
    <mergeCell ref="B78:B82"/>
    <mergeCell ref="B84:B86"/>
    <mergeCell ref="B88:B89"/>
    <mergeCell ref="B91:B93"/>
    <mergeCell ref="B95:B98"/>
    <mergeCell ref="B63:B67"/>
    <mergeCell ref="G63:I63"/>
    <mergeCell ref="J63:L63"/>
    <mergeCell ref="B100:B102"/>
    <mergeCell ref="B104:B105"/>
    <mergeCell ref="C45:C46"/>
    <mergeCell ref="C48:C49"/>
    <mergeCell ref="C51:C55"/>
    <mergeCell ref="A61:E61"/>
    <mergeCell ref="G62:L62"/>
    <mergeCell ref="B35:E35"/>
    <mergeCell ref="C36:C39"/>
    <mergeCell ref="B40:F40"/>
    <mergeCell ref="C41:C43"/>
    <mergeCell ref="B44:E44"/>
    <mergeCell ref="B24:F24"/>
    <mergeCell ref="C25:C27"/>
    <mergeCell ref="C29:C30"/>
    <mergeCell ref="B31:F31"/>
    <mergeCell ref="C32:C34"/>
    <mergeCell ref="B9:E9"/>
    <mergeCell ref="B15:F15"/>
    <mergeCell ref="C10:C14"/>
    <mergeCell ref="C16:C17"/>
    <mergeCell ref="C19:C23"/>
    <mergeCell ref="B2:E2"/>
    <mergeCell ref="H3:M3"/>
    <mergeCell ref="C4:C8"/>
    <mergeCell ref="H4:J4"/>
    <mergeCell ref="K4:M4"/>
  </mergeCells>
  <pageMargins left="0.7" right="0.7" top="0.75" bottom="0.75" header="0" footer="0"/>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3:Z1000"/>
  <sheetViews>
    <sheetView workbookViewId="0"/>
  </sheetViews>
  <sheetFormatPr baseColWidth="10" defaultColWidth="12.625" defaultRowHeight="15" customHeight="1" x14ac:dyDescent="0.2"/>
  <cols>
    <col min="1" max="26" width="10" customWidth="1"/>
  </cols>
  <sheetData>
    <row r="3" spans="2:13" x14ac:dyDescent="0.25">
      <c r="B3" s="21" t="s">
        <v>1329</v>
      </c>
    </row>
    <row r="7" spans="2:13" x14ac:dyDescent="0.25">
      <c r="C7" s="304" t="s">
        <v>1330</v>
      </c>
      <c r="D7" s="297"/>
      <c r="E7" s="297"/>
      <c r="F7" s="297"/>
      <c r="G7" s="154"/>
      <c r="I7" s="3"/>
    </row>
    <row r="8" spans="2:13" ht="24" x14ac:dyDescent="0.2">
      <c r="C8" s="4" t="s">
        <v>0</v>
      </c>
      <c r="D8" s="5" t="s">
        <v>1</v>
      </c>
      <c r="E8" s="5" t="s">
        <v>2</v>
      </c>
      <c r="F8" s="5" t="s">
        <v>43</v>
      </c>
      <c r="G8" s="45" t="s">
        <v>125</v>
      </c>
      <c r="H8" s="296" t="s">
        <v>6</v>
      </c>
      <c r="I8" s="297"/>
      <c r="J8" s="297"/>
      <c r="K8" s="297"/>
      <c r="L8" s="297"/>
      <c r="M8" s="298"/>
    </row>
    <row r="9" spans="2:13" ht="14.25" x14ac:dyDescent="0.2">
      <c r="C9" s="9" t="s">
        <v>7</v>
      </c>
      <c r="D9" s="302" t="s">
        <v>9</v>
      </c>
      <c r="E9" s="47">
        <v>28.1</v>
      </c>
      <c r="F9" s="11"/>
      <c r="G9" s="11">
        <v>50</v>
      </c>
      <c r="H9" s="296" t="s">
        <v>106</v>
      </c>
      <c r="I9" s="297"/>
      <c r="J9" s="298"/>
      <c r="K9" s="296" t="s">
        <v>107</v>
      </c>
      <c r="L9" s="297"/>
      <c r="M9" s="298"/>
    </row>
    <row r="10" spans="2:13" ht="14.25" x14ac:dyDescent="0.2">
      <c r="C10" s="9" t="s">
        <v>17</v>
      </c>
      <c r="D10" s="300"/>
      <c r="E10" s="47">
        <v>63.911000000000001</v>
      </c>
      <c r="F10" s="11"/>
      <c r="G10" s="11">
        <v>63</v>
      </c>
      <c r="H10" s="13" t="s">
        <v>13</v>
      </c>
      <c r="I10" s="14"/>
      <c r="J10" s="17" t="s">
        <v>1332</v>
      </c>
      <c r="K10" s="13" t="s">
        <v>13</v>
      </c>
      <c r="L10" s="39">
        <f>L12+L12*0.05</f>
        <v>921.9</v>
      </c>
      <c r="M10" s="17" t="s">
        <v>1333</v>
      </c>
    </row>
    <row r="11" spans="2:13" ht="14.25" x14ac:dyDescent="0.2">
      <c r="C11" s="9" t="s">
        <v>26</v>
      </c>
      <c r="D11" s="300"/>
      <c r="E11" s="47">
        <v>69.921999999999997</v>
      </c>
      <c r="F11" s="11"/>
      <c r="G11" s="11">
        <v>65</v>
      </c>
      <c r="H11" s="13" t="s">
        <v>19</v>
      </c>
      <c r="I11" s="18"/>
      <c r="J11" s="17" t="s">
        <v>1334</v>
      </c>
      <c r="K11" s="13" t="s">
        <v>19</v>
      </c>
      <c r="L11" s="40">
        <f>L12-L12*0.05</f>
        <v>834.1</v>
      </c>
      <c r="M11" s="17" t="s">
        <v>1335</v>
      </c>
    </row>
    <row r="12" spans="2:13" ht="14.25" x14ac:dyDescent="0.2">
      <c r="C12" s="9" t="s">
        <v>32</v>
      </c>
      <c r="D12" s="300"/>
      <c r="E12" s="47">
        <v>96.744</v>
      </c>
      <c r="F12" s="11"/>
      <c r="G12" s="11">
        <v>82</v>
      </c>
      <c r="H12" s="13" t="s">
        <v>27</v>
      </c>
      <c r="I12" s="20"/>
      <c r="J12" s="17" t="s">
        <v>1336</v>
      </c>
      <c r="K12" s="13" t="s">
        <v>27</v>
      </c>
      <c r="L12" s="182">
        <v>878</v>
      </c>
      <c r="M12" s="17" t="s">
        <v>1337</v>
      </c>
    </row>
    <row r="13" spans="2:13" ht="14.25" x14ac:dyDescent="0.2">
      <c r="C13" s="9" t="s">
        <v>33</v>
      </c>
      <c r="D13" s="301"/>
      <c r="E13" s="47">
        <v>128.11000000000001</v>
      </c>
      <c r="F13" s="11"/>
      <c r="G13" s="11">
        <v>130</v>
      </c>
      <c r="H13" s="13" t="s">
        <v>121</v>
      </c>
      <c r="I13" s="20"/>
      <c r="J13" s="17" t="s">
        <v>1338</v>
      </c>
      <c r="K13" s="13" t="s">
        <v>121</v>
      </c>
      <c r="L13" s="182">
        <v>880</v>
      </c>
      <c r="M13" s="17" t="s">
        <v>1339</v>
      </c>
    </row>
    <row r="14" spans="2:13" x14ac:dyDescent="0.25">
      <c r="C14" s="41"/>
      <c r="D14" s="42"/>
      <c r="E14" s="42"/>
      <c r="F14" s="42"/>
      <c r="G14" s="11"/>
      <c r="I14" s="3"/>
    </row>
    <row r="15" spans="2:13" x14ac:dyDescent="0.25">
      <c r="C15" s="9" t="s">
        <v>35</v>
      </c>
      <c r="D15" s="302" t="s">
        <v>36</v>
      </c>
      <c r="E15" s="47">
        <v>207.78</v>
      </c>
      <c r="F15" s="11"/>
      <c r="G15" s="11">
        <v>286</v>
      </c>
      <c r="I15" s="3"/>
    </row>
    <row r="16" spans="2:13" x14ac:dyDescent="0.25">
      <c r="C16" s="9" t="s">
        <v>37</v>
      </c>
      <c r="D16" s="300"/>
      <c r="E16" s="47">
        <v>444.11</v>
      </c>
      <c r="F16" s="11"/>
      <c r="G16" s="11">
        <v>347</v>
      </c>
      <c r="I16" s="3"/>
    </row>
    <row r="17" spans="3:9" x14ac:dyDescent="0.25">
      <c r="C17" s="9" t="s">
        <v>38</v>
      </c>
      <c r="D17" s="300"/>
      <c r="E17" s="47">
        <v>579.55999999999995</v>
      </c>
      <c r="F17" s="11"/>
      <c r="G17" s="11">
        <v>466</v>
      </c>
      <c r="I17" s="3"/>
    </row>
    <row r="18" spans="3:9" x14ac:dyDescent="0.25">
      <c r="C18" s="9" t="s">
        <v>39</v>
      </c>
      <c r="D18" s="300"/>
      <c r="E18" s="47">
        <v>746.22</v>
      </c>
      <c r="F18" s="11"/>
      <c r="G18" s="11">
        <v>782</v>
      </c>
      <c r="I18" s="3"/>
    </row>
    <row r="19" spans="3:9" x14ac:dyDescent="0.25">
      <c r="C19" s="49" t="s">
        <v>41</v>
      </c>
      <c r="D19" s="300"/>
      <c r="E19" s="50">
        <v>869.5</v>
      </c>
      <c r="F19" s="51"/>
      <c r="G19" s="51">
        <v>817</v>
      </c>
      <c r="I19" s="3"/>
    </row>
    <row r="20" spans="3:9" x14ac:dyDescent="0.25">
      <c r="C20" s="308"/>
      <c r="D20" s="297"/>
      <c r="E20" s="297"/>
      <c r="F20" s="297"/>
      <c r="G20" s="306"/>
      <c r="I20" s="3"/>
    </row>
    <row r="21" spans="3:9" ht="15.75" customHeight="1" x14ac:dyDescent="0.25">
      <c r="C21" s="9" t="s">
        <v>46</v>
      </c>
      <c r="D21" s="299" t="s">
        <v>47</v>
      </c>
      <c r="E21" s="47">
        <v>88.4</v>
      </c>
      <c r="F21" s="11"/>
      <c r="G21" s="11">
        <v>91</v>
      </c>
      <c r="I21" s="3"/>
    </row>
    <row r="22" spans="3:9" ht="15.75" customHeight="1" x14ac:dyDescent="0.25">
      <c r="C22" s="9" t="s">
        <v>48</v>
      </c>
      <c r="D22" s="300"/>
      <c r="E22" s="47">
        <v>94.6</v>
      </c>
      <c r="F22" s="11"/>
      <c r="G22" s="11">
        <v>95</v>
      </c>
      <c r="I22" s="3"/>
    </row>
    <row r="23" spans="3:9" ht="15.75" customHeight="1" x14ac:dyDescent="0.25">
      <c r="C23" s="41"/>
      <c r="D23" s="42"/>
      <c r="E23" s="69"/>
      <c r="F23" s="42"/>
      <c r="G23" s="11"/>
      <c r="I23" s="3"/>
    </row>
    <row r="24" spans="3:9" ht="15.75" customHeight="1" x14ac:dyDescent="0.25">
      <c r="C24" s="9" t="s">
        <v>50</v>
      </c>
      <c r="D24" s="302" t="s">
        <v>51</v>
      </c>
      <c r="E24" s="47">
        <v>271.44400000000002</v>
      </c>
      <c r="F24" s="11"/>
      <c r="G24" s="11">
        <v>404</v>
      </c>
      <c r="I24" s="3"/>
    </row>
    <row r="25" spans="3:9" ht="15.75" customHeight="1" x14ac:dyDescent="0.25">
      <c r="C25" s="9" t="s">
        <v>54</v>
      </c>
      <c r="D25" s="300"/>
      <c r="E25" s="47">
        <v>550.22199999999998</v>
      </c>
      <c r="F25" s="11"/>
      <c r="G25" s="11">
        <v>448</v>
      </c>
      <c r="I25" s="3"/>
    </row>
    <row r="26" spans="3:9" ht="15.75" customHeight="1" x14ac:dyDescent="0.25">
      <c r="C26" s="9" t="s">
        <v>55</v>
      </c>
      <c r="D26" s="300"/>
      <c r="E26" s="47">
        <v>609</v>
      </c>
      <c r="F26" s="11"/>
      <c r="G26" s="11">
        <v>645</v>
      </c>
      <c r="I26" s="3"/>
    </row>
    <row r="27" spans="3:9" ht="15.75" customHeight="1" x14ac:dyDescent="0.25">
      <c r="C27" s="9" t="s">
        <v>56</v>
      </c>
      <c r="D27" s="300"/>
      <c r="E27" s="47">
        <v>739.11099999999999</v>
      </c>
      <c r="F27" s="11"/>
      <c r="G27" s="11">
        <v>552</v>
      </c>
      <c r="I27" s="3"/>
    </row>
    <row r="28" spans="3:9" ht="15.75" customHeight="1" x14ac:dyDescent="0.25">
      <c r="C28" s="49" t="s">
        <v>57</v>
      </c>
      <c r="D28" s="300"/>
      <c r="E28" s="50">
        <v>746.88900000000001</v>
      </c>
      <c r="F28" s="51"/>
      <c r="G28" s="51">
        <v>809</v>
      </c>
      <c r="I28" s="3"/>
    </row>
    <row r="29" spans="3:9" ht="15.75" customHeight="1" x14ac:dyDescent="0.25">
      <c r="C29" s="308"/>
      <c r="D29" s="297"/>
      <c r="E29" s="297"/>
      <c r="F29" s="297"/>
      <c r="G29" s="306"/>
      <c r="I29" s="3"/>
    </row>
    <row r="30" spans="3:9" ht="15.75" customHeight="1" x14ac:dyDescent="0.25">
      <c r="C30" s="9" t="s">
        <v>60</v>
      </c>
      <c r="D30" s="299" t="s">
        <v>62</v>
      </c>
      <c r="E30" s="47">
        <v>19.36</v>
      </c>
      <c r="F30" s="11"/>
      <c r="G30" s="11">
        <v>22</v>
      </c>
      <c r="I30" s="3"/>
    </row>
    <row r="31" spans="3:9" ht="15.75" customHeight="1" x14ac:dyDescent="0.25">
      <c r="C31" s="9" t="s">
        <v>64</v>
      </c>
      <c r="D31" s="300"/>
      <c r="E31" s="47">
        <v>33.31</v>
      </c>
      <c r="F31" s="11"/>
      <c r="G31" s="11">
        <v>37</v>
      </c>
      <c r="I31" s="3"/>
    </row>
    <row r="32" spans="3:9" ht="15.75" customHeight="1" x14ac:dyDescent="0.25">
      <c r="C32" s="9" t="s">
        <v>65</v>
      </c>
      <c r="D32" s="301"/>
      <c r="E32" s="47">
        <v>41.74</v>
      </c>
      <c r="F32" s="11"/>
      <c r="G32" s="11">
        <v>40</v>
      </c>
      <c r="I32" s="3"/>
    </row>
    <row r="33" spans="3:9" ht="15.75" customHeight="1" x14ac:dyDescent="0.25">
      <c r="C33" s="41"/>
      <c r="D33" s="42"/>
      <c r="E33" s="69"/>
      <c r="F33" s="42"/>
      <c r="G33" s="11"/>
      <c r="I33" s="3"/>
    </row>
    <row r="34" spans="3:9" ht="15.75" customHeight="1" x14ac:dyDescent="0.25">
      <c r="C34" s="9" t="s">
        <v>66</v>
      </c>
      <c r="D34" s="302" t="s">
        <v>68</v>
      </c>
      <c r="E34" s="47">
        <v>204.5</v>
      </c>
      <c r="F34" s="11"/>
      <c r="G34" s="11">
        <v>226</v>
      </c>
      <c r="I34" s="3"/>
    </row>
    <row r="35" spans="3:9" ht="15.75" customHeight="1" x14ac:dyDescent="0.25">
      <c r="C35" s="49" t="s">
        <v>69</v>
      </c>
      <c r="D35" s="300"/>
      <c r="E35" s="50">
        <v>277.7</v>
      </c>
      <c r="F35" s="51"/>
      <c r="G35" s="51">
        <v>290</v>
      </c>
      <c r="I35" s="3"/>
    </row>
    <row r="36" spans="3:9" ht="15.75" customHeight="1" x14ac:dyDescent="0.25">
      <c r="C36" s="305"/>
      <c r="D36" s="297"/>
      <c r="E36" s="297"/>
      <c r="F36" s="297"/>
      <c r="G36" s="306"/>
      <c r="I36" s="3"/>
    </row>
    <row r="37" spans="3:9" ht="15.75" customHeight="1" x14ac:dyDescent="0.25">
      <c r="C37" s="9" t="s">
        <v>69</v>
      </c>
      <c r="D37" s="299" t="s">
        <v>71</v>
      </c>
      <c r="E37" s="47">
        <v>10.283300000000001</v>
      </c>
      <c r="F37" s="11"/>
      <c r="G37" s="11">
        <v>9</v>
      </c>
      <c r="I37" s="3"/>
    </row>
    <row r="38" spans="3:9" ht="15.75" customHeight="1" x14ac:dyDescent="0.25">
      <c r="C38" s="9" t="s">
        <v>72</v>
      </c>
      <c r="D38" s="300"/>
      <c r="E38" s="47">
        <v>11.8833</v>
      </c>
      <c r="F38" s="11"/>
      <c r="G38" s="11">
        <v>12</v>
      </c>
      <c r="I38" s="3"/>
    </row>
    <row r="39" spans="3:9" ht="15.75" customHeight="1" x14ac:dyDescent="0.25">
      <c r="C39" s="9" t="s">
        <v>73</v>
      </c>
      <c r="D39" s="301"/>
      <c r="E39" s="47">
        <v>17.433299999999999</v>
      </c>
      <c r="F39" s="11"/>
      <c r="G39" s="11">
        <v>16</v>
      </c>
      <c r="I39" s="3"/>
    </row>
    <row r="40" spans="3:9" ht="15.75" customHeight="1" x14ac:dyDescent="0.25">
      <c r="C40" s="41"/>
      <c r="D40" s="42"/>
      <c r="E40" s="69"/>
      <c r="F40" s="42"/>
      <c r="G40" s="11"/>
      <c r="I40" s="3"/>
    </row>
    <row r="41" spans="3:9" ht="15.75" customHeight="1" x14ac:dyDescent="0.25">
      <c r="C41" s="9" t="s">
        <v>76</v>
      </c>
      <c r="D41" s="302" t="s">
        <v>77</v>
      </c>
      <c r="E41" s="47">
        <v>117.467</v>
      </c>
      <c r="F41" s="11"/>
      <c r="G41" s="11">
        <v>140</v>
      </c>
      <c r="I41" s="3"/>
    </row>
    <row r="42" spans="3:9" ht="15.75" customHeight="1" x14ac:dyDescent="0.25">
      <c r="C42" s="9" t="s">
        <v>78</v>
      </c>
      <c r="D42" s="300"/>
      <c r="E42" s="47">
        <v>187.833</v>
      </c>
      <c r="F42" s="11"/>
      <c r="G42" s="11">
        <v>162</v>
      </c>
      <c r="I42" s="3"/>
    </row>
    <row r="43" spans="3:9" ht="15.75" customHeight="1" x14ac:dyDescent="0.25">
      <c r="C43" s="9" t="s">
        <v>79</v>
      </c>
      <c r="D43" s="300"/>
      <c r="E43" s="47">
        <v>218.333</v>
      </c>
      <c r="F43" s="11"/>
      <c r="G43" s="11">
        <v>194</v>
      </c>
      <c r="I43" s="3"/>
    </row>
    <row r="44" spans="3:9" ht="15.75" customHeight="1" x14ac:dyDescent="0.25">
      <c r="C44" s="49" t="s">
        <v>80</v>
      </c>
      <c r="D44" s="300"/>
      <c r="E44" s="50">
        <v>238.5</v>
      </c>
      <c r="F44" s="51"/>
      <c r="G44" s="51">
        <v>248</v>
      </c>
      <c r="I44" s="3"/>
    </row>
    <row r="45" spans="3:9" ht="15.75" customHeight="1" x14ac:dyDescent="0.25">
      <c r="C45" s="305"/>
      <c r="D45" s="297"/>
      <c r="E45" s="297"/>
      <c r="F45" s="297"/>
      <c r="G45" s="306"/>
      <c r="I45" s="3"/>
    </row>
    <row r="46" spans="3:9" ht="15.75" customHeight="1" x14ac:dyDescent="0.25">
      <c r="C46" s="9" t="s">
        <v>81</v>
      </c>
      <c r="D46" s="299" t="s">
        <v>82</v>
      </c>
      <c r="E46" s="11">
        <v>2</v>
      </c>
      <c r="F46" s="11"/>
      <c r="G46" s="11">
        <v>4</v>
      </c>
      <c r="I46" s="3"/>
    </row>
    <row r="47" spans="3:9" ht="15.75" customHeight="1" x14ac:dyDescent="0.25">
      <c r="C47" s="9" t="s">
        <v>83</v>
      </c>
      <c r="D47" s="300"/>
      <c r="E47" s="47">
        <v>7.133</v>
      </c>
      <c r="F47" s="11"/>
      <c r="G47" s="11">
        <v>11</v>
      </c>
      <c r="I47" s="3"/>
    </row>
    <row r="48" spans="3:9" ht="15.75" customHeight="1" x14ac:dyDescent="0.25">
      <c r="C48" s="9" t="s">
        <v>84</v>
      </c>
      <c r="D48" s="301"/>
      <c r="E48" s="47">
        <v>10.72</v>
      </c>
      <c r="F48" s="11"/>
      <c r="G48" s="11">
        <v>10</v>
      </c>
      <c r="I48" s="3"/>
    </row>
    <row r="49" spans="1:26" ht="15.75" customHeight="1" x14ac:dyDescent="0.25">
      <c r="C49" s="41"/>
      <c r="D49" s="42"/>
      <c r="E49" s="69"/>
      <c r="F49" s="42"/>
      <c r="G49" s="11"/>
      <c r="I49" s="3"/>
    </row>
    <row r="50" spans="1:26" ht="15.75" customHeight="1" x14ac:dyDescent="0.25">
      <c r="C50" s="9" t="s">
        <v>86</v>
      </c>
      <c r="D50" s="302" t="s">
        <v>87</v>
      </c>
      <c r="E50" s="47">
        <v>20.466999999999999</v>
      </c>
      <c r="F50" s="11"/>
      <c r="G50" s="11">
        <v>21</v>
      </c>
      <c r="I50" s="3"/>
    </row>
    <row r="51" spans="1:26" ht="15.75" customHeight="1" x14ac:dyDescent="0.25">
      <c r="C51" s="49" t="s">
        <v>88</v>
      </c>
      <c r="D51" s="300"/>
      <c r="E51" s="50">
        <v>20.367000000000001</v>
      </c>
      <c r="F51" s="51"/>
      <c r="G51" s="51">
        <v>21</v>
      </c>
      <c r="I51" s="3"/>
    </row>
    <row r="52" spans="1:26" ht="15.75" customHeight="1" x14ac:dyDescent="0.25">
      <c r="C52" s="305"/>
      <c r="D52" s="297"/>
      <c r="E52" s="297"/>
      <c r="F52" s="297"/>
      <c r="G52" s="306"/>
      <c r="I52" s="3"/>
    </row>
    <row r="53" spans="1:26" ht="15.75" customHeight="1" x14ac:dyDescent="0.25">
      <c r="C53" s="9" t="s">
        <v>89</v>
      </c>
      <c r="D53" s="299" t="s">
        <v>90</v>
      </c>
      <c r="E53" s="47">
        <v>5.15</v>
      </c>
      <c r="F53" s="11"/>
      <c r="G53" s="11">
        <v>8</v>
      </c>
      <c r="I53" s="3"/>
    </row>
    <row r="54" spans="1:26" ht="15.75" customHeight="1" x14ac:dyDescent="0.25">
      <c r="C54" s="49" t="s">
        <v>91</v>
      </c>
      <c r="D54" s="300"/>
      <c r="E54" s="50">
        <v>16.2</v>
      </c>
      <c r="F54" s="51"/>
      <c r="G54" s="51">
        <v>12</v>
      </c>
      <c r="I54" s="3"/>
    </row>
    <row r="55" spans="1:26" ht="15.75" customHeight="1" x14ac:dyDescent="0.25">
      <c r="C55" s="41"/>
      <c r="D55" s="42"/>
      <c r="E55" s="69"/>
      <c r="F55" s="42"/>
      <c r="G55" s="201"/>
      <c r="I55" s="3"/>
    </row>
    <row r="56" spans="1:26" ht="15.75" customHeight="1" x14ac:dyDescent="0.25">
      <c r="C56" s="9" t="s">
        <v>94</v>
      </c>
      <c r="D56" s="299" t="s">
        <v>95</v>
      </c>
      <c r="E56" s="47">
        <v>50.082999999999998</v>
      </c>
      <c r="F56" s="11"/>
      <c r="G56" s="11">
        <v>55</v>
      </c>
      <c r="I56" s="3"/>
    </row>
    <row r="57" spans="1:26" ht="15.75" customHeight="1" x14ac:dyDescent="0.25">
      <c r="C57" s="9" t="s">
        <v>96</v>
      </c>
      <c r="D57" s="300"/>
      <c r="E57" s="47">
        <v>93.992999999999995</v>
      </c>
      <c r="F57" s="11"/>
      <c r="G57" s="11">
        <v>91</v>
      </c>
      <c r="I57" s="3"/>
    </row>
    <row r="58" spans="1:26" ht="15.75" customHeight="1" x14ac:dyDescent="0.25">
      <c r="C58" s="9" t="s">
        <v>97</v>
      </c>
      <c r="D58" s="300"/>
      <c r="E58" s="47">
        <v>95.516999999999996</v>
      </c>
      <c r="F58" s="11"/>
      <c r="G58" s="11">
        <v>101</v>
      </c>
      <c r="I58" s="3"/>
    </row>
    <row r="59" spans="1:26" ht="15.75" customHeight="1" x14ac:dyDescent="0.25">
      <c r="C59" s="9" t="s">
        <v>98</v>
      </c>
      <c r="D59" s="300"/>
      <c r="E59" s="47">
        <v>100.92</v>
      </c>
      <c r="F59" s="11"/>
      <c r="G59" s="11">
        <v>102</v>
      </c>
      <c r="I59" s="3"/>
    </row>
    <row r="60" spans="1:26" ht="15.75" customHeight="1" x14ac:dyDescent="0.25">
      <c r="C60" s="9" t="s">
        <v>99</v>
      </c>
      <c r="D60" s="301"/>
      <c r="E60" s="47">
        <v>115.37</v>
      </c>
      <c r="F60" s="11"/>
      <c r="G60" s="11">
        <v>106</v>
      </c>
      <c r="I60" s="3"/>
    </row>
    <row r="61" spans="1:26" ht="15.75" customHeight="1" x14ac:dyDescent="0.25">
      <c r="C61" s="1"/>
      <c r="D61" s="1"/>
      <c r="E61" s="2"/>
      <c r="F61" s="2"/>
      <c r="G61" s="146"/>
      <c r="I61" s="3"/>
    </row>
    <row r="62" spans="1:26" ht="15.75" customHeight="1" x14ac:dyDescent="0.2"/>
    <row r="63" spans="1:26" ht="15.75" customHeight="1" x14ac:dyDescent="0.25">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spans="1:26" ht="15.75" customHeight="1" x14ac:dyDescent="0.2"/>
    <row r="65" spans="2:12" ht="15.75" customHeight="1" x14ac:dyDescent="0.25">
      <c r="B65" s="21" t="s">
        <v>1343</v>
      </c>
    </row>
    <row r="66" spans="2:12" ht="15.75" customHeight="1" x14ac:dyDescent="0.2">
      <c r="B66" s="4" t="s">
        <v>0</v>
      </c>
      <c r="C66" s="5" t="s">
        <v>1</v>
      </c>
      <c r="D66" s="5" t="s">
        <v>42</v>
      </c>
      <c r="E66" s="5" t="s">
        <v>43</v>
      </c>
      <c r="F66" s="5" t="s">
        <v>44</v>
      </c>
      <c r="G66" s="7" t="s">
        <v>206</v>
      </c>
      <c r="I66" s="296" t="s">
        <v>45</v>
      </c>
      <c r="J66" s="297"/>
      <c r="K66" s="297"/>
      <c r="L66" s="298"/>
    </row>
    <row r="67" spans="2:12" ht="15.75" customHeight="1" x14ac:dyDescent="0.2">
      <c r="B67" s="310" t="s">
        <v>8</v>
      </c>
      <c r="C67" s="297"/>
      <c r="D67" s="297"/>
      <c r="E67" s="297"/>
      <c r="F67" s="297"/>
      <c r="G67" s="306"/>
      <c r="I67" s="305" t="s">
        <v>10</v>
      </c>
      <c r="J67" s="297"/>
      <c r="K67" s="297"/>
      <c r="L67" s="298"/>
    </row>
    <row r="68" spans="2:12" ht="15.75" customHeight="1" x14ac:dyDescent="0.2">
      <c r="B68" s="9" t="s">
        <v>11</v>
      </c>
      <c r="C68" s="12" t="s">
        <v>12</v>
      </c>
      <c r="D68" s="17">
        <v>490</v>
      </c>
      <c r="E68" s="22"/>
      <c r="F68" s="11">
        <v>487</v>
      </c>
      <c r="G68" s="110" t="e">
        <f>((E68-F68)/E68)</f>
        <v>#DIV/0!</v>
      </c>
      <c r="I68" s="12"/>
      <c r="J68" s="12" t="s">
        <v>52</v>
      </c>
      <c r="K68" s="12" t="s">
        <v>53</v>
      </c>
      <c r="L68" s="12"/>
    </row>
    <row r="69" spans="2:12" ht="15.75" customHeight="1" x14ac:dyDescent="0.2">
      <c r="B69" s="9" t="s">
        <v>11</v>
      </c>
      <c r="C69" s="12" t="s">
        <v>18</v>
      </c>
      <c r="D69" s="17">
        <v>0</v>
      </c>
      <c r="E69" s="22"/>
      <c r="F69" s="11">
        <v>0</v>
      </c>
      <c r="G69" s="110">
        <v>0</v>
      </c>
      <c r="I69" s="12" t="s">
        <v>12</v>
      </c>
      <c r="J69" s="17"/>
      <c r="K69" s="11">
        <v>490</v>
      </c>
      <c r="L69" s="17" t="s">
        <v>1346</v>
      </c>
    </row>
    <row r="70" spans="2:12" ht="15.75" customHeight="1" x14ac:dyDescent="0.2">
      <c r="B70" s="9" t="s">
        <v>21</v>
      </c>
      <c r="C70" s="12" t="s">
        <v>59</v>
      </c>
      <c r="D70" s="17">
        <v>440</v>
      </c>
      <c r="E70" s="22"/>
      <c r="F70" s="11">
        <v>450</v>
      </c>
      <c r="G70" s="110" t="e">
        <f t="shared" ref="G70:G71" si="0">((E70-F70)/E70)</f>
        <v>#DIV/0!</v>
      </c>
      <c r="I70" s="12" t="s">
        <v>18</v>
      </c>
      <c r="J70" s="17"/>
      <c r="K70" s="11">
        <v>0</v>
      </c>
      <c r="L70" s="17" t="s">
        <v>1347</v>
      </c>
    </row>
    <row r="71" spans="2:12" ht="15.75" customHeight="1" x14ac:dyDescent="0.2">
      <c r="B71" s="9" t="s">
        <v>21</v>
      </c>
      <c r="C71" s="12" t="s">
        <v>63</v>
      </c>
      <c r="D71" s="17">
        <v>160</v>
      </c>
      <c r="E71" s="22"/>
      <c r="F71" s="11">
        <v>169</v>
      </c>
      <c r="G71" s="110" t="e">
        <f t="shared" si="0"/>
        <v>#DIV/0!</v>
      </c>
      <c r="I71" s="305" t="s">
        <v>23</v>
      </c>
      <c r="J71" s="297"/>
      <c r="K71" s="297"/>
      <c r="L71" s="298"/>
    </row>
    <row r="72" spans="2:12" ht="15.75" customHeight="1" x14ac:dyDescent="0.2">
      <c r="B72" s="310" t="s">
        <v>29</v>
      </c>
      <c r="C72" s="297"/>
      <c r="D72" s="297"/>
      <c r="E72" s="297"/>
      <c r="F72" s="297"/>
      <c r="G72" s="306"/>
      <c r="I72" s="12" t="s">
        <v>12</v>
      </c>
      <c r="J72" s="17"/>
      <c r="K72" s="11">
        <v>470</v>
      </c>
      <c r="L72" s="17" t="s">
        <v>1348</v>
      </c>
    </row>
    <row r="73" spans="2:12" ht="15.75" customHeight="1" x14ac:dyDescent="0.2">
      <c r="B73" s="9" t="s">
        <v>11</v>
      </c>
      <c r="C73" s="12" t="s">
        <v>12</v>
      </c>
      <c r="D73" s="17">
        <v>470</v>
      </c>
      <c r="E73" s="22"/>
      <c r="F73" s="22">
        <v>471</v>
      </c>
      <c r="G73" s="110" t="e">
        <f>((E73-F73)/E73)</f>
        <v>#DIV/0!</v>
      </c>
      <c r="I73" s="12" t="s">
        <v>18</v>
      </c>
      <c r="J73" s="17"/>
      <c r="K73" s="11">
        <v>0</v>
      </c>
      <c r="L73" s="17" t="s">
        <v>1351</v>
      </c>
    </row>
    <row r="74" spans="2:12" ht="15.75" customHeight="1" x14ac:dyDescent="0.2">
      <c r="B74" s="9" t="s">
        <v>11</v>
      </c>
      <c r="C74" s="12" t="s">
        <v>18</v>
      </c>
      <c r="D74" s="17">
        <v>0</v>
      </c>
      <c r="E74" s="22"/>
      <c r="F74" s="22">
        <v>0</v>
      </c>
      <c r="G74" s="110">
        <v>0</v>
      </c>
    </row>
    <row r="75" spans="2:12" ht="15.75" customHeight="1" x14ac:dyDescent="0.2">
      <c r="B75" s="9" t="s">
        <v>21</v>
      </c>
      <c r="C75" s="12" t="s">
        <v>59</v>
      </c>
      <c r="D75" s="17">
        <v>430</v>
      </c>
      <c r="E75" s="22"/>
      <c r="F75" s="22">
        <v>432</v>
      </c>
      <c r="G75" s="110" t="e">
        <f t="shared" ref="G75:G76" si="1">((E75-F75)/E75)</f>
        <v>#DIV/0!</v>
      </c>
    </row>
    <row r="76" spans="2:12" ht="15.75" customHeight="1" x14ac:dyDescent="0.2">
      <c r="B76" s="9" t="s">
        <v>21</v>
      </c>
      <c r="C76" s="12" t="s">
        <v>63</v>
      </c>
      <c r="D76" s="17">
        <v>150</v>
      </c>
      <c r="E76" s="22"/>
      <c r="F76" s="22">
        <v>155</v>
      </c>
      <c r="G76" s="110" t="e">
        <f t="shared" si="1"/>
        <v>#DIV/0!</v>
      </c>
    </row>
    <row r="77" spans="2:12" ht="15.75" customHeight="1" x14ac:dyDescent="0.2">
      <c r="C77" s="2"/>
      <c r="D77" s="1"/>
    </row>
    <row r="78" spans="2:12" ht="15.75" customHeight="1" x14ac:dyDescent="0.2"/>
    <row r="79" spans="2:12" ht="15.75" customHeight="1" x14ac:dyDescent="0.2"/>
    <row r="80" spans="2:12" ht="15.75" customHeight="1" x14ac:dyDescent="0.2"/>
    <row r="81" spans="2:14" ht="15.75" customHeight="1" x14ac:dyDescent="0.2"/>
    <row r="82" spans="2:14" ht="15.75" customHeight="1" x14ac:dyDescent="0.25">
      <c r="B82" s="21" t="s">
        <v>1329</v>
      </c>
    </row>
    <row r="83" spans="2:14" ht="15.75" customHeight="1" x14ac:dyDescent="0.2"/>
    <row r="84" spans="2:14" ht="15.75" customHeight="1" x14ac:dyDescent="0.2"/>
    <row r="85" spans="2:14" ht="15.75" customHeight="1" x14ac:dyDescent="0.2"/>
    <row r="86" spans="2:14" ht="15.75" customHeight="1" x14ac:dyDescent="0.2">
      <c r="C86" s="304" t="s">
        <v>1330</v>
      </c>
      <c r="D86" s="297"/>
      <c r="E86" s="297"/>
      <c r="F86" s="297"/>
      <c r="G86" s="154"/>
      <c r="I86" s="296" t="s">
        <v>6</v>
      </c>
      <c r="J86" s="297"/>
      <c r="K86" s="297"/>
      <c r="L86" s="297"/>
      <c r="M86" s="297"/>
      <c r="N86" s="298"/>
    </row>
    <row r="87" spans="2:14" ht="15.75" customHeight="1" x14ac:dyDescent="0.2">
      <c r="C87" s="4" t="s">
        <v>0</v>
      </c>
      <c r="D87" s="5" t="s">
        <v>1</v>
      </c>
      <c r="E87" s="5" t="s">
        <v>2</v>
      </c>
      <c r="F87" s="5" t="s">
        <v>43</v>
      </c>
      <c r="G87" s="45" t="s">
        <v>125</v>
      </c>
      <c r="I87" s="296" t="s">
        <v>106</v>
      </c>
      <c r="J87" s="297"/>
      <c r="K87" s="298"/>
      <c r="L87" s="296" t="s">
        <v>107</v>
      </c>
      <c r="M87" s="297"/>
      <c r="N87" s="298"/>
    </row>
    <row r="88" spans="2:14" ht="15.75" customHeight="1" x14ac:dyDescent="0.2">
      <c r="C88" s="9" t="s">
        <v>7</v>
      </c>
      <c r="D88" s="302" t="s">
        <v>9</v>
      </c>
      <c r="E88" s="47">
        <v>28.1</v>
      </c>
      <c r="F88" s="11"/>
      <c r="G88" s="11">
        <v>50</v>
      </c>
      <c r="I88" s="13" t="s">
        <v>13</v>
      </c>
      <c r="J88" s="14"/>
      <c r="K88" s="17" t="s">
        <v>1358</v>
      </c>
      <c r="L88" s="13" t="s">
        <v>13</v>
      </c>
      <c r="M88" s="39">
        <f>M90+M90*0.05</f>
        <v>921.9</v>
      </c>
      <c r="N88" s="17" t="s">
        <v>1359</v>
      </c>
    </row>
    <row r="89" spans="2:14" ht="15.75" customHeight="1" x14ac:dyDescent="0.2">
      <c r="C89" s="9" t="s">
        <v>17</v>
      </c>
      <c r="D89" s="300"/>
      <c r="E89" s="47">
        <v>63.911000000000001</v>
      </c>
      <c r="F89" s="11"/>
      <c r="G89" s="11">
        <v>63</v>
      </c>
      <c r="I89" s="13" t="s">
        <v>19</v>
      </c>
      <c r="J89" s="18"/>
      <c r="K89" s="17" t="s">
        <v>1360</v>
      </c>
      <c r="L89" s="13" t="s">
        <v>19</v>
      </c>
      <c r="M89" s="40">
        <f>M90-M90*0.05</f>
        <v>834.1</v>
      </c>
      <c r="N89" s="17" t="s">
        <v>1361</v>
      </c>
    </row>
    <row r="90" spans="2:14" ht="15.75" customHeight="1" x14ac:dyDescent="0.2">
      <c r="C90" s="9" t="s">
        <v>26</v>
      </c>
      <c r="D90" s="300"/>
      <c r="E90" s="47">
        <v>69.921999999999997</v>
      </c>
      <c r="F90" s="11"/>
      <c r="G90" s="11">
        <v>65</v>
      </c>
      <c r="I90" s="13" t="s">
        <v>27</v>
      </c>
      <c r="J90" s="20"/>
      <c r="K90" s="17" t="s">
        <v>1362</v>
      </c>
      <c r="L90" s="13" t="s">
        <v>27</v>
      </c>
      <c r="M90" s="182">
        <v>878</v>
      </c>
      <c r="N90" s="17" t="s">
        <v>1363</v>
      </c>
    </row>
    <row r="91" spans="2:14" ht="15.75" customHeight="1" x14ac:dyDescent="0.2">
      <c r="C91" s="9" t="s">
        <v>32</v>
      </c>
      <c r="D91" s="300"/>
      <c r="E91" s="47">
        <v>96.744</v>
      </c>
      <c r="F91" s="11"/>
      <c r="G91" s="11">
        <v>82</v>
      </c>
      <c r="I91" s="13" t="s">
        <v>121</v>
      </c>
      <c r="J91" s="20"/>
      <c r="K91" s="17" t="s">
        <v>1364</v>
      </c>
      <c r="L91" s="13" t="s">
        <v>121</v>
      </c>
      <c r="M91" s="182">
        <v>880</v>
      </c>
      <c r="N91" s="17" t="s">
        <v>1365</v>
      </c>
    </row>
    <row r="92" spans="2:14" ht="15.75" customHeight="1" x14ac:dyDescent="0.2">
      <c r="C92" s="9" t="s">
        <v>33</v>
      </c>
      <c r="D92" s="301"/>
      <c r="E92" s="47">
        <v>128.11000000000001</v>
      </c>
      <c r="F92" s="11"/>
      <c r="G92" s="11">
        <v>130</v>
      </c>
    </row>
    <row r="93" spans="2:14" ht="15.75" customHeight="1" x14ac:dyDescent="0.25">
      <c r="C93" s="41"/>
      <c r="D93" s="42"/>
      <c r="E93" s="42"/>
      <c r="F93" s="42"/>
      <c r="G93" s="11"/>
      <c r="I93" s="3"/>
    </row>
    <row r="94" spans="2:14" ht="15.75" customHeight="1" x14ac:dyDescent="0.25">
      <c r="C94" s="9" t="s">
        <v>35</v>
      </c>
      <c r="D94" s="302" t="s">
        <v>36</v>
      </c>
      <c r="E94" s="47">
        <v>207.78</v>
      </c>
      <c r="F94" s="11"/>
      <c r="G94" s="11">
        <v>286</v>
      </c>
      <c r="I94" s="3"/>
    </row>
    <row r="95" spans="2:14" ht="15.75" customHeight="1" x14ac:dyDescent="0.25">
      <c r="C95" s="9" t="s">
        <v>37</v>
      </c>
      <c r="D95" s="300"/>
      <c r="E95" s="47">
        <v>444.11</v>
      </c>
      <c r="F95" s="11"/>
      <c r="G95" s="11">
        <v>347</v>
      </c>
      <c r="I95" s="3"/>
    </row>
    <row r="96" spans="2:14" ht="15.75" customHeight="1" x14ac:dyDescent="0.25">
      <c r="C96" s="9" t="s">
        <v>38</v>
      </c>
      <c r="D96" s="300"/>
      <c r="E96" s="47">
        <v>579.55999999999995</v>
      </c>
      <c r="F96" s="11"/>
      <c r="G96" s="11">
        <v>466</v>
      </c>
      <c r="I96" s="3"/>
    </row>
    <row r="97" spans="3:9" ht="15.75" customHeight="1" x14ac:dyDescent="0.25">
      <c r="C97" s="9" t="s">
        <v>39</v>
      </c>
      <c r="D97" s="300"/>
      <c r="E97" s="47">
        <v>746.22</v>
      </c>
      <c r="F97" s="11"/>
      <c r="G97" s="11">
        <v>782</v>
      </c>
      <c r="I97" s="3"/>
    </row>
    <row r="98" spans="3:9" ht="15.75" customHeight="1" x14ac:dyDescent="0.25">
      <c r="C98" s="49" t="s">
        <v>41</v>
      </c>
      <c r="D98" s="300"/>
      <c r="E98" s="50">
        <v>869.5</v>
      </c>
      <c r="F98" s="51"/>
      <c r="G98" s="51">
        <v>817</v>
      </c>
      <c r="I98" s="3"/>
    </row>
    <row r="99" spans="3:9" ht="15.75" customHeight="1" x14ac:dyDescent="0.25">
      <c r="C99" s="79"/>
      <c r="D99" s="81"/>
      <c r="E99" s="81"/>
      <c r="F99" s="81"/>
      <c r="G99" s="81"/>
      <c r="I99" s="3"/>
    </row>
    <row r="100" spans="3:9" ht="15.75" customHeight="1" x14ac:dyDescent="0.25">
      <c r="C100" s="9" t="s">
        <v>46</v>
      </c>
      <c r="D100" s="299" t="s">
        <v>47</v>
      </c>
      <c r="E100" s="47">
        <v>88.4</v>
      </c>
      <c r="F100" s="11"/>
      <c r="G100" s="11">
        <v>91</v>
      </c>
      <c r="I100" s="3"/>
    </row>
    <row r="101" spans="3:9" ht="15.75" customHeight="1" x14ac:dyDescent="0.25">
      <c r="C101" s="9" t="s">
        <v>48</v>
      </c>
      <c r="D101" s="300"/>
      <c r="E101" s="47">
        <v>94.6</v>
      </c>
      <c r="F101" s="11"/>
      <c r="G101" s="11">
        <v>95</v>
      </c>
      <c r="I101" s="3"/>
    </row>
    <row r="102" spans="3:9" ht="15.75" customHeight="1" x14ac:dyDescent="0.25">
      <c r="C102" s="41"/>
      <c r="D102" s="42"/>
      <c r="E102" s="69"/>
      <c r="F102" s="42"/>
      <c r="G102" s="11"/>
      <c r="I102" s="3"/>
    </row>
    <row r="103" spans="3:9" ht="15.75" customHeight="1" x14ac:dyDescent="0.25">
      <c r="C103" s="9" t="s">
        <v>50</v>
      </c>
      <c r="D103" s="302" t="s">
        <v>51</v>
      </c>
      <c r="E103" s="47">
        <v>271.44400000000002</v>
      </c>
      <c r="F103" s="11"/>
      <c r="G103" s="11">
        <v>404</v>
      </c>
      <c r="I103" s="3"/>
    </row>
    <row r="104" spans="3:9" ht="15.75" customHeight="1" x14ac:dyDescent="0.25">
      <c r="C104" s="9" t="s">
        <v>54</v>
      </c>
      <c r="D104" s="300"/>
      <c r="E104" s="47">
        <v>550.22199999999998</v>
      </c>
      <c r="F104" s="11"/>
      <c r="G104" s="11">
        <v>448</v>
      </c>
      <c r="I104" s="3"/>
    </row>
    <row r="105" spans="3:9" ht="15.75" customHeight="1" x14ac:dyDescent="0.25">
      <c r="C105" s="9" t="s">
        <v>55</v>
      </c>
      <c r="D105" s="300"/>
      <c r="E105" s="47">
        <v>609</v>
      </c>
      <c r="F105" s="11"/>
      <c r="G105" s="11">
        <v>645</v>
      </c>
      <c r="I105" s="3"/>
    </row>
    <row r="106" spans="3:9" ht="15.75" customHeight="1" x14ac:dyDescent="0.25">
      <c r="C106" s="9" t="s">
        <v>56</v>
      </c>
      <c r="D106" s="300"/>
      <c r="E106" s="47">
        <v>739.11099999999999</v>
      </c>
      <c r="F106" s="11"/>
      <c r="G106" s="11">
        <v>552</v>
      </c>
      <c r="I106" s="3"/>
    </row>
    <row r="107" spans="3:9" ht="15.75" customHeight="1" x14ac:dyDescent="0.2">
      <c r="C107" s="49" t="s">
        <v>57</v>
      </c>
      <c r="D107" s="300"/>
      <c r="E107" s="50">
        <v>746.88900000000001</v>
      </c>
      <c r="F107" s="51"/>
      <c r="G107" s="51">
        <v>809</v>
      </c>
    </row>
    <row r="108" spans="3:9" ht="15.75" customHeight="1" x14ac:dyDescent="0.2">
      <c r="C108" s="79"/>
      <c r="D108" s="81"/>
      <c r="E108" s="81"/>
      <c r="F108" s="81"/>
      <c r="G108" s="81"/>
    </row>
    <row r="109" spans="3:9" ht="15.75" customHeight="1" x14ac:dyDescent="0.2">
      <c r="C109" s="9" t="s">
        <v>60</v>
      </c>
      <c r="D109" s="299" t="s">
        <v>62</v>
      </c>
      <c r="E109" s="47">
        <v>19.36</v>
      </c>
      <c r="F109" s="11"/>
      <c r="G109" s="11">
        <v>22</v>
      </c>
    </row>
    <row r="110" spans="3:9" ht="15.75" customHeight="1" x14ac:dyDescent="0.2">
      <c r="C110" s="9" t="s">
        <v>64</v>
      </c>
      <c r="D110" s="300"/>
      <c r="E110" s="47">
        <v>33.31</v>
      </c>
      <c r="F110" s="11"/>
      <c r="G110" s="11">
        <v>37</v>
      </c>
    </row>
    <row r="111" spans="3:9" ht="15.75" customHeight="1" x14ac:dyDescent="0.2">
      <c r="C111" s="9" t="s">
        <v>65</v>
      </c>
      <c r="D111" s="301"/>
      <c r="E111" s="47">
        <v>41.74</v>
      </c>
      <c r="F111" s="11"/>
      <c r="G111" s="11">
        <v>40</v>
      </c>
    </row>
    <row r="112" spans="3:9" ht="15.75" customHeight="1" x14ac:dyDescent="0.2">
      <c r="C112" s="41"/>
      <c r="D112" s="42"/>
      <c r="E112" s="69"/>
      <c r="F112" s="42"/>
      <c r="G112" s="11"/>
    </row>
    <row r="113" spans="3:9" ht="15.75" customHeight="1" x14ac:dyDescent="0.25">
      <c r="C113" s="9" t="s">
        <v>66</v>
      </c>
      <c r="D113" s="302" t="s">
        <v>68</v>
      </c>
      <c r="E113" s="47">
        <v>204.5</v>
      </c>
      <c r="F113" s="11"/>
      <c r="G113" s="11">
        <v>226</v>
      </c>
      <c r="I113" s="3"/>
    </row>
    <row r="114" spans="3:9" ht="15.75" customHeight="1" x14ac:dyDescent="0.25">
      <c r="C114" s="49" t="s">
        <v>69</v>
      </c>
      <c r="D114" s="300"/>
      <c r="E114" s="50">
        <v>277.7</v>
      </c>
      <c r="F114" s="51"/>
      <c r="G114" s="51">
        <v>290</v>
      </c>
      <c r="I114" s="3"/>
    </row>
    <row r="115" spans="3:9" ht="15.75" customHeight="1" x14ac:dyDescent="0.25">
      <c r="C115" s="44"/>
      <c r="D115" s="46"/>
      <c r="E115" s="46"/>
      <c r="F115" s="46"/>
      <c r="G115" s="46"/>
      <c r="I115" s="3"/>
    </row>
    <row r="116" spans="3:9" ht="15.75" customHeight="1" x14ac:dyDescent="0.25">
      <c r="C116" s="9" t="s">
        <v>69</v>
      </c>
      <c r="D116" s="299" t="s">
        <v>71</v>
      </c>
      <c r="E116" s="47">
        <v>10.283300000000001</v>
      </c>
      <c r="F116" s="11"/>
      <c r="G116" s="11">
        <v>9</v>
      </c>
      <c r="I116" s="3"/>
    </row>
    <row r="117" spans="3:9" ht="15.75" customHeight="1" x14ac:dyDescent="0.25">
      <c r="C117" s="9" t="s">
        <v>72</v>
      </c>
      <c r="D117" s="300"/>
      <c r="E117" s="47">
        <v>11.8833</v>
      </c>
      <c r="F117" s="11"/>
      <c r="G117" s="11">
        <v>12</v>
      </c>
      <c r="I117" s="3"/>
    </row>
    <row r="118" spans="3:9" ht="15.75" customHeight="1" x14ac:dyDescent="0.25">
      <c r="C118" s="9" t="s">
        <v>73</v>
      </c>
      <c r="D118" s="301"/>
      <c r="E118" s="47">
        <v>17.433299999999999</v>
      </c>
      <c r="F118" s="11"/>
      <c r="G118" s="11">
        <v>16</v>
      </c>
      <c r="I118" s="3"/>
    </row>
    <row r="119" spans="3:9" ht="15.75" customHeight="1" x14ac:dyDescent="0.25">
      <c r="C119" s="41"/>
      <c r="D119" s="42"/>
      <c r="E119" s="69"/>
      <c r="F119" s="42"/>
      <c r="G119" s="11"/>
      <c r="I119" s="3"/>
    </row>
    <row r="120" spans="3:9" ht="15.75" customHeight="1" x14ac:dyDescent="0.25">
      <c r="C120" s="9" t="s">
        <v>76</v>
      </c>
      <c r="D120" s="302" t="s">
        <v>77</v>
      </c>
      <c r="E120" s="47">
        <v>117.467</v>
      </c>
      <c r="F120" s="11"/>
      <c r="G120" s="11">
        <v>140</v>
      </c>
      <c r="I120" s="3"/>
    </row>
    <row r="121" spans="3:9" ht="15.75" customHeight="1" x14ac:dyDescent="0.25">
      <c r="C121" s="9" t="s">
        <v>78</v>
      </c>
      <c r="D121" s="300"/>
      <c r="E121" s="47">
        <v>187.833</v>
      </c>
      <c r="F121" s="11"/>
      <c r="G121" s="11">
        <v>162</v>
      </c>
      <c r="I121" s="3"/>
    </row>
    <row r="122" spans="3:9" ht="15.75" customHeight="1" x14ac:dyDescent="0.25">
      <c r="C122" s="9" t="s">
        <v>79</v>
      </c>
      <c r="D122" s="300"/>
      <c r="E122" s="47">
        <v>218.333</v>
      </c>
      <c r="F122" s="11"/>
      <c r="G122" s="11">
        <v>194</v>
      </c>
      <c r="I122" s="3"/>
    </row>
    <row r="123" spans="3:9" ht="15.75" customHeight="1" x14ac:dyDescent="0.25">
      <c r="C123" s="49" t="s">
        <v>80</v>
      </c>
      <c r="D123" s="300"/>
      <c r="E123" s="50">
        <v>238.5</v>
      </c>
      <c r="F123" s="51"/>
      <c r="G123" s="51">
        <v>248</v>
      </c>
      <c r="I123" s="3"/>
    </row>
    <row r="124" spans="3:9" ht="15.75" customHeight="1" x14ac:dyDescent="0.25">
      <c r="C124" s="44"/>
      <c r="D124" s="46"/>
      <c r="E124" s="46"/>
      <c r="F124" s="46"/>
      <c r="G124" s="46"/>
      <c r="I124" s="3"/>
    </row>
    <row r="125" spans="3:9" ht="15.75" customHeight="1" x14ac:dyDescent="0.25">
      <c r="C125" s="9" t="s">
        <v>81</v>
      </c>
      <c r="D125" s="299" t="s">
        <v>82</v>
      </c>
      <c r="E125" s="11">
        <v>2</v>
      </c>
      <c r="F125" s="11"/>
      <c r="G125" s="11">
        <v>4</v>
      </c>
      <c r="I125" s="3"/>
    </row>
    <row r="126" spans="3:9" ht="15.75" customHeight="1" x14ac:dyDescent="0.25">
      <c r="C126" s="9" t="s">
        <v>83</v>
      </c>
      <c r="D126" s="300"/>
      <c r="E126" s="47">
        <v>7.133</v>
      </c>
      <c r="F126" s="11"/>
      <c r="G126" s="11">
        <v>11</v>
      </c>
      <c r="I126" s="3"/>
    </row>
    <row r="127" spans="3:9" ht="15.75" customHeight="1" x14ac:dyDescent="0.25">
      <c r="C127" s="9" t="s">
        <v>84</v>
      </c>
      <c r="D127" s="301"/>
      <c r="E127" s="47">
        <v>10.72</v>
      </c>
      <c r="F127" s="11"/>
      <c r="G127" s="11">
        <v>10</v>
      </c>
      <c r="I127" s="3"/>
    </row>
    <row r="128" spans="3:9" ht="15.75" customHeight="1" x14ac:dyDescent="0.25">
      <c r="C128" s="41"/>
      <c r="D128" s="42"/>
      <c r="E128" s="69"/>
      <c r="F128" s="42"/>
      <c r="G128" s="11"/>
      <c r="I128" s="3"/>
    </row>
    <row r="129" spans="1:26" ht="15.75" customHeight="1" x14ac:dyDescent="0.25">
      <c r="C129" s="9" t="s">
        <v>86</v>
      </c>
      <c r="D129" s="302" t="s">
        <v>87</v>
      </c>
      <c r="E129" s="47">
        <v>20.466999999999999</v>
      </c>
      <c r="F129" s="11"/>
      <c r="G129" s="11">
        <v>21</v>
      </c>
      <c r="I129" s="3"/>
    </row>
    <row r="130" spans="1:26" ht="15.75" customHeight="1" x14ac:dyDescent="0.25">
      <c r="C130" s="49" t="s">
        <v>88</v>
      </c>
      <c r="D130" s="300"/>
      <c r="E130" s="50">
        <v>20.367000000000001</v>
      </c>
      <c r="F130" s="51"/>
      <c r="G130" s="51">
        <v>21</v>
      </c>
      <c r="I130" s="3"/>
    </row>
    <row r="131" spans="1:26" ht="15.75" customHeight="1" x14ac:dyDescent="0.25">
      <c r="C131" s="44"/>
      <c r="D131" s="46"/>
      <c r="E131" s="46"/>
      <c r="F131" s="46"/>
      <c r="G131" s="46"/>
      <c r="I131" s="3"/>
    </row>
    <row r="132" spans="1:26" ht="15.75" customHeight="1" x14ac:dyDescent="0.25">
      <c r="C132" s="9" t="s">
        <v>89</v>
      </c>
      <c r="D132" s="299" t="s">
        <v>90</v>
      </c>
      <c r="E132" s="47">
        <v>5.15</v>
      </c>
      <c r="F132" s="11">
        <v>6</v>
      </c>
      <c r="G132" s="11">
        <v>8</v>
      </c>
      <c r="I132" s="3"/>
    </row>
    <row r="133" spans="1:26" ht="15.75" customHeight="1" x14ac:dyDescent="0.25">
      <c r="C133" s="49" t="s">
        <v>91</v>
      </c>
      <c r="D133" s="300"/>
      <c r="E133" s="50">
        <v>16.2</v>
      </c>
      <c r="F133" s="51">
        <v>16</v>
      </c>
      <c r="G133" s="51">
        <v>12</v>
      </c>
      <c r="I133" s="3"/>
    </row>
    <row r="134" spans="1:26" ht="15.75" customHeight="1" x14ac:dyDescent="0.25">
      <c r="C134" s="41"/>
      <c r="D134" s="42"/>
      <c r="E134" s="69"/>
      <c r="F134" s="42"/>
      <c r="G134" s="201"/>
      <c r="I134" s="3"/>
    </row>
    <row r="135" spans="1:26" ht="15.75" customHeight="1" x14ac:dyDescent="0.25">
      <c r="C135" s="9" t="s">
        <v>94</v>
      </c>
      <c r="D135" s="299" t="s">
        <v>95</v>
      </c>
      <c r="E135" s="47">
        <v>50.082999999999998</v>
      </c>
      <c r="F135" s="11"/>
      <c r="G135" s="11">
        <v>55</v>
      </c>
      <c r="I135" s="3"/>
    </row>
    <row r="136" spans="1:26" ht="15.75" customHeight="1" x14ac:dyDescent="0.25">
      <c r="C136" s="9" t="s">
        <v>96</v>
      </c>
      <c r="D136" s="300"/>
      <c r="E136" s="47">
        <v>93.992999999999995</v>
      </c>
      <c r="F136" s="11"/>
      <c r="G136" s="11">
        <v>91</v>
      </c>
      <c r="I136" s="3"/>
    </row>
    <row r="137" spans="1:26" ht="15.75" customHeight="1" x14ac:dyDescent="0.25">
      <c r="C137" s="9" t="s">
        <v>97</v>
      </c>
      <c r="D137" s="300"/>
      <c r="E137" s="47">
        <v>95.516999999999996</v>
      </c>
      <c r="F137" s="11"/>
      <c r="G137" s="11">
        <v>101</v>
      </c>
      <c r="I137" s="3"/>
    </row>
    <row r="138" spans="1:26" ht="15.75" customHeight="1" x14ac:dyDescent="0.25">
      <c r="C138" s="9" t="s">
        <v>98</v>
      </c>
      <c r="D138" s="300"/>
      <c r="E138" s="47">
        <v>100.92</v>
      </c>
      <c r="F138" s="11"/>
      <c r="G138" s="11">
        <v>102</v>
      </c>
      <c r="I138" s="3"/>
    </row>
    <row r="139" spans="1:26" ht="15.75" customHeight="1" x14ac:dyDescent="0.25">
      <c r="C139" s="9" t="s">
        <v>99</v>
      </c>
      <c r="D139" s="301"/>
      <c r="E139" s="47">
        <v>115.37</v>
      </c>
      <c r="F139" s="11"/>
      <c r="G139" s="11">
        <v>106</v>
      </c>
      <c r="I139" s="3"/>
    </row>
    <row r="140" spans="1:26" ht="15.75" customHeight="1" x14ac:dyDescent="0.2"/>
    <row r="141" spans="1:26" ht="15.75" customHeight="1" x14ac:dyDescent="0.25">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5.75" customHeight="1" x14ac:dyDescent="0.2"/>
    <row r="143" spans="1:26" ht="15.75" customHeight="1" x14ac:dyDescent="0.25">
      <c r="A143" s="28"/>
      <c r="B143" s="28" t="s">
        <v>1329</v>
      </c>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5.75" customHeight="1" x14ac:dyDescent="0.25">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5.75" customHeight="1" x14ac:dyDescent="0.2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5.75" customHeight="1" x14ac:dyDescent="0.25">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5.75" customHeight="1" x14ac:dyDescent="0.25">
      <c r="A147" s="28"/>
      <c r="B147" s="28"/>
      <c r="C147" s="304" t="s">
        <v>1069</v>
      </c>
      <c r="D147" s="297"/>
      <c r="E147" s="297"/>
      <c r="F147" s="297"/>
      <c r="G147" s="154"/>
      <c r="H147" s="28"/>
      <c r="I147" s="296" t="s">
        <v>6</v>
      </c>
      <c r="J147" s="297"/>
      <c r="K147" s="297"/>
      <c r="L147" s="297"/>
      <c r="M147" s="297"/>
      <c r="N147" s="298"/>
      <c r="O147" s="28"/>
      <c r="P147" s="28"/>
      <c r="Q147" s="28"/>
      <c r="R147" s="28"/>
      <c r="S147" s="28"/>
      <c r="T147" s="28"/>
      <c r="U147" s="28"/>
      <c r="V147" s="28"/>
      <c r="W147" s="28"/>
      <c r="X147" s="28"/>
      <c r="Y147" s="28"/>
      <c r="Z147" s="28"/>
    </row>
    <row r="148" spans="1:26" ht="15.75" customHeight="1" x14ac:dyDescent="0.25">
      <c r="A148" s="28"/>
      <c r="B148" s="28"/>
      <c r="C148" s="4" t="s">
        <v>0</v>
      </c>
      <c r="D148" s="5" t="s">
        <v>1</v>
      </c>
      <c r="E148" s="5" t="s">
        <v>2</v>
      </c>
      <c r="F148" s="5" t="s">
        <v>43</v>
      </c>
      <c r="G148" s="45" t="s">
        <v>125</v>
      </c>
      <c r="H148" s="28"/>
      <c r="I148" s="296" t="s">
        <v>106</v>
      </c>
      <c r="J148" s="297"/>
      <c r="K148" s="298"/>
      <c r="L148" s="296" t="s">
        <v>107</v>
      </c>
      <c r="M148" s="297"/>
      <c r="N148" s="298"/>
      <c r="O148" s="28"/>
      <c r="P148" s="28"/>
      <c r="Q148" s="28"/>
      <c r="R148" s="28"/>
      <c r="S148" s="28"/>
      <c r="T148" s="28"/>
      <c r="U148" s="28"/>
      <c r="V148" s="28"/>
      <c r="W148" s="28"/>
      <c r="X148" s="28"/>
      <c r="Y148" s="28"/>
      <c r="Z148" s="28"/>
    </row>
    <row r="149" spans="1:26" ht="15.75" customHeight="1" x14ac:dyDescent="0.25">
      <c r="A149" s="28"/>
      <c r="B149" s="28"/>
      <c r="C149" s="9" t="s">
        <v>7</v>
      </c>
      <c r="D149" s="302" t="s">
        <v>9</v>
      </c>
      <c r="E149" s="47">
        <v>28.1</v>
      </c>
      <c r="F149" s="11">
        <v>50</v>
      </c>
      <c r="G149" s="11">
        <v>88</v>
      </c>
      <c r="H149" s="28">
        <v>90</v>
      </c>
      <c r="I149" s="13" t="s">
        <v>13</v>
      </c>
      <c r="J149" s="39">
        <f>J151+J151*0.05</f>
        <v>890.4</v>
      </c>
      <c r="K149" s="17" t="s">
        <v>1370</v>
      </c>
      <c r="L149" s="13" t="s">
        <v>13</v>
      </c>
      <c r="M149" s="39">
        <f>M151+M151*0.05</f>
        <v>1002.75</v>
      </c>
      <c r="N149" s="17" t="s">
        <v>1371</v>
      </c>
      <c r="O149" s="28"/>
      <c r="P149" s="28"/>
      <c r="Q149" s="28"/>
      <c r="R149" s="28"/>
      <c r="S149" s="28"/>
      <c r="T149" s="28"/>
      <c r="U149" s="28"/>
      <c r="V149" s="28"/>
      <c r="W149" s="28"/>
      <c r="X149" s="28"/>
      <c r="Y149" s="28"/>
      <c r="Z149" s="28"/>
    </row>
    <row r="150" spans="1:26" ht="15.75" customHeight="1" x14ac:dyDescent="0.25">
      <c r="A150" s="28"/>
      <c r="B150" s="28"/>
      <c r="C150" s="9" t="s">
        <v>17</v>
      </c>
      <c r="D150" s="300"/>
      <c r="E150" s="47">
        <v>63.911000000000001</v>
      </c>
      <c r="F150" s="11">
        <v>63</v>
      </c>
      <c r="G150" s="11">
        <v>92</v>
      </c>
      <c r="H150" s="28">
        <v>94</v>
      </c>
      <c r="I150" s="13" t="s">
        <v>19</v>
      </c>
      <c r="J150" s="40">
        <f>J151-J151*0.05</f>
        <v>805.6</v>
      </c>
      <c r="K150" s="17" t="s">
        <v>1372</v>
      </c>
      <c r="L150" s="13" t="s">
        <v>19</v>
      </c>
      <c r="M150" s="40">
        <f>M151-M151*0.05</f>
        <v>907.25</v>
      </c>
      <c r="N150" s="17" t="s">
        <v>1373</v>
      </c>
      <c r="O150" s="28"/>
      <c r="P150" s="28"/>
      <c r="Q150" s="28"/>
      <c r="R150" s="28"/>
      <c r="S150" s="28"/>
      <c r="T150" s="28"/>
      <c r="U150" s="28"/>
      <c r="V150" s="28"/>
      <c r="W150" s="28"/>
      <c r="X150" s="28"/>
      <c r="Y150" s="28"/>
      <c r="Z150" s="28"/>
    </row>
    <row r="151" spans="1:26" ht="15.75" customHeight="1" x14ac:dyDescent="0.25">
      <c r="A151" s="28"/>
      <c r="B151" s="28"/>
      <c r="C151" s="9" t="s">
        <v>26</v>
      </c>
      <c r="D151" s="300"/>
      <c r="E151" s="47">
        <v>69.921999999999997</v>
      </c>
      <c r="F151" s="11">
        <v>65</v>
      </c>
      <c r="G151" s="11">
        <v>93</v>
      </c>
      <c r="H151" s="28">
        <v>95</v>
      </c>
      <c r="I151" s="13" t="s">
        <v>27</v>
      </c>
      <c r="J151" s="20">
        <v>848</v>
      </c>
      <c r="K151" s="17" t="s">
        <v>1374</v>
      </c>
      <c r="L151" s="13" t="s">
        <v>27</v>
      </c>
      <c r="M151" s="182">
        <v>955</v>
      </c>
      <c r="N151" s="17" t="s">
        <v>1375</v>
      </c>
      <c r="O151" s="28"/>
      <c r="P151" s="28"/>
      <c r="Q151" s="28"/>
      <c r="R151" s="28"/>
      <c r="S151" s="28"/>
      <c r="T151" s="28"/>
      <c r="U151" s="28"/>
      <c r="V151" s="28"/>
      <c r="W151" s="28"/>
      <c r="X151" s="28"/>
      <c r="Y151" s="28"/>
      <c r="Z151" s="28"/>
    </row>
    <row r="152" spans="1:26" ht="15.75" customHeight="1" x14ac:dyDescent="0.25">
      <c r="A152" s="28"/>
      <c r="B152" s="28"/>
      <c r="C152" s="9" t="s">
        <v>32</v>
      </c>
      <c r="D152" s="300"/>
      <c r="E152" s="47">
        <v>96.744</v>
      </c>
      <c r="F152" s="11">
        <v>82</v>
      </c>
      <c r="G152" s="11">
        <v>105</v>
      </c>
      <c r="H152" s="28">
        <v>102</v>
      </c>
      <c r="I152" s="13" t="s">
        <v>121</v>
      </c>
      <c r="J152" s="20">
        <v>946</v>
      </c>
      <c r="K152" s="17" t="s">
        <v>1376</v>
      </c>
      <c r="L152" s="13" t="s">
        <v>121</v>
      </c>
      <c r="M152" s="182">
        <v>945</v>
      </c>
      <c r="N152" s="17" t="s">
        <v>1377</v>
      </c>
      <c r="O152" s="28"/>
      <c r="P152" s="28"/>
      <c r="Q152" s="28"/>
      <c r="R152" s="28"/>
      <c r="S152" s="28"/>
      <c r="T152" s="28"/>
      <c r="U152" s="28"/>
      <c r="V152" s="28"/>
      <c r="W152" s="28"/>
      <c r="X152" s="28"/>
      <c r="Y152" s="28"/>
      <c r="Z152" s="28"/>
    </row>
    <row r="153" spans="1:26" ht="15.75" customHeight="1" x14ac:dyDescent="0.25">
      <c r="A153" s="28"/>
      <c r="B153" s="28"/>
      <c r="C153" s="9" t="s">
        <v>33</v>
      </c>
      <c r="D153" s="301"/>
      <c r="E153" s="47">
        <v>128.11000000000001</v>
      </c>
      <c r="F153" s="11">
        <v>130</v>
      </c>
      <c r="G153" s="11">
        <v>134</v>
      </c>
      <c r="H153" s="28">
        <v>138</v>
      </c>
      <c r="I153" s="28"/>
      <c r="J153" s="28"/>
      <c r="K153" s="28"/>
      <c r="L153" s="28"/>
      <c r="M153" s="28"/>
      <c r="N153" s="28"/>
      <c r="O153" s="28"/>
      <c r="P153" s="28"/>
      <c r="Q153" s="28"/>
      <c r="R153" s="28"/>
      <c r="S153" s="28"/>
      <c r="T153" s="28"/>
      <c r="U153" s="28"/>
      <c r="V153" s="28"/>
      <c r="W153" s="28"/>
      <c r="X153" s="28"/>
      <c r="Y153" s="28"/>
      <c r="Z153" s="28"/>
    </row>
    <row r="154" spans="1:26" ht="15.75" customHeight="1" x14ac:dyDescent="0.25">
      <c r="A154" s="28"/>
      <c r="B154" s="28"/>
      <c r="C154" s="41"/>
      <c r="D154" s="42"/>
      <c r="E154" s="42"/>
      <c r="F154" s="11"/>
      <c r="G154" s="11"/>
      <c r="H154" s="28"/>
      <c r="I154" s="3"/>
      <c r="J154" s="28"/>
      <c r="K154" s="28"/>
      <c r="L154" s="28"/>
      <c r="M154" s="28"/>
      <c r="N154" s="28"/>
      <c r="O154" s="28"/>
      <c r="P154" s="28"/>
      <c r="Q154" s="28"/>
      <c r="R154" s="28"/>
      <c r="S154" s="28"/>
      <c r="T154" s="28"/>
      <c r="U154" s="28"/>
      <c r="V154" s="28"/>
      <c r="W154" s="28"/>
      <c r="X154" s="28"/>
      <c r="Y154" s="28"/>
      <c r="Z154" s="28"/>
    </row>
    <row r="155" spans="1:26" ht="15.75" customHeight="1" x14ac:dyDescent="0.25">
      <c r="A155" s="28"/>
      <c r="B155" s="28"/>
      <c r="C155" s="9" t="s">
        <v>35</v>
      </c>
      <c r="D155" s="302" t="s">
        <v>36</v>
      </c>
      <c r="E155" s="47">
        <v>207.78</v>
      </c>
      <c r="F155" s="11">
        <v>286</v>
      </c>
      <c r="G155" s="11">
        <v>293</v>
      </c>
      <c r="H155" s="28"/>
      <c r="I155" s="3"/>
      <c r="J155" s="28"/>
      <c r="K155" s="28"/>
      <c r="L155" s="28"/>
      <c r="M155" s="28"/>
      <c r="N155" s="28"/>
      <c r="O155" s="28"/>
      <c r="P155" s="28"/>
      <c r="Q155" s="28"/>
      <c r="R155" s="28"/>
      <c r="S155" s="28"/>
      <c r="T155" s="28"/>
      <c r="U155" s="28"/>
      <c r="V155" s="28"/>
      <c r="W155" s="28"/>
      <c r="X155" s="28"/>
      <c r="Y155" s="28"/>
      <c r="Z155" s="28"/>
    </row>
    <row r="156" spans="1:26" ht="15.75" customHeight="1" x14ac:dyDescent="0.25">
      <c r="A156" s="28"/>
      <c r="B156" s="28"/>
      <c r="C156" s="9" t="s">
        <v>37</v>
      </c>
      <c r="D156" s="300"/>
      <c r="E156" s="47">
        <v>444.11</v>
      </c>
      <c r="F156" s="11">
        <v>347</v>
      </c>
      <c r="G156" s="11">
        <v>465</v>
      </c>
      <c r="H156" s="28"/>
      <c r="I156" s="3"/>
      <c r="J156" s="28"/>
      <c r="K156" s="28"/>
      <c r="L156" s="28"/>
      <c r="M156" s="28"/>
      <c r="N156" s="28"/>
      <c r="O156" s="28"/>
      <c r="P156" s="28"/>
      <c r="Q156" s="28"/>
      <c r="R156" s="28"/>
      <c r="S156" s="28"/>
      <c r="T156" s="28"/>
      <c r="U156" s="28"/>
      <c r="V156" s="28"/>
      <c r="W156" s="28"/>
      <c r="X156" s="28"/>
      <c r="Y156" s="28"/>
      <c r="Z156" s="28"/>
    </row>
    <row r="157" spans="1:26" ht="15.75" customHeight="1" x14ac:dyDescent="0.25">
      <c r="A157" s="28"/>
      <c r="B157" s="28"/>
      <c r="C157" s="9" t="s">
        <v>38</v>
      </c>
      <c r="D157" s="300"/>
      <c r="E157" s="47">
        <v>579.55999999999995</v>
      </c>
      <c r="F157" s="11">
        <v>466</v>
      </c>
      <c r="G157" s="11">
        <v>694</v>
      </c>
      <c r="H157" s="28"/>
      <c r="I157" s="3"/>
      <c r="J157" s="28"/>
      <c r="K157" s="28"/>
      <c r="L157" s="28"/>
      <c r="M157" s="28"/>
      <c r="N157" s="28"/>
      <c r="O157" s="28"/>
      <c r="P157" s="28"/>
      <c r="Q157" s="28"/>
      <c r="R157" s="28"/>
      <c r="S157" s="28"/>
      <c r="T157" s="28"/>
      <c r="U157" s="28"/>
      <c r="V157" s="28"/>
      <c r="W157" s="28"/>
      <c r="X157" s="28"/>
      <c r="Y157" s="28"/>
      <c r="Z157" s="28"/>
    </row>
    <row r="158" spans="1:26" ht="15.75" customHeight="1" x14ac:dyDescent="0.25">
      <c r="A158" s="28"/>
      <c r="B158" s="28"/>
      <c r="C158" s="9" t="s">
        <v>39</v>
      </c>
      <c r="D158" s="300"/>
      <c r="E158" s="47">
        <v>746.22</v>
      </c>
      <c r="F158" s="11">
        <v>782</v>
      </c>
      <c r="G158" s="11">
        <v>790</v>
      </c>
      <c r="H158" s="28"/>
      <c r="I158" s="3"/>
      <c r="J158" s="28"/>
      <c r="K158" s="28"/>
      <c r="L158" s="28"/>
      <c r="M158" s="28"/>
      <c r="N158" s="28"/>
      <c r="O158" s="28"/>
      <c r="P158" s="28"/>
      <c r="Q158" s="28"/>
      <c r="R158" s="28"/>
      <c r="S158" s="28"/>
      <c r="T158" s="28"/>
      <c r="U158" s="28"/>
      <c r="V158" s="28"/>
      <c r="W158" s="28"/>
      <c r="X158" s="28"/>
      <c r="Y158" s="28"/>
      <c r="Z158" s="28"/>
    </row>
    <row r="159" spans="1:26" ht="15.75" customHeight="1" x14ac:dyDescent="0.25">
      <c r="A159" s="28"/>
      <c r="B159" s="28"/>
      <c r="C159" s="49" t="s">
        <v>41</v>
      </c>
      <c r="D159" s="300"/>
      <c r="E159" s="50">
        <v>869.5</v>
      </c>
      <c r="F159" s="51">
        <v>817</v>
      </c>
      <c r="G159" s="51">
        <v>856</v>
      </c>
      <c r="H159" s="28"/>
      <c r="I159" s="3"/>
      <c r="J159" s="28"/>
      <c r="K159" s="28"/>
      <c r="L159" s="28"/>
      <c r="M159" s="28"/>
      <c r="N159" s="28"/>
      <c r="O159" s="28"/>
      <c r="P159" s="28"/>
      <c r="Q159" s="28"/>
      <c r="R159" s="28"/>
      <c r="S159" s="28"/>
      <c r="T159" s="28"/>
      <c r="U159" s="28"/>
      <c r="V159" s="28"/>
      <c r="W159" s="28"/>
      <c r="X159" s="28"/>
      <c r="Y159" s="28"/>
      <c r="Z159" s="28"/>
    </row>
    <row r="160" spans="1:26" ht="15.75" customHeight="1" x14ac:dyDescent="0.25">
      <c r="A160" s="28"/>
      <c r="B160" s="28"/>
      <c r="C160" s="79"/>
      <c r="D160" s="81"/>
      <c r="E160" s="81"/>
      <c r="F160" s="81"/>
      <c r="G160" s="81"/>
      <c r="H160" s="28"/>
      <c r="I160" s="3"/>
      <c r="J160" s="28"/>
      <c r="K160" s="28"/>
      <c r="L160" s="28"/>
      <c r="M160" s="28"/>
      <c r="N160" s="28"/>
      <c r="O160" s="28"/>
      <c r="P160" s="28"/>
      <c r="Q160" s="28"/>
      <c r="R160" s="28"/>
      <c r="S160" s="28"/>
      <c r="T160" s="28"/>
      <c r="U160" s="28"/>
      <c r="V160" s="28"/>
      <c r="W160" s="28"/>
      <c r="X160" s="28"/>
      <c r="Y160" s="28"/>
      <c r="Z160" s="28"/>
    </row>
    <row r="161" spans="1:26" ht="15.75" customHeight="1" x14ac:dyDescent="0.25">
      <c r="A161" s="28"/>
      <c r="B161" s="28"/>
      <c r="C161" s="9" t="s">
        <v>46</v>
      </c>
      <c r="D161" s="299" t="s">
        <v>47</v>
      </c>
      <c r="E161" s="47">
        <v>88.4</v>
      </c>
      <c r="F161" s="11">
        <v>91</v>
      </c>
      <c r="G161" s="11">
        <v>110</v>
      </c>
      <c r="H161" s="28"/>
      <c r="I161" s="3"/>
      <c r="J161" s="28"/>
      <c r="K161" s="28"/>
      <c r="L161" s="28"/>
      <c r="M161" s="28"/>
      <c r="N161" s="28"/>
      <c r="O161" s="28"/>
      <c r="P161" s="28"/>
      <c r="Q161" s="28"/>
      <c r="R161" s="28"/>
      <c r="S161" s="28"/>
      <c r="T161" s="28"/>
      <c r="U161" s="28"/>
      <c r="V161" s="28"/>
      <c r="W161" s="28"/>
      <c r="X161" s="28"/>
      <c r="Y161" s="28"/>
      <c r="Z161" s="28"/>
    </row>
    <row r="162" spans="1:26" ht="15.75" customHeight="1" x14ac:dyDescent="0.25">
      <c r="A162" s="28"/>
      <c r="B162" s="28"/>
      <c r="C162" s="9" t="s">
        <v>48</v>
      </c>
      <c r="D162" s="300"/>
      <c r="E162" s="47">
        <v>94.6</v>
      </c>
      <c r="F162" s="11">
        <v>95</v>
      </c>
      <c r="G162" s="11">
        <v>107</v>
      </c>
      <c r="H162" s="28"/>
      <c r="I162" s="3"/>
      <c r="J162" s="28"/>
      <c r="K162" s="28"/>
      <c r="L162" s="28"/>
      <c r="M162" s="28"/>
      <c r="N162" s="28"/>
      <c r="O162" s="28"/>
      <c r="P162" s="28"/>
      <c r="Q162" s="28"/>
      <c r="R162" s="28"/>
      <c r="S162" s="28"/>
      <c r="T162" s="28"/>
      <c r="U162" s="28"/>
      <c r="V162" s="28"/>
      <c r="W162" s="28"/>
      <c r="X162" s="28"/>
      <c r="Y162" s="28"/>
      <c r="Z162" s="28"/>
    </row>
    <row r="163" spans="1:26" ht="15.75" customHeight="1" x14ac:dyDescent="0.25">
      <c r="A163" s="28"/>
      <c r="B163" s="28"/>
      <c r="C163" s="41"/>
      <c r="D163" s="42"/>
      <c r="E163" s="69"/>
      <c r="F163" s="11"/>
      <c r="G163" s="11"/>
      <c r="H163" s="28"/>
      <c r="I163" s="3"/>
      <c r="J163" s="28"/>
      <c r="K163" s="28"/>
      <c r="L163" s="28"/>
      <c r="M163" s="28"/>
      <c r="N163" s="28"/>
      <c r="O163" s="28"/>
      <c r="P163" s="28"/>
      <c r="Q163" s="28"/>
      <c r="R163" s="28"/>
      <c r="S163" s="28"/>
      <c r="T163" s="28"/>
      <c r="U163" s="28"/>
      <c r="V163" s="28"/>
      <c r="W163" s="28"/>
      <c r="X163" s="28"/>
      <c r="Y163" s="28"/>
      <c r="Z163" s="28"/>
    </row>
    <row r="164" spans="1:26" ht="15.75" customHeight="1" x14ac:dyDescent="0.25">
      <c r="A164" s="28"/>
      <c r="B164" s="28"/>
      <c r="C164" s="9" t="s">
        <v>50</v>
      </c>
      <c r="D164" s="302" t="s">
        <v>51</v>
      </c>
      <c r="E164" s="47">
        <v>271.44400000000002</v>
      </c>
      <c r="F164" s="11">
        <v>404</v>
      </c>
      <c r="G164" s="11">
        <v>412</v>
      </c>
      <c r="H164" s="28">
        <v>499</v>
      </c>
      <c r="I164" s="3"/>
      <c r="J164" s="28"/>
      <c r="K164" s="28"/>
      <c r="L164" s="28"/>
      <c r="M164" s="28"/>
      <c r="N164" s="28"/>
      <c r="O164" s="28"/>
      <c r="P164" s="28"/>
      <c r="Q164" s="28"/>
      <c r="R164" s="28"/>
      <c r="S164" s="28"/>
      <c r="T164" s="28"/>
      <c r="U164" s="28"/>
      <c r="V164" s="28"/>
      <c r="W164" s="28"/>
      <c r="X164" s="28"/>
      <c r="Y164" s="28"/>
      <c r="Z164" s="28"/>
    </row>
    <row r="165" spans="1:26" ht="15.75" customHeight="1" x14ac:dyDescent="0.25">
      <c r="A165" s="28"/>
      <c r="B165" s="28"/>
      <c r="C165" s="9" t="s">
        <v>54</v>
      </c>
      <c r="D165" s="300"/>
      <c r="E165" s="47">
        <v>550.22199999999998</v>
      </c>
      <c r="F165" s="11">
        <v>448</v>
      </c>
      <c r="G165" s="11">
        <v>573</v>
      </c>
      <c r="H165" s="28">
        <v>591</v>
      </c>
      <c r="I165" s="3"/>
      <c r="J165" s="28"/>
      <c r="K165" s="28"/>
      <c r="L165" s="28"/>
      <c r="M165" s="28"/>
      <c r="N165" s="28"/>
      <c r="O165" s="28"/>
      <c r="P165" s="28"/>
      <c r="Q165" s="28"/>
      <c r="R165" s="28"/>
      <c r="S165" s="28"/>
      <c r="T165" s="28"/>
      <c r="U165" s="28"/>
      <c r="V165" s="28"/>
      <c r="W165" s="28"/>
      <c r="X165" s="28"/>
      <c r="Y165" s="28"/>
      <c r="Z165" s="28"/>
    </row>
    <row r="166" spans="1:26" ht="15.75" customHeight="1" x14ac:dyDescent="0.25">
      <c r="A166" s="28"/>
      <c r="B166" s="28"/>
      <c r="C166" s="9" t="s">
        <v>55</v>
      </c>
      <c r="D166" s="300"/>
      <c r="E166" s="47">
        <v>609</v>
      </c>
      <c r="F166" s="11">
        <v>645</v>
      </c>
      <c r="G166" s="11">
        <v>634</v>
      </c>
      <c r="H166" s="28">
        <v>606</v>
      </c>
      <c r="I166" s="3"/>
      <c r="J166" s="28"/>
      <c r="K166" s="28"/>
      <c r="L166" s="28"/>
      <c r="M166" s="28"/>
      <c r="N166" s="28"/>
      <c r="O166" s="28"/>
      <c r="P166" s="28"/>
      <c r="Q166" s="28"/>
      <c r="R166" s="28"/>
      <c r="S166" s="28"/>
      <c r="T166" s="28"/>
      <c r="U166" s="28"/>
      <c r="V166" s="28"/>
      <c r="W166" s="28"/>
      <c r="X166" s="28"/>
      <c r="Y166" s="28"/>
      <c r="Z166" s="28"/>
    </row>
    <row r="167" spans="1:26" ht="15.75" customHeight="1" x14ac:dyDescent="0.25">
      <c r="A167" s="28"/>
      <c r="B167" s="28"/>
      <c r="C167" s="9" t="s">
        <v>56</v>
      </c>
      <c r="D167" s="300"/>
      <c r="E167" s="47">
        <v>739.11099999999999</v>
      </c>
      <c r="F167" s="11">
        <v>552</v>
      </c>
      <c r="G167" s="11">
        <v>784</v>
      </c>
      <c r="H167" s="28">
        <v>793</v>
      </c>
      <c r="I167" s="3"/>
      <c r="J167" s="28"/>
      <c r="K167" s="28"/>
      <c r="L167" s="28"/>
      <c r="M167" s="28"/>
      <c r="N167" s="28"/>
      <c r="O167" s="28"/>
      <c r="P167" s="28"/>
      <c r="Q167" s="28"/>
      <c r="R167" s="28"/>
      <c r="S167" s="28"/>
      <c r="T167" s="28"/>
      <c r="U167" s="28"/>
      <c r="V167" s="28"/>
      <c r="W167" s="28"/>
      <c r="X167" s="28"/>
      <c r="Y167" s="28"/>
      <c r="Z167" s="28"/>
    </row>
    <row r="168" spans="1:26" ht="15.75" customHeight="1" x14ac:dyDescent="0.25">
      <c r="A168" s="28"/>
      <c r="B168" s="28"/>
      <c r="C168" s="49" t="s">
        <v>57</v>
      </c>
      <c r="D168" s="300"/>
      <c r="E168" s="50">
        <v>746.88900000000001</v>
      </c>
      <c r="F168" s="51">
        <v>809</v>
      </c>
      <c r="G168" s="51">
        <v>823</v>
      </c>
      <c r="H168" s="28">
        <v>867</v>
      </c>
      <c r="I168" s="28"/>
      <c r="J168" s="28"/>
      <c r="K168" s="28"/>
      <c r="L168" s="28"/>
      <c r="M168" s="28"/>
      <c r="N168" s="28"/>
      <c r="O168" s="28"/>
      <c r="P168" s="28"/>
      <c r="Q168" s="28"/>
      <c r="R168" s="28"/>
      <c r="S168" s="28"/>
      <c r="T168" s="28"/>
      <c r="U168" s="28"/>
      <c r="V168" s="28"/>
      <c r="W168" s="28"/>
      <c r="X168" s="28"/>
      <c r="Y168" s="28"/>
      <c r="Z168" s="28"/>
    </row>
    <row r="169" spans="1:26" ht="15.75" customHeight="1" x14ac:dyDescent="0.25">
      <c r="A169" s="28"/>
      <c r="B169" s="28"/>
      <c r="C169" s="79"/>
      <c r="D169" s="81"/>
      <c r="E169" s="81"/>
      <c r="F169" s="81"/>
      <c r="G169" s="81"/>
      <c r="H169" s="28"/>
      <c r="I169" s="28"/>
      <c r="J169" s="28"/>
      <c r="K169" s="28"/>
      <c r="L169" s="28"/>
      <c r="M169" s="28"/>
      <c r="N169" s="28"/>
      <c r="O169" s="28"/>
      <c r="P169" s="28"/>
      <c r="Q169" s="28"/>
      <c r="R169" s="28"/>
      <c r="S169" s="28"/>
      <c r="T169" s="28"/>
      <c r="U169" s="28"/>
      <c r="V169" s="28"/>
      <c r="W169" s="28"/>
      <c r="X169" s="28"/>
      <c r="Y169" s="28"/>
      <c r="Z169" s="28"/>
    </row>
    <row r="170" spans="1:26" ht="15.75" customHeight="1" x14ac:dyDescent="0.25">
      <c r="A170" s="28"/>
      <c r="B170" s="28"/>
      <c r="C170" s="9" t="s">
        <v>60</v>
      </c>
      <c r="D170" s="299" t="s">
        <v>62</v>
      </c>
      <c r="E170" s="47">
        <v>19.36</v>
      </c>
      <c r="F170" s="11">
        <v>22</v>
      </c>
      <c r="G170" s="11">
        <v>33</v>
      </c>
      <c r="H170" s="28"/>
      <c r="I170" s="28"/>
      <c r="J170" s="28"/>
      <c r="K170" s="28"/>
      <c r="L170" s="28"/>
      <c r="M170" s="28"/>
      <c r="N170" s="28"/>
      <c r="O170" s="28"/>
      <c r="P170" s="28"/>
      <c r="Q170" s="28"/>
      <c r="R170" s="28"/>
      <c r="S170" s="28"/>
      <c r="T170" s="28"/>
      <c r="U170" s="28"/>
      <c r="V170" s="28"/>
      <c r="W170" s="28"/>
      <c r="X170" s="28"/>
      <c r="Y170" s="28"/>
      <c r="Z170" s="28"/>
    </row>
    <row r="171" spans="1:26" ht="15.75" customHeight="1" x14ac:dyDescent="0.25">
      <c r="A171" s="28"/>
      <c r="B171" s="28"/>
      <c r="C171" s="9" t="s">
        <v>64</v>
      </c>
      <c r="D171" s="300"/>
      <c r="E171" s="47">
        <v>33.31</v>
      </c>
      <c r="F171" s="11">
        <v>37</v>
      </c>
      <c r="G171" s="11">
        <v>40</v>
      </c>
      <c r="H171" s="28"/>
      <c r="I171" s="28"/>
      <c r="J171" s="28"/>
      <c r="K171" s="28"/>
      <c r="L171" s="28"/>
      <c r="M171" s="28"/>
      <c r="N171" s="28"/>
      <c r="O171" s="28"/>
      <c r="P171" s="28"/>
      <c r="Q171" s="28"/>
      <c r="R171" s="28"/>
      <c r="S171" s="28"/>
      <c r="T171" s="28"/>
      <c r="U171" s="28"/>
      <c r="V171" s="28"/>
      <c r="W171" s="28"/>
      <c r="X171" s="28"/>
      <c r="Y171" s="28"/>
      <c r="Z171" s="28"/>
    </row>
    <row r="172" spans="1:26" ht="15.75" customHeight="1" x14ac:dyDescent="0.25">
      <c r="A172" s="28"/>
      <c r="B172" s="28"/>
      <c r="C172" s="9" t="s">
        <v>65</v>
      </c>
      <c r="D172" s="301"/>
      <c r="E172" s="47">
        <v>41.74</v>
      </c>
      <c r="F172" s="11">
        <v>40</v>
      </c>
      <c r="G172" s="11">
        <v>50</v>
      </c>
      <c r="H172" s="28"/>
      <c r="I172" s="28"/>
      <c r="J172" s="28"/>
      <c r="K172" s="28"/>
      <c r="L172" s="28"/>
      <c r="M172" s="28"/>
      <c r="N172" s="28"/>
      <c r="O172" s="28"/>
      <c r="P172" s="28"/>
      <c r="Q172" s="28"/>
      <c r="R172" s="28"/>
      <c r="S172" s="28"/>
      <c r="T172" s="28"/>
      <c r="U172" s="28"/>
      <c r="V172" s="28"/>
      <c r="W172" s="28"/>
      <c r="X172" s="28"/>
      <c r="Y172" s="28"/>
      <c r="Z172" s="28"/>
    </row>
    <row r="173" spans="1:26" ht="15.75" customHeight="1" x14ac:dyDescent="0.25">
      <c r="A173" s="28"/>
      <c r="B173" s="28"/>
      <c r="C173" s="41"/>
      <c r="D173" s="42"/>
      <c r="E173" s="69"/>
      <c r="F173" s="11"/>
      <c r="G173" s="11"/>
      <c r="H173" s="28"/>
      <c r="I173" s="28"/>
      <c r="J173" s="28"/>
      <c r="K173" s="28"/>
      <c r="L173" s="28"/>
      <c r="M173" s="28"/>
      <c r="N173" s="28"/>
      <c r="O173" s="28"/>
      <c r="P173" s="28"/>
      <c r="Q173" s="28"/>
      <c r="R173" s="28"/>
      <c r="S173" s="28"/>
      <c r="T173" s="28"/>
      <c r="U173" s="28"/>
      <c r="V173" s="28"/>
      <c r="W173" s="28"/>
      <c r="X173" s="28"/>
      <c r="Y173" s="28"/>
      <c r="Z173" s="28"/>
    </row>
    <row r="174" spans="1:26" ht="15.75" customHeight="1" x14ac:dyDescent="0.25">
      <c r="A174" s="28"/>
      <c r="B174" s="28"/>
      <c r="C174" s="9" t="s">
        <v>66</v>
      </c>
      <c r="D174" s="302" t="s">
        <v>68</v>
      </c>
      <c r="E174" s="47">
        <v>204.5</v>
      </c>
      <c r="F174" s="11">
        <v>226</v>
      </c>
      <c r="G174" s="11">
        <v>230</v>
      </c>
      <c r="H174" s="28"/>
      <c r="I174" s="3"/>
      <c r="J174" s="28"/>
      <c r="K174" s="28"/>
      <c r="L174" s="28"/>
      <c r="M174" s="28"/>
      <c r="N174" s="28"/>
      <c r="O174" s="28"/>
      <c r="P174" s="28"/>
      <c r="Q174" s="28"/>
      <c r="R174" s="28"/>
      <c r="S174" s="28"/>
      <c r="T174" s="28"/>
      <c r="U174" s="28"/>
      <c r="V174" s="28"/>
      <c r="W174" s="28"/>
      <c r="X174" s="28"/>
      <c r="Y174" s="28"/>
      <c r="Z174" s="28"/>
    </row>
    <row r="175" spans="1:26" ht="15.75" customHeight="1" x14ac:dyDescent="0.25">
      <c r="A175" s="28"/>
      <c r="B175" s="28"/>
      <c r="C175" s="49" t="s">
        <v>69</v>
      </c>
      <c r="D175" s="300"/>
      <c r="E175" s="50">
        <v>277.7</v>
      </c>
      <c r="F175" s="51">
        <v>290</v>
      </c>
      <c r="G175" s="51">
        <v>305</v>
      </c>
      <c r="H175" s="28"/>
      <c r="I175" s="3"/>
      <c r="J175" s="28"/>
      <c r="K175" s="28"/>
      <c r="L175" s="28"/>
      <c r="M175" s="28"/>
      <c r="N175" s="28"/>
      <c r="O175" s="28"/>
      <c r="P175" s="28"/>
      <c r="Q175" s="28"/>
      <c r="R175" s="28"/>
      <c r="S175" s="28"/>
      <c r="T175" s="28"/>
      <c r="U175" s="28"/>
      <c r="V175" s="28"/>
      <c r="W175" s="28"/>
      <c r="X175" s="28"/>
      <c r="Y175" s="28"/>
      <c r="Z175" s="28"/>
    </row>
    <row r="176" spans="1:26" ht="15.75" customHeight="1" x14ac:dyDescent="0.25">
      <c r="A176" s="28"/>
      <c r="B176" s="28"/>
      <c r="C176" s="44"/>
      <c r="D176" s="46"/>
      <c r="E176" s="46"/>
      <c r="F176" s="46"/>
      <c r="G176" s="46"/>
      <c r="H176" s="28"/>
      <c r="I176" s="3"/>
      <c r="J176" s="28"/>
      <c r="K176" s="28"/>
      <c r="L176" s="28"/>
      <c r="M176" s="28"/>
      <c r="N176" s="28"/>
      <c r="O176" s="28"/>
      <c r="P176" s="28"/>
      <c r="Q176" s="28"/>
      <c r="R176" s="28"/>
      <c r="S176" s="28"/>
      <c r="T176" s="28"/>
      <c r="U176" s="28"/>
      <c r="V176" s="28"/>
      <c r="W176" s="28"/>
      <c r="X176" s="28"/>
      <c r="Y176" s="28"/>
      <c r="Z176" s="28"/>
    </row>
    <row r="177" spans="1:26" ht="15.75" customHeight="1" x14ac:dyDescent="0.25">
      <c r="A177" s="28"/>
      <c r="B177" s="28"/>
      <c r="C177" s="9" t="s">
        <v>69</v>
      </c>
      <c r="D177" s="299" t="s">
        <v>71</v>
      </c>
      <c r="E177" s="47">
        <v>10.283300000000001</v>
      </c>
      <c r="F177" s="11">
        <v>9</v>
      </c>
      <c r="G177" s="11">
        <v>15</v>
      </c>
      <c r="H177" s="28"/>
      <c r="I177" s="3"/>
      <c r="J177" s="28"/>
      <c r="K177" s="28"/>
      <c r="L177" s="28"/>
      <c r="M177" s="28"/>
      <c r="N177" s="28"/>
      <c r="O177" s="28"/>
      <c r="P177" s="28"/>
      <c r="Q177" s="28"/>
      <c r="R177" s="28"/>
      <c r="S177" s="28"/>
      <c r="T177" s="28"/>
      <c r="U177" s="28"/>
      <c r="V177" s="28"/>
      <c r="W177" s="28"/>
      <c r="X177" s="28"/>
      <c r="Y177" s="28"/>
      <c r="Z177" s="28"/>
    </row>
    <row r="178" spans="1:26" ht="15.75" customHeight="1" x14ac:dyDescent="0.25">
      <c r="A178" s="28"/>
      <c r="B178" s="28"/>
      <c r="C178" s="9" t="s">
        <v>72</v>
      </c>
      <c r="D178" s="300"/>
      <c r="E178" s="47">
        <v>11.8833</v>
      </c>
      <c r="F178" s="11">
        <v>12</v>
      </c>
      <c r="G178" s="11">
        <v>19</v>
      </c>
      <c r="H178" s="28"/>
      <c r="I178" s="3"/>
      <c r="J178" s="28"/>
      <c r="K178" s="28"/>
      <c r="L178" s="28"/>
      <c r="M178" s="28"/>
      <c r="N178" s="28"/>
      <c r="O178" s="28"/>
      <c r="P178" s="28"/>
      <c r="Q178" s="28"/>
      <c r="R178" s="28"/>
      <c r="S178" s="28"/>
      <c r="T178" s="28"/>
      <c r="U178" s="28"/>
      <c r="V178" s="28"/>
      <c r="W178" s="28"/>
      <c r="X178" s="28"/>
      <c r="Y178" s="28"/>
      <c r="Z178" s="28"/>
    </row>
    <row r="179" spans="1:26" ht="15.75" customHeight="1" x14ac:dyDescent="0.25">
      <c r="A179" s="28"/>
      <c r="B179" s="28"/>
      <c r="C179" s="9" t="s">
        <v>73</v>
      </c>
      <c r="D179" s="301"/>
      <c r="E179" s="47">
        <v>17.433299999999999</v>
      </c>
      <c r="F179" s="11">
        <v>16</v>
      </c>
      <c r="G179" s="11">
        <v>25</v>
      </c>
      <c r="H179" s="28"/>
      <c r="I179" s="3"/>
      <c r="J179" s="28"/>
      <c r="K179" s="28"/>
      <c r="L179" s="28"/>
      <c r="M179" s="28"/>
      <c r="N179" s="28"/>
      <c r="O179" s="28"/>
      <c r="P179" s="28"/>
      <c r="Q179" s="28"/>
      <c r="R179" s="28"/>
      <c r="S179" s="28"/>
      <c r="T179" s="28"/>
      <c r="U179" s="28"/>
      <c r="V179" s="28"/>
      <c r="W179" s="28"/>
      <c r="X179" s="28"/>
      <c r="Y179" s="28"/>
      <c r="Z179" s="28"/>
    </row>
    <row r="180" spans="1:26" ht="15.75" customHeight="1" x14ac:dyDescent="0.25">
      <c r="A180" s="28"/>
      <c r="B180" s="28"/>
      <c r="C180" s="41"/>
      <c r="D180" s="42"/>
      <c r="E180" s="69"/>
      <c r="F180" s="11"/>
      <c r="G180" s="11"/>
      <c r="H180" s="28"/>
      <c r="I180" s="3"/>
      <c r="J180" s="28"/>
      <c r="K180" s="28"/>
      <c r="L180" s="28"/>
      <c r="M180" s="28"/>
      <c r="N180" s="28"/>
      <c r="O180" s="28"/>
      <c r="P180" s="28"/>
      <c r="Q180" s="28"/>
      <c r="R180" s="28"/>
      <c r="S180" s="28"/>
      <c r="T180" s="28"/>
      <c r="U180" s="28"/>
      <c r="V180" s="28"/>
      <c r="W180" s="28"/>
      <c r="X180" s="28"/>
      <c r="Y180" s="28"/>
      <c r="Z180" s="28"/>
    </row>
    <row r="181" spans="1:26" ht="15.75" customHeight="1" x14ac:dyDescent="0.25">
      <c r="A181" s="28"/>
      <c r="B181" s="28"/>
      <c r="C181" s="9" t="s">
        <v>76</v>
      </c>
      <c r="D181" s="302" t="s">
        <v>77</v>
      </c>
      <c r="E181" s="47">
        <v>117.467</v>
      </c>
      <c r="F181" s="11">
        <v>140</v>
      </c>
      <c r="G181" s="11">
        <v>150</v>
      </c>
      <c r="H181" s="28"/>
      <c r="I181" s="3"/>
      <c r="J181" s="28"/>
      <c r="K181" s="28"/>
      <c r="L181" s="28"/>
      <c r="M181" s="28"/>
      <c r="N181" s="28"/>
      <c r="O181" s="28"/>
      <c r="P181" s="28"/>
      <c r="Q181" s="28"/>
      <c r="R181" s="28"/>
      <c r="S181" s="28"/>
      <c r="T181" s="28"/>
      <c r="U181" s="28"/>
      <c r="V181" s="28"/>
      <c r="W181" s="28"/>
      <c r="X181" s="28"/>
      <c r="Y181" s="28"/>
      <c r="Z181" s="28"/>
    </row>
    <row r="182" spans="1:26" ht="15.75" customHeight="1" x14ac:dyDescent="0.25">
      <c r="A182" s="28"/>
      <c r="B182" s="28"/>
      <c r="C182" s="9" t="s">
        <v>78</v>
      </c>
      <c r="D182" s="300"/>
      <c r="E182" s="47">
        <v>187.833</v>
      </c>
      <c r="F182" s="11">
        <v>162</v>
      </c>
      <c r="G182" s="11">
        <v>180</v>
      </c>
      <c r="H182" s="28"/>
      <c r="I182" s="3"/>
      <c r="J182" s="28"/>
      <c r="K182" s="28"/>
      <c r="L182" s="28"/>
      <c r="M182" s="28"/>
      <c r="N182" s="28"/>
      <c r="O182" s="28"/>
      <c r="P182" s="28"/>
      <c r="Q182" s="28"/>
      <c r="R182" s="28"/>
      <c r="S182" s="28"/>
      <c r="T182" s="28"/>
      <c r="U182" s="28"/>
      <c r="V182" s="28"/>
      <c r="W182" s="28"/>
      <c r="X182" s="28"/>
      <c r="Y182" s="28"/>
      <c r="Z182" s="28"/>
    </row>
    <row r="183" spans="1:26" ht="15.75" customHeight="1" x14ac:dyDescent="0.25">
      <c r="A183" s="28"/>
      <c r="B183" s="28"/>
      <c r="C183" s="9" t="s">
        <v>79</v>
      </c>
      <c r="D183" s="300"/>
      <c r="E183" s="47">
        <v>218.333</v>
      </c>
      <c r="F183" s="11">
        <v>194</v>
      </c>
      <c r="G183" s="11">
        <v>189</v>
      </c>
      <c r="H183" s="28"/>
      <c r="I183" s="3"/>
      <c r="J183" s="28"/>
      <c r="K183" s="28"/>
      <c r="L183" s="28"/>
      <c r="M183" s="28"/>
      <c r="N183" s="28"/>
      <c r="O183" s="28"/>
      <c r="P183" s="28"/>
      <c r="Q183" s="28"/>
      <c r="R183" s="28"/>
      <c r="S183" s="28"/>
      <c r="T183" s="28"/>
      <c r="U183" s="28"/>
      <c r="V183" s="28"/>
      <c r="W183" s="28"/>
      <c r="X183" s="28"/>
      <c r="Y183" s="28"/>
      <c r="Z183" s="28"/>
    </row>
    <row r="184" spans="1:26" ht="15.75" customHeight="1" x14ac:dyDescent="0.25">
      <c r="A184" s="28"/>
      <c r="B184" s="28"/>
      <c r="C184" s="49" t="s">
        <v>80</v>
      </c>
      <c r="D184" s="300"/>
      <c r="E184" s="50">
        <v>238.5</v>
      </c>
      <c r="F184" s="51">
        <v>248</v>
      </c>
      <c r="G184" s="51">
        <v>246</v>
      </c>
      <c r="H184" s="28"/>
      <c r="I184" s="3"/>
      <c r="J184" s="28"/>
      <c r="K184" s="28"/>
      <c r="L184" s="28"/>
      <c r="M184" s="28"/>
      <c r="N184" s="28"/>
      <c r="O184" s="28"/>
      <c r="P184" s="28"/>
      <c r="Q184" s="28"/>
      <c r="R184" s="28"/>
      <c r="S184" s="28"/>
      <c r="T184" s="28"/>
      <c r="U184" s="28"/>
      <c r="V184" s="28"/>
      <c r="W184" s="28"/>
      <c r="X184" s="28"/>
      <c r="Y184" s="28"/>
      <c r="Z184" s="28"/>
    </row>
    <row r="185" spans="1:26" ht="15.75" customHeight="1" x14ac:dyDescent="0.25">
      <c r="A185" s="28"/>
      <c r="B185" s="28"/>
      <c r="C185" s="44"/>
      <c r="D185" s="46"/>
      <c r="E185" s="46"/>
      <c r="F185" s="46"/>
      <c r="G185" s="46"/>
      <c r="H185" s="28"/>
      <c r="I185" s="3"/>
      <c r="J185" s="28"/>
      <c r="K185" s="28"/>
      <c r="L185" s="28"/>
      <c r="M185" s="28"/>
      <c r="N185" s="28"/>
      <c r="O185" s="28"/>
      <c r="P185" s="28"/>
      <c r="Q185" s="28"/>
      <c r="R185" s="28"/>
      <c r="S185" s="28"/>
      <c r="T185" s="28"/>
      <c r="U185" s="28"/>
      <c r="V185" s="28"/>
      <c r="W185" s="28"/>
      <c r="X185" s="28"/>
      <c r="Y185" s="28"/>
      <c r="Z185" s="28"/>
    </row>
    <row r="186" spans="1:26" ht="15.75" customHeight="1" x14ac:dyDescent="0.25">
      <c r="A186" s="28"/>
      <c r="B186" s="28"/>
      <c r="C186" s="9" t="s">
        <v>81</v>
      </c>
      <c r="D186" s="299" t="s">
        <v>82</v>
      </c>
      <c r="E186" s="11">
        <v>2</v>
      </c>
      <c r="F186" s="11">
        <v>4</v>
      </c>
      <c r="G186" s="11">
        <v>22</v>
      </c>
      <c r="H186" s="28"/>
      <c r="I186" s="3"/>
      <c r="J186" s="28"/>
      <c r="K186" s="28"/>
      <c r="L186" s="28"/>
      <c r="M186" s="28"/>
      <c r="N186" s="28"/>
      <c r="O186" s="28"/>
      <c r="P186" s="28"/>
      <c r="Q186" s="28"/>
      <c r="R186" s="28"/>
      <c r="S186" s="28"/>
      <c r="T186" s="28"/>
      <c r="U186" s="28"/>
      <c r="V186" s="28"/>
      <c r="W186" s="28"/>
      <c r="X186" s="28"/>
      <c r="Y186" s="28"/>
      <c r="Z186" s="28"/>
    </row>
    <row r="187" spans="1:26" ht="15.75" customHeight="1" x14ac:dyDescent="0.25">
      <c r="A187" s="28"/>
      <c r="B187" s="28"/>
      <c r="C187" s="9" t="s">
        <v>83</v>
      </c>
      <c r="D187" s="300"/>
      <c r="E187" s="47">
        <v>7.133</v>
      </c>
      <c r="F187" s="11">
        <v>11</v>
      </c>
      <c r="G187" s="11">
        <v>27</v>
      </c>
      <c r="H187" s="28"/>
      <c r="I187" s="3"/>
      <c r="J187" s="28"/>
      <c r="K187" s="28"/>
      <c r="L187" s="28"/>
      <c r="M187" s="28"/>
      <c r="N187" s="28"/>
      <c r="O187" s="28"/>
      <c r="P187" s="28"/>
      <c r="Q187" s="28"/>
      <c r="R187" s="28"/>
      <c r="S187" s="28"/>
      <c r="T187" s="28"/>
      <c r="U187" s="28"/>
      <c r="V187" s="28"/>
      <c r="W187" s="28"/>
      <c r="X187" s="28"/>
      <c r="Y187" s="28"/>
      <c r="Z187" s="28"/>
    </row>
    <row r="188" spans="1:26" ht="15.75" customHeight="1" x14ac:dyDescent="0.25">
      <c r="A188" s="28"/>
      <c r="B188" s="28"/>
      <c r="C188" s="9" t="s">
        <v>84</v>
      </c>
      <c r="D188" s="301"/>
      <c r="E188" s="47">
        <v>10.72</v>
      </c>
      <c r="F188" s="11">
        <v>10</v>
      </c>
      <c r="G188" s="11">
        <v>21</v>
      </c>
      <c r="H188" s="28"/>
      <c r="I188" s="3"/>
      <c r="J188" s="28"/>
      <c r="K188" s="28"/>
      <c r="L188" s="28"/>
      <c r="M188" s="28"/>
      <c r="N188" s="28"/>
      <c r="O188" s="28"/>
      <c r="P188" s="28"/>
      <c r="Q188" s="28"/>
      <c r="R188" s="28"/>
      <c r="S188" s="28"/>
      <c r="T188" s="28"/>
      <c r="U188" s="28"/>
      <c r="V188" s="28"/>
      <c r="W188" s="28"/>
      <c r="X188" s="28"/>
      <c r="Y188" s="28"/>
      <c r="Z188" s="28"/>
    </row>
    <row r="189" spans="1:26" ht="15.75" customHeight="1" x14ac:dyDescent="0.25">
      <c r="A189" s="28"/>
      <c r="B189" s="28"/>
      <c r="C189" s="41"/>
      <c r="D189" s="42"/>
      <c r="E189" s="69"/>
      <c r="F189" s="11"/>
      <c r="G189" s="11"/>
      <c r="H189" s="28"/>
      <c r="I189" s="3"/>
      <c r="J189" s="28"/>
      <c r="K189" s="28"/>
      <c r="L189" s="28"/>
      <c r="M189" s="28"/>
      <c r="N189" s="28"/>
      <c r="O189" s="28"/>
      <c r="P189" s="28"/>
      <c r="Q189" s="28"/>
      <c r="R189" s="28"/>
      <c r="S189" s="28"/>
      <c r="T189" s="28"/>
      <c r="U189" s="28"/>
      <c r="V189" s="28"/>
      <c r="W189" s="28"/>
      <c r="X189" s="28"/>
      <c r="Y189" s="28"/>
      <c r="Z189" s="28"/>
    </row>
    <row r="190" spans="1:26" ht="15.75" customHeight="1" x14ac:dyDescent="0.25">
      <c r="A190" s="28"/>
      <c r="B190" s="28"/>
      <c r="C190" s="9" t="s">
        <v>86</v>
      </c>
      <c r="D190" s="302" t="s">
        <v>87</v>
      </c>
      <c r="E190" s="47">
        <v>20.466999999999999</v>
      </c>
      <c r="F190" s="11">
        <v>21</v>
      </c>
      <c r="G190" s="11">
        <v>27</v>
      </c>
      <c r="H190" s="28"/>
      <c r="I190" s="3"/>
      <c r="J190" s="28"/>
      <c r="K190" s="28"/>
      <c r="L190" s="28"/>
      <c r="M190" s="28"/>
      <c r="N190" s="28"/>
      <c r="O190" s="28"/>
      <c r="P190" s="28"/>
      <c r="Q190" s="28"/>
      <c r="R190" s="28"/>
      <c r="S190" s="28"/>
      <c r="T190" s="28"/>
      <c r="U190" s="28"/>
      <c r="V190" s="28"/>
      <c r="W190" s="28"/>
      <c r="X190" s="28"/>
      <c r="Y190" s="28"/>
      <c r="Z190" s="28"/>
    </row>
    <row r="191" spans="1:26" ht="15.75" customHeight="1" x14ac:dyDescent="0.25">
      <c r="A191" s="28"/>
      <c r="B191" s="28"/>
      <c r="C191" s="49" t="s">
        <v>88</v>
      </c>
      <c r="D191" s="300"/>
      <c r="E191" s="50">
        <v>20.367000000000001</v>
      </c>
      <c r="F191" s="51">
        <v>21</v>
      </c>
      <c r="G191" s="51">
        <v>27</v>
      </c>
      <c r="H191" s="28"/>
      <c r="I191" s="3"/>
      <c r="J191" s="28"/>
      <c r="K191" s="28"/>
      <c r="L191" s="28"/>
      <c r="M191" s="28"/>
      <c r="N191" s="28"/>
      <c r="O191" s="28"/>
      <c r="P191" s="28"/>
      <c r="Q191" s="28"/>
      <c r="R191" s="28"/>
      <c r="S191" s="28"/>
      <c r="T191" s="28"/>
      <c r="U191" s="28"/>
      <c r="V191" s="28"/>
      <c r="W191" s="28"/>
      <c r="X191" s="28"/>
      <c r="Y191" s="28"/>
      <c r="Z191" s="28"/>
    </row>
    <row r="192" spans="1:26" ht="15.75" customHeight="1" x14ac:dyDescent="0.25">
      <c r="A192" s="28"/>
      <c r="B192" s="28"/>
      <c r="C192" s="44"/>
      <c r="D192" s="46"/>
      <c r="E192" s="46"/>
      <c r="F192" s="46"/>
      <c r="G192" s="46"/>
      <c r="H192" s="28"/>
      <c r="I192" s="3"/>
      <c r="J192" s="28"/>
      <c r="K192" s="28"/>
      <c r="L192" s="28"/>
      <c r="M192" s="28"/>
      <c r="N192" s="28"/>
      <c r="O192" s="28"/>
      <c r="P192" s="28"/>
      <c r="Q192" s="28"/>
      <c r="R192" s="28"/>
      <c r="S192" s="28"/>
      <c r="T192" s="28"/>
      <c r="U192" s="28"/>
      <c r="V192" s="28"/>
      <c r="W192" s="28"/>
      <c r="X192" s="28"/>
      <c r="Y192" s="28"/>
      <c r="Z192" s="28"/>
    </row>
    <row r="193" spans="1:26" ht="15.75" customHeight="1" x14ac:dyDescent="0.25">
      <c r="A193" s="28"/>
      <c r="B193" s="28"/>
      <c r="C193" s="9" t="s">
        <v>89</v>
      </c>
      <c r="D193" s="299" t="s">
        <v>90</v>
      </c>
      <c r="E193" s="47">
        <v>5.15</v>
      </c>
      <c r="F193" s="11">
        <v>8</v>
      </c>
      <c r="G193" s="11">
        <v>56</v>
      </c>
      <c r="H193" s="28"/>
      <c r="I193" s="3"/>
      <c r="J193" s="28"/>
      <c r="K193" s="28"/>
      <c r="L193" s="28"/>
      <c r="M193" s="28"/>
      <c r="N193" s="28"/>
      <c r="O193" s="28"/>
      <c r="P193" s="28"/>
      <c r="Q193" s="28"/>
      <c r="R193" s="28"/>
      <c r="S193" s="28"/>
      <c r="T193" s="28"/>
      <c r="U193" s="28"/>
      <c r="V193" s="28"/>
      <c r="W193" s="28"/>
      <c r="X193" s="28"/>
      <c r="Y193" s="28"/>
      <c r="Z193" s="28"/>
    </row>
    <row r="194" spans="1:26" ht="15.75" customHeight="1" x14ac:dyDescent="0.25">
      <c r="A194" s="28"/>
      <c r="B194" s="28"/>
      <c r="C194" s="49" t="s">
        <v>91</v>
      </c>
      <c r="D194" s="300"/>
      <c r="E194" s="50">
        <v>16.2</v>
      </c>
      <c r="F194" s="51">
        <v>12</v>
      </c>
      <c r="G194" s="51">
        <v>62</v>
      </c>
      <c r="H194" s="28"/>
      <c r="I194" s="3"/>
      <c r="J194" s="28"/>
      <c r="K194" s="28"/>
      <c r="L194" s="28"/>
      <c r="M194" s="28"/>
      <c r="N194" s="28"/>
      <c r="O194" s="28"/>
      <c r="P194" s="28"/>
      <c r="Q194" s="28"/>
      <c r="R194" s="28"/>
      <c r="S194" s="28"/>
      <c r="T194" s="28"/>
      <c r="U194" s="28"/>
      <c r="V194" s="28"/>
      <c r="W194" s="28"/>
      <c r="X194" s="28"/>
      <c r="Y194" s="28"/>
      <c r="Z194" s="28"/>
    </row>
    <row r="195" spans="1:26" ht="15.75" customHeight="1" x14ac:dyDescent="0.25">
      <c r="A195" s="28"/>
      <c r="B195" s="28"/>
      <c r="C195" s="41"/>
      <c r="D195" s="42"/>
      <c r="E195" s="69"/>
      <c r="F195" s="201"/>
      <c r="G195" s="201"/>
      <c r="H195" s="28"/>
      <c r="I195" s="3"/>
      <c r="J195" s="28"/>
      <c r="K195" s="28"/>
      <c r="L195" s="28"/>
      <c r="M195" s="28"/>
      <c r="N195" s="28"/>
      <c r="O195" s="28"/>
      <c r="P195" s="28"/>
      <c r="Q195" s="28"/>
      <c r="R195" s="28"/>
      <c r="S195" s="28"/>
      <c r="T195" s="28"/>
      <c r="U195" s="28"/>
      <c r="V195" s="28"/>
      <c r="W195" s="28"/>
      <c r="X195" s="28"/>
      <c r="Y195" s="28"/>
      <c r="Z195" s="28"/>
    </row>
    <row r="196" spans="1:26" ht="15.75" customHeight="1" x14ac:dyDescent="0.25">
      <c r="A196" s="28"/>
      <c r="B196" s="28"/>
      <c r="C196" s="9" t="s">
        <v>94</v>
      </c>
      <c r="D196" s="299" t="s">
        <v>95</v>
      </c>
      <c r="E196" s="47">
        <v>50.082999999999998</v>
      </c>
      <c r="F196" s="11">
        <v>55</v>
      </c>
      <c r="G196" s="11">
        <v>59</v>
      </c>
      <c r="H196" s="28"/>
      <c r="I196" s="3"/>
      <c r="J196" s="28"/>
      <c r="K196" s="28"/>
      <c r="L196" s="28"/>
      <c r="M196" s="28"/>
      <c r="N196" s="28"/>
      <c r="O196" s="28"/>
      <c r="P196" s="28"/>
      <c r="Q196" s="28"/>
      <c r="R196" s="28"/>
      <c r="S196" s="28"/>
      <c r="T196" s="28"/>
      <c r="U196" s="28"/>
      <c r="V196" s="28"/>
      <c r="W196" s="28"/>
      <c r="X196" s="28"/>
      <c r="Y196" s="28"/>
      <c r="Z196" s="28"/>
    </row>
    <row r="197" spans="1:26" ht="15.75" customHeight="1" x14ac:dyDescent="0.25">
      <c r="A197" s="28"/>
      <c r="B197" s="28"/>
      <c r="C197" s="9" t="s">
        <v>96</v>
      </c>
      <c r="D197" s="300"/>
      <c r="E197" s="47">
        <v>93.992999999999995</v>
      </c>
      <c r="F197" s="11">
        <v>91</v>
      </c>
      <c r="G197" s="11">
        <v>163</v>
      </c>
      <c r="H197" s="28"/>
      <c r="I197" s="3"/>
      <c r="J197" s="28"/>
      <c r="K197" s="28"/>
      <c r="L197" s="28"/>
      <c r="M197" s="28"/>
      <c r="N197" s="28"/>
      <c r="O197" s="28"/>
      <c r="P197" s="28"/>
      <c r="Q197" s="28"/>
      <c r="R197" s="28"/>
      <c r="S197" s="28"/>
      <c r="T197" s="28"/>
      <c r="U197" s="28"/>
      <c r="V197" s="28"/>
      <c r="W197" s="28"/>
      <c r="X197" s="28"/>
      <c r="Y197" s="28"/>
      <c r="Z197" s="28"/>
    </row>
    <row r="198" spans="1:26" ht="15.75" customHeight="1" x14ac:dyDescent="0.25">
      <c r="A198" s="28"/>
      <c r="B198" s="28"/>
      <c r="C198" s="9" t="s">
        <v>97</v>
      </c>
      <c r="D198" s="300"/>
      <c r="E198" s="47">
        <v>95.516999999999996</v>
      </c>
      <c r="F198" s="11">
        <v>101</v>
      </c>
      <c r="G198" s="11">
        <v>159</v>
      </c>
      <c r="H198" s="28"/>
      <c r="I198" s="3"/>
      <c r="J198" s="28"/>
      <c r="K198" s="28"/>
      <c r="L198" s="28"/>
      <c r="M198" s="28"/>
      <c r="N198" s="28"/>
      <c r="O198" s="28"/>
      <c r="P198" s="28"/>
      <c r="Q198" s="28"/>
      <c r="R198" s="28"/>
      <c r="S198" s="28"/>
      <c r="T198" s="28"/>
      <c r="U198" s="28"/>
      <c r="V198" s="28"/>
      <c r="W198" s="28"/>
      <c r="X198" s="28"/>
      <c r="Y198" s="28"/>
      <c r="Z198" s="28"/>
    </row>
    <row r="199" spans="1:26" ht="15.75" customHeight="1" x14ac:dyDescent="0.25">
      <c r="A199" s="28"/>
      <c r="B199" s="28"/>
      <c r="C199" s="9" t="s">
        <v>98</v>
      </c>
      <c r="D199" s="300"/>
      <c r="E199" s="47">
        <v>100.92</v>
      </c>
      <c r="F199" s="11">
        <v>102</v>
      </c>
      <c r="G199" s="11">
        <v>165</v>
      </c>
      <c r="H199" s="28"/>
      <c r="I199" s="3"/>
      <c r="J199" s="28"/>
      <c r="K199" s="28"/>
      <c r="L199" s="28"/>
      <c r="M199" s="28"/>
      <c r="N199" s="28"/>
      <c r="O199" s="28"/>
      <c r="P199" s="28"/>
      <c r="Q199" s="28"/>
      <c r="R199" s="28"/>
      <c r="S199" s="28"/>
      <c r="T199" s="28"/>
      <c r="U199" s="28"/>
      <c r="V199" s="28"/>
      <c r="W199" s="28"/>
      <c r="X199" s="28"/>
      <c r="Y199" s="28"/>
      <c r="Z199" s="28"/>
    </row>
    <row r="200" spans="1:26" ht="15.75" customHeight="1" x14ac:dyDescent="0.25">
      <c r="A200" s="28"/>
      <c r="B200" s="28"/>
      <c r="C200" s="9" t="s">
        <v>99</v>
      </c>
      <c r="D200" s="301"/>
      <c r="E200" s="47">
        <v>115.37</v>
      </c>
      <c r="F200" s="11">
        <v>106</v>
      </c>
      <c r="G200" s="11">
        <v>173</v>
      </c>
      <c r="H200" s="28"/>
      <c r="I200" s="3"/>
      <c r="J200" s="28"/>
      <c r="K200" s="28"/>
      <c r="L200" s="28"/>
      <c r="M200" s="28"/>
      <c r="N200" s="28"/>
      <c r="O200" s="28"/>
      <c r="P200" s="28"/>
      <c r="Q200" s="28"/>
      <c r="R200" s="28"/>
      <c r="S200" s="28"/>
      <c r="T200" s="28"/>
      <c r="U200" s="28"/>
      <c r="V200" s="28"/>
      <c r="W200" s="28"/>
      <c r="X200" s="28"/>
      <c r="Y200" s="28"/>
      <c r="Z200" s="28"/>
    </row>
    <row r="201" spans="1:26" ht="15.75" customHeight="1" x14ac:dyDescent="0.25">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5.75" customHeight="1" x14ac:dyDescent="0.2"/>
    <row r="203" spans="1:26" ht="15.75" customHeight="1" x14ac:dyDescent="0.25">
      <c r="A203" s="29" t="s">
        <v>668</v>
      </c>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5.75" customHeight="1" x14ac:dyDescent="0.2"/>
    <row r="205" spans="1:26" ht="15.75" customHeight="1" x14ac:dyDescent="0.25">
      <c r="A205" s="28"/>
      <c r="B205" s="28" t="s">
        <v>1329</v>
      </c>
      <c r="C205" s="28"/>
      <c r="D205" s="28"/>
      <c r="E205" s="28"/>
      <c r="F205" s="28"/>
      <c r="G205" s="28"/>
      <c r="H205" s="28"/>
      <c r="I205" s="28"/>
      <c r="J205" s="28"/>
      <c r="K205" s="28"/>
      <c r="L205" s="28"/>
      <c r="M205" s="28"/>
      <c r="N205" s="28"/>
    </row>
    <row r="206" spans="1:26" ht="15.75" customHeight="1" x14ac:dyDescent="0.25">
      <c r="A206" s="28"/>
      <c r="B206" s="28"/>
      <c r="C206" s="28"/>
      <c r="D206" s="28"/>
      <c r="E206" s="28"/>
      <c r="F206" s="28"/>
      <c r="G206" s="28"/>
      <c r="H206" s="28"/>
      <c r="I206" s="28"/>
      <c r="J206" s="28"/>
      <c r="K206" s="28"/>
      <c r="L206" s="28"/>
      <c r="M206" s="28"/>
      <c r="N206" s="28"/>
    </row>
    <row r="207" spans="1:26" ht="15.75" customHeight="1" x14ac:dyDescent="0.25">
      <c r="A207" s="28"/>
      <c r="B207" s="28"/>
      <c r="C207" s="28"/>
      <c r="D207" s="28"/>
      <c r="E207" s="28"/>
      <c r="F207" s="28"/>
      <c r="G207" s="28"/>
      <c r="H207" s="28"/>
      <c r="I207" s="28"/>
      <c r="J207" s="28"/>
      <c r="K207" s="28"/>
      <c r="L207" s="28"/>
      <c r="M207" s="28"/>
      <c r="N207" s="28"/>
    </row>
    <row r="208" spans="1:26" ht="15.75" customHeight="1" x14ac:dyDescent="0.25">
      <c r="A208" s="28"/>
      <c r="B208" s="28"/>
      <c r="C208" s="28"/>
      <c r="D208" s="28"/>
      <c r="E208" s="28"/>
      <c r="F208" s="28"/>
      <c r="G208" s="28"/>
      <c r="H208" s="28"/>
      <c r="I208" s="28"/>
      <c r="J208" s="28"/>
      <c r="K208" s="28"/>
      <c r="L208" s="28"/>
      <c r="M208" s="28"/>
      <c r="N208" s="28"/>
    </row>
    <row r="209" spans="1:14" ht="15.75" customHeight="1" x14ac:dyDescent="0.25">
      <c r="A209" s="28"/>
      <c r="B209" s="28"/>
      <c r="C209" s="304" t="str">
        <f ca="1">A201+C209:G230</f>
        <v>#VALUE!</v>
      </c>
      <c r="D209" s="297"/>
      <c r="E209" s="297"/>
      <c r="F209" s="297"/>
      <c r="G209" s="154"/>
      <c r="H209" s="28"/>
      <c r="I209" s="296" t="s">
        <v>6</v>
      </c>
      <c r="J209" s="297"/>
      <c r="K209" s="297"/>
      <c r="L209" s="297"/>
      <c r="M209" s="297"/>
      <c r="N209" s="298"/>
    </row>
    <row r="210" spans="1:14" ht="15.75" customHeight="1" x14ac:dyDescent="0.25">
      <c r="A210" s="28"/>
      <c r="B210" s="28"/>
      <c r="C210" s="4" t="s">
        <v>0</v>
      </c>
      <c r="D210" s="5" t="s">
        <v>1</v>
      </c>
      <c r="E210" s="5" t="s">
        <v>2</v>
      </c>
      <c r="F210" s="5" t="s">
        <v>43</v>
      </c>
      <c r="G210" s="45" t="s">
        <v>125</v>
      </c>
      <c r="H210" s="28"/>
      <c r="I210" s="296" t="s">
        <v>106</v>
      </c>
      <c r="J210" s="297"/>
      <c r="K210" s="298"/>
      <c r="L210" s="296" t="s">
        <v>107</v>
      </c>
      <c r="M210" s="297"/>
      <c r="N210" s="298"/>
    </row>
    <row r="211" spans="1:14" ht="15.75" customHeight="1" x14ac:dyDescent="0.25">
      <c r="A211" s="28"/>
      <c r="B211" s="28"/>
      <c r="C211" s="9" t="s">
        <v>7</v>
      </c>
      <c r="D211" s="302" t="s">
        <v>9</v>
      </c>
      <c r="E211" s="47">
        <v>28.1</v>
      </c>
      <c r="F211" s="11">
        <v>88</v>
      </c>
      <c r="G211" s="11"/>
      <c r="H211" s="28"/>
      <c r="I211" s="13" t="s">
        <v>13</v>
      </c>
      <c r="J211" s="39">
        <f>J213+J213*0.05</f>
        <v>1039.5</v>
      </c>
      <c r="K211" s="17" t="s">
        <v>1390</v>
      </c>
      <c r="L211" s="13" t="s">
        <v>13</v>
      </c>
      <c r="M211" s="39">
        <f>M213+M213*0.05</f>
        <v>0</v>
      </c>
      <c r="N211" s="17" t="s">
        <v>1391</v>
      </c>
    </row>
    <row r="212" spans="1:14" ht="15.75" customHeight="1" x14ac:dyDescent="0.25">
      <c r="A212" s="28"/>
      <c r="B212" s="28"/>
      <c r="C212" s="9" t="s">
        <v>17</v>
      </c>
      <c r="D212" s="300"/>
      <c r="E212" s="47">
        <v>63.911000000000001</v>
      </c>
      <c r="F212" s="11">
        <v>92</v>
      </c>
      <c r="G212" s="11"/>
      <c r="H212" s="28"/>
      <c r="I212" s="13" t="s">
        <v>19</v>
      </c>
      <c r="J212" s="40">
        <f>J213-J213*0.05</f>
        <v>940.5</v>
      </c>
      <c r="K212" s="17" t="s">
        <v>1392</v>
      </c>
      <c r="L212" s="13" t="s">
        <v>19</v>
      </c>
      <c r="M212" s="40">
        <f>M213-M213*0.05</f>
        <v>0</v>
      </c>
      <c r="N212" s="17" t="s">
        <v>1393</v>
      </c>
    </row>
    <row r="213" spans="1:14" ht="15.75" customHeight="1" x14ac:dyDescent="0.25">
      <c r="A213" s="28"/>
      <c r="B213" s="28"/>
      <c r="C213" s="9" t="s">
        <v>26</v>
      </c>
      <c r="D213" s="300"/>
      <c r="E213" s="47">
        <v>69.921999999999997</v>
      </c>
      <c r="F213" s="11">
        <v>93</v>
      </c>
      <c r="G213" s="11"/>
      <c r="H213" s="28"/>
      <c r="I213" s="13" t="s">
        <v>27</v>
      </c>
      <c r="J213" s="20">
        <v>990</v>
      </c>
      <c r="K213" s="17" t="s">
        <v>1394</v>
      </c>
      <c r="L213" s="13" t="s">
        <v>27</v>
      </c>
      <c r="M213" s="182"/>
      <c r="N213" s="17" t="s">
        <v>1395</v>
      </c>
    </row>
    <row r="214" spans="1:14" ht="15.75" customHeight="1" x14ac:dyDescent="0.25">
      <c r="A214" s="28"/>
      <c r="B214" s="28"/>
      <c r="C214" s="9" t="s">
        <v>32</v>
      </c>
      <c r="D214" s="300"/>
      <c r="E214" s="47">
        <v>96.744</v>
      </c>
      <c r="F214" s="11">
        <v>105</v>
      </c>
      <c r="G214" s="11"/>
      <c r="H214" s="28"/>
      <c r="I214" s="13" t="s">
        <v>121</v>
      </c>
      <c r="J214" s="20">
        <v>1030</v>
      </c>
      <c r="K214" s="17" t="s">
        <v>1396</v>
      </c>
      <c r="L214" s="13" t="s">
        <v>121</v>
      </c>
      <c r="M214" s="182"/>
      <c r="N214" s="17" t="s">
        <v>1397</v>
      </c>
    </row>
    <row r="215" spans="1:14" ht="15.75" customHeight="1" x14ac:dyDescent="0.25">
      <c r="A215" s="28"/>
      <c r="B215" s="28"/>
      <c r="C215" s="9" t="s">
        <v>33</v>
      </c>
      <c r="D215" s="301"/>
      <c r="E215" s="47">
        <v>128.11000000000001</v>
      </c>
      <c r="F215" s="11">
        <v>134</v>
      </c>
      <c r="G215" s="11"/>
      <c r="H215" s="28"/>
      <c r="I215" s="28"/>
      <c r="J215" s="28"/>
      <c r="K215" s="28"/>
      <c r="L215" s="28"/>
      <c r="M215" s="28"/>
      <c r="N215" s="28"/>
    </row>
    <row r="216" spans="1:14" ht="15.75" customHeight="1" x14ac:dyDescent="0.25">
      <c r="A216" s="28"/>
      <c r="B216" s="28"/>
      <c r="C216" s="41"/>
      <c r="D216" s="42"/>
      <c r="E216" s="42"/>
      <c r="F216" s="11"/>
      <c r="G216" s="11"/>
      <c r="H216" s="28"/>
      <c r="I216" s="3"/>
      <c r="J216" s="28"/>
      <c r="K216" s="28"/>
      <c r="L216" s="28"/>
      <c r="M216" s="28"/>
      <c r="N216" s="28"/>
    </row>
    <row r="217" spans="1:14" ht="15.75" customHeight="1" x14ac:dyDescent="0.25">
      <c r="A217" s="28"/>
      <c r="B217" s="28"/>
      <c r="C217" s="9" t="s">
        <v>35</v>
      </c>
      <c r="D217" s="302" t="s">
        <v>36</v>
      </c>
      <c r="E217" s="47">
        <v>207.78</v>
      </c>
      <c r="F217" s="11">
        <v>293</v>
      </c>
      <c r="G217" s="11"/>
    </row>
    <row r="218" spans="1:14" ht="15.75" customHeight="1" x14ac:dyDescent="0.25">
      <c r="A218" s="28"/>
      <c r="B218" s="28"/>
      <c r="C218" s="9" t="s">
        <v>37</v>
      </c>
      <c r="D218" s="300"/>
      <c r="E218" s="47">
        <v>444.11</v>
      </c>
      <c r="F218" s="11">
        <v>465</v>
      </c>
      <c r="G218" s="11"/>
    </row>
    <row r="219" spans="1:14" ht="15.75" customHeight="1" x14ac:dyDescent="0.25">
      <c r="A219" s="28"/>
      <c r="B219" s="28"/>
      <c r="C219" s="9" t="s">
        <v>38</v>
      </c>
      <c r="D219" s="300"/>
      <c r="E219" s="47">
        <v>579.55999999999995</v>
      </c>
      <c r="F219" s="11">
        <v>694</v>
      </c>
      <c r="G219" s="11"/>
    </row>
    <row r="220" spans="1:14" ht="15.75" customHeight="1" x14ac:dyDescent="0.25">
      <c r="A220" s="28"/>
      <c r="B220" s="28"/>
      <c r="C220" s="9" t="s">
        <v>39</v>
      </c>
      <c r="D220" s="300"/>
      <c r="E220" s="47">
        <v>746.22</v>
      </c>
      <c r="F220" s="11">
        <v>790</v>
      </c>
      <c r="G220" s="11"/>
    </row>
    <row r="221" spans="1:14" ht="15.75" customHeight="1" x14ac:dyDescent="0.25">
      <c r="A221" s="28"/>
      <c r="B221" s="28"/>
      <c r="C221" s="49" t="s">
        <v>41</v>
      </c>
      <c r="D221" s="300"/>
      <c r="E221" s="50">
        <v>869.5</v>
      </c>
      <c r="F221" s="51">
        <v>856</v>
      </c>
      <c r="G221" s="51"/>
    </row>
    <row r="222" spans="1:14" ht="15.75" customHeight="1" x14ac:dyDescent="0.25">
      <c r="A222" s="28"/>
      <c r="B222" s="28"/>
      <c r="C222" s="79"/>
      <c r="D222" s="81"/>
      <c r="E222" s="81"/>
      <c r="F222" s="81"/>
      <c r="G222" s="81"/>
    </row>
    <row r="223" spans="1:14" ht="15.75" customHeight="1" x14ac:dyDescent="0.25">
      <c r="A223" s="28"/>
      <c r="B223" s="28"/>
      <c r="C223" s="9" t="s">
        <v>46</v>
      </c>
      <c r="D223" s="299" t="s">
        <v>47</v>
      </c>
      <c r="E223" s="47">
        <v>88.4</v>
      </c>
      <c r="F223" s="11">
        <v>110</v>
      </c>
      <c r="G223" s="11"/>
    </row>
    <row r="224" spans="1:14" ht="15.75" customHeight="1" x14ac:dyDescent="0.25">
      <c r="A224" s="28"/>
      <c r="B224" s="28"/>
      <c r="C224" s="9" t="s">
        <v>48</v>
      </c>
      <c r="D224" s="300"/>
      <c r="E224" s="47">
        <v>94.6</v>
      </c>
      <c r="F224" s="11">
        <v>107</v>
      </c>
      <c r="G224" s="11"/>
    </row>
    <row r="225" spans="1:7" ht="15.75" customHeight="1" x14ac:dyDescent="0.25">
      <c r="A225" s="28"/>
      <c r="B225" s="28"/>
      <c r="C225" s="41"/>
      <c r="D225" s="42"/>
      <c r="E225" s="69"/>
      <c r="F225" s="11"/>
      <c r="G225" s="11"/>
    </row>
    <row r="226" spans="1:7" ht="15.75" customHeight="1" x14ac:dyDescent="0.25">
      <c r="A226" s="28"/>
      <c r="B226" s="28"/>
      <c r="C226" s="9" t="s">
        <v>50</v>
      </c>
      <c r="D226" s="302" t="s">
        <v>51</v>
      </c>
      <c r="E226" s="47">
        <v>271.44400000000002</v>
      </c>
      <c r="F226" s="11">
        <v>412</v>
      </c>
      <c r="G226" s="11"/>
    </row>
    <row r="227" spans="1:7" ht="15.75" customHeight="1" x14ac:dyDescent="0.25">
      <c r="A227" s="28"/>
      <c r="B227" s="28"/>
      <c r="C227" s="9" t="s">
        <v>54</v>
      </c>
      <c r="D227" s="300"/>
      <c r="E227" s="47">
        <v>550.22199999999998</v>
      </c>
      <c r="F227" s="11">
        <v>573</v>
      </c>
      <c r="G227" s="11"/>
    </row>
    <row r="228" spans="1:7" ht="15.75" customHeight="1" x14ac:dyDescent="0.25">
      <c r="A228" s="28"/>
      <c r="B228" s="28"/>
      <c r="C228" s="9" t="s">
        <v>55</v>
      </c>
      <c r="D228" s="300"/>
      <c r="E228" s="47">
        <v>609</v>
      </c>
      <c r="F228" s="11">
        <v>634</v>
      </c>
      <c r="G228" s="11"/>
    </row>
    <row r="229" spans="1:7" ht="15.75" customHeight="1" x14ac:dyDescent="0.25">
      <c r="A229" s="28"/>
      <c r="B229" s="28"/>
      <c r="C229" s="9" t="s">
        <v>56</v>
      </c>
      <c r="D229" s="300"/>
      <c r="E229" s="47">
        <v>739.11099999999999</v>
      </c>
      <c r="F229" s="11">
        <v>784</v>
      </c>
      <c r="G229" s="11"/>
    </row>
    <row r="230" spans="1:7" ht="15.75" customHeight="1" x14ac:dyDescent="0.25">
      <c r="A230" s="28"/>
      <c r="B230" s="28"/>
      <c r="C230" s="49" t="s">
        <v>57</v>
      </c>
      <c r="D230" s="300"/>
      <c r="E230" s="50">
        <v>746.88900000000001</v>
      </c>
      <c r="F230" s="51">
        <v>823</v>
      </c>
      <c r="G230" s="51"/>
    </row>
    <row r="231" spans="1:7" ht="15.75" customHeight="1" x14ac:dyDescent="0.25">
      <c r="A231" s="28"/>
      <c r="B231" s="28"/>
      <c r="C231" s="79"/>
      <c r="D231" s="81"/>
      <c r="E231" s="81"/>
      <c r="F231" s="81"/>
      <c r="G231" s="81"/>
    </row>
    <row r="232" spans="1:7" ht="15.75" customHeight="1" x14ac:dyDescent="0.25">
      <c r="A232" s="28"/>
      <c r="B232" s="28"/>
      <c r="C232" s="9" t="s">
        <v>60</v>
      </c>
      <c r="D232" s="299" t="s">
        <v>62</v>
      </c>
      <c r="E232" s="47">
        <v>19.36</v>
      </c>
      <c r="F232" s="11">
        <v>33</v>
      </c>
      <c r="G232" s="11"/>
    </row>
    <row r="233" spans="1:7" ht="15.75" customHeight="1" x14ac:dyDescent="0.25">
      <c r="A233" s="28"/>
      <c r="B233" s="28"/>
      <c r="C233" s="9" t="s">
        <v>64</v>
      </c>
      <c r="D233" s="300"/>
      <c r="E233" s="47">
        <v>33.31</v>
      </c>
      <c r="F233" s="11">
        <v>40</v>
      </c>
      <c r="G233" s="11"/>
    </row>
    <row r="234" spans="1:7" ht="15.75" customHeight="1" x14ac:dyDescent="0.25">
      <c r="A234" s="28"/>
      <c r="B234" s="28"/>
      <c r="C234" s="9" t="s">
        <v>65</v>
      </c>
      <c r="D234" s="301"/>
      <c r="E234" s="47">
        <v>41.74</v>
      </c>
      <c r="F234" s="11">
        <v>50</v>
      </c>
      <c r="G234" s="11"/>
    </row>
    <row r="235" spans="1:7" ht="15.75" customHeight="1" x14ac:dyDescent="0.25">
      <c r="A235" s="28"/>
      <c r="B235" s="28"/>
      <c r="C235" s="41"/>
      <c r="D235" s="42"/>
      <c r="E235" s="69"/>
      <c r="F235" s="11"/>
      <c r="G235" s="11"/>
    </row>
    <row r="236" spans="1:7" ht="15.75" customHeight="1" x14ac:dyDescent="0.25">
      <c r="A236" s="28"/>
      <c r="B236" s="28"/>
      <c r="C236" s="9" t="s">
        <v>66</v>
      </c>
      <c r="D236" s="302" t="s">
        <v>68</v>
      </c>
      <c r="E236" s="47">
        <v>204.5</v>
      </c>
      <c r="F236" s="11">
        <v>230</v>
      </c>
      <c r="G236" s="11"/>
    </row>
    <row r="237" spans="1:7" ht="15.75" customHeight="1" x14ac:dyDescent="0.25">
      <c r="A237" s="28"/>
      <c r="B237" s="28"/>
      <c r="C237" s="49" t="s">
        <v>69</v>
      </c>
      <c r="D237" s="300"/>
      <c r="E237" s="50">
        <v>277.7</v>
      </c>
      <c r="F237" s="51">
        <v>305</v>
      </c>
      <c r="G237" s="51"/>
    </row>
    <row r="238" spans="1:7" ht="15.75" customHeight="1" x14ac:dyDescent="0.25">
      <c r="A238" s="28"/>
      <c r="B238" s="28"/>
      <c r="C238" s="44"/>
      <c r="D238" s="46"/>
      <c r="E238" s="46"/>
      <c r="F238" s="46"/>
      <c r="G238" s="46"/>
    </row>
    <row r="239" spans="1:7" ht="15.75" customHeight="1" x14ac:dyDescent="0.25">
      <c r="A239" s="28"/>
      <c r="B239" s="28"/>
      <c r="C239" s="9" t="s">
        <v>69</v>
      </c>
      <c r="D239" s="299" t="s">
        <v>71</v>
      </c>
      <c r="E239" s="47">
        <v>10.283300000000001</v>
      </c>
      <c r="F239" s="11">
        <v>15</v>
      </c>
      <c r="G239" s="11"/>
    </row>
    <row r="240" spans="1:7" ht="15.75" customHeight="1" x14ac:dyDescent="0.25">
      <c r="A240" s="28"/>
      <c r="B240" s="28"/>
      <c r="C240" s="9" t="s">
        <v>72</v>
      </c>
      <c r="D240" s="300"/>
      <c r="E240" s="47">
        <v>11.8833</v>
      </c>
      <c r="F240" s="11">
        <v>19</v>
      </c>
      <c r="G240" s="11"/>
    </row>
    <row r="241" spans="1:7" ht="15.75" customHeight="1" x14ac:dyDescent="0.25">
      <c r="A241" s="28"/>
      <c r="B241" s="28"/>
      <c r="C241" s="9" t="s">
        <v>73</v>
      </c>
      <c r="D241" s="301"/>
      <c r="E241" s="47">
        <v>17.433299999999999</v>
      </c>
      <c r="F241" s="11">
        <v>25</v>
      </c>
      <c r="G241" s="11"/>
    </row>
    <row r="242" spans="1:7" ht="15.75" customHeight="1" x14ac:dyDescent="0.25">
      <c r="A242" s="28"/>
      <c r="B242" s="28"/>
      <c r="C242" s="41"/>
      <c r="D242" s="42"/>
      <c r="E242" s="69"/>
      <c r="F242" s="11"/>
      <c r="G242" s="11"/>
    </row>
    <row r="243" spans="1:7" ht="15.75" customHeight="1" x14ac:dyDescent="0.25">
      <c r="A243" s="28"/>
      <c r="B243" s="28"/>
      <c r="C243" s="9" t="s">
        <v>76</v>
      </c>
      <c r="D243" s="302" t="s">
        <v>77</v>
      </c>
      <c r="E243" s="47">
        <v>117.467</v>
      </c>
      <c r="F243" s="11">
        <v>150</v>
      </c>
      <c r="G243" s="11"/>
    </row>
    <row r="244" spans="1:7" ht="15.75" customHeight="1" x14ac:dyDescent="0.25">
      <c r="A244" s="28"/>
      <c r="B244" s="28"/>
      <c r="C244" s="9" t="s">
        <v>78</v>
      </c>
      <c r="D244" s="300"/>
      <c r="E244" s="47">
        <v>187.833</v>
      </c>
      <c r="F244" s="11">
        <v>180</v>
      </c>
      <c r="G244" s="11"/>
    </row>
    <row r="245" spans="1:7" ht="15.75" customHeight="1" x14ac:dyDescent="0.25">
      <c r="A245" s="28"/>
      <c r="B245" s="28"/>
      <c r="C245" s="9" t="s">
        <v>79</v>
      </c>
      <c r="D245" s="300"/>
      <c r="E245" s="47">
        <v>218.333</v>
      </c>
      <c r="F245" s="11">
        <v>189</v>
      </c>
      <c r="G245" s="11"/>
    </row>
    <row r="246" spans="1:7" ht="15.75" customHeight="1" x14ac:dyDescent="0.25">
      <c r="A246" s="28"/>
      <c r="B246" s="28"/>
      <c r="C246" s="49" t="s">
        <v>80</v>
      </c>
      <c r="D246" s="300"/>
      <c r="E246" s="50">
        <v>238.5</v>
      </c>
      <c r="F246" s="51">
        <v>246</v>
      </c>
      <c r="G246" s="51"/>
    </row>
    <row r="247" spans="1:7" ht="15.75" customHeight="1" x14ac:dyDescent="0.25">
      <c r="A247" s="28"/>
      <c r="B247" s="28"/>
      <c r="C247" s="44"/>
      <c r="D247" s="46"/>
      <c r="E247" s="46"/>
      <c r="F247" s="46"/>
      <c r="G247" s="46"/>
    </row>
    <row r="248" spans="1:7" ht="15.75" customHeight="1" x14ac:dyDescent="0.25">
      <c r="A248" s="28"/>
      <c r="B248" s="28"/>
      <c r="C248" s="9" t="s">
        <v>81</v>
      </c>
      <c r="D248" s="299" t="s">
        <v>82</v>
      </c>
      <c r="E248" s="11">
        <v>2</v>
      </c>
      <c r="F248" s="11">
        <v>22</v>
      </c>
      <c r="G248" s="11"/>
    </row>
    <row r="249" spans="1:7" ht="15.75" customHeight="1" x14ac:dyDescent="0.25">
      <c r="A249" s="28"/>
      <c r="B249" s="28"/>
      <c r="C249" s="9" t="s">
        <v>83</v>
      </c>
      <c r="D249" s="300"/>
      <c r="E249" s="47">
        <v>7.133</v>
      </c>
      <c r="F249" s="11">
        <v>27</v>
      </c>
      <c r="G249" s="11"/>
    </row>
    <row r="250" spans="1:7" ht="15.75" customHeight="1" x14ac:dyDescent="0.25">
      <c r="A250" s="28"/>
      <c r="B250" s="28"/>
      <c r="C250" s="9" t="s">
        <v>84</v>
      </c>
      <c r="D250" s="301"/>
      <c r="E250" s="47">
        <v>10.72</v>
      </c>
      <c r="F250" s="11">
        <v>21</v>
      </c>
      <c r="G250" s="11"/>
    </row>
    <row r="251" spans="1:7" ht="15.75" customHeight="1" x14ac:dyDescent="0.25">
      <c r="A251" s="28"/>
      <c r="B251" s="28"/>
      <c r="C251" s="41"/>
      <c r="D251" s="42"/>
      <c r="E251" s="69"/>
      <c r="F251" s="11"/>
      <c r="G251" s="11"/>
    </row>
    <row r="252" spans="1:7" ht="15.75" customHeight="1" x14ac:dyDescent="0.25">
      <c r="A252" s="28"/>
      <c r="B252" s="28"/>
      <c r="C252" s="9" t="s">
        <v>86</v>
      </c>
      <c r="D252" s="302" t="s">
        <v>87</v>
      </c>
      <c r="E252" s="47">
        <v>20.466999999999999</v>
      </c>
      <c r="F252" s="11">
        <v>27</v>
      </c>
      <c r="G252" s="11"/>
    </row>
    <row r="253" spans="1:7" ht="15.75" customHeight="1" x14ac:dyDescent="0.25">
      <c r="A253" s="28"/>
      <c r="B253" s="28"/>
      <c r="C253" s="49" t="s">
        <v>88</v>
      </c>
      <c r="D253" s="300"/>
      <c r="E253" s="50">
        <v>20.367000000000001</v>
      </c>
      <c r="F253" s="51">
        <v>27</v>
      </c>
      <c r="G253" s="51"/>
    </row>
    <row r="254" spans="1:7" ht="15.75" customHeight="1" x14ac:dyDescent="0.25">
      <c r="A254" s="28"/>
      <c r="B254" s="28"/>
      <c r="C254" s="44"/>
      <c r="D254" s="46"/>
      <c r="E254" s="46"/>
      <c r="F254" s="46"/>
      <c r="G254" s="46"/>
    </row>
    <row r="255" spans="1:7" ht="15.75" customHeight="1" x14ac:dyDescent="0.25">
      <c r="A255" s="28"/>
      <c r="B255" s="28"/>
      <c r="C255" s="9" t="s">
        <v>89</v>
      </c>
      <c r="D255" s="299" t="s">
        <v>90</v>
      </c>
      <c r="E255" s="47">
        <v>5.15</v>
      </c>
      <c r="F255" s="11">
        <v>56</v>
      </c>
      <c r="G255" s="11"/>
    </row>
    <row r="256" spans="1:7" ht="15.75" customHeight="1" x14ac:dyDescent="0.25">
      <c r="A256" s="28"/>
      <c r="B256" s="28"/>
      <c r="C256" s="49" t="s">
        <v>91</v>
      </c>
      <c r="D256" s="300"/>
      <c r="E256" s="50">
        <v>16.2</v>
      </c>
      <c r="F256" s="51">
        <v>62</v>
      </c>
      <c r="G256" s="51"/>
    </row>
    <row r="257" spans="1:26" ht="15.75" customHeight="1" x14ac:dyDescent="0.25">
      <c r="A257" s="28"/>
      <c r="B257" s="28"/>
      <c r="C257" s="41"/>
      <c r="D257" s="42"/>
      <c r="E257" s="69"/>
      <c r="F257" s="201"/>
      <c r="G257" s="201"/>
    </row>
    <row r="258" spans="1:26" ht="15.75" customHeight="1" x14ac:dyDescent="0.25">
      <c r="A258" s="28"/>
      <c r="B258" s="28"/>
      <c r="C258" s="9" t="s">
        <v>94</v>
      </c>
      <c r="D258" s="299" t="s">
        <v>95</v>
      </c>
      <c r="E258" s="47">
        <v>50.082999999999998</v>
      </c>
      <c r="F258" s="11">
        <v>59</v>
      </c>
      <c r="G258" s="11"/>
    </row>
    <row r="259" spans="1:26" ht="15.75" customHeight="1" x14ac:dyDescent="0.25">
      <c r="A259" s="28"/>
      <c r="B259" s="28"/>
      <c r="C259" s="9" t="s">
        <v>96</v>
      </c>
      <c r="D259" s="300"/>
      <c r="E259" s="47">
        <v>93.992999999999995</v>
      </c>
      <c r="F259" s="11">
        <v>163</v>
      </c>
      <c r="G259" s="11"/>
    </row>
    <row r="260" spans="1:26" ht="15.75" customHeight="1" x14ac:dyDescent="0.25">
      <c r="A260" s="28"/>
      <c r="B260" s="28"/>
      <c r="C260" s="9" t="s">
        <v>97</v>
      </c>
      <c r="D260" s="300"/>
      <c r="E260" s="47">
        <v>95.516999999999996</v>
      </c>
      <c r="F260" s="11">
        <v>159</v>
      </c>
      <c r="G260" s="11"/>
    </row>
    <row r="261" spans="1:26" ht="15.75" customHeight="1" x14ac:dyDescent="0.25">
      <c r="A261" s="28"/>
      <c r="B261" s="28"/>
      <c r="C261" s="9" t="s">
        <v>98</v>
      </c>
      <c r="D261" s="300"/>
      <c r="E261" s="47">
        <v>100.92</v>
      </c>
      <c r="F261" s="11">
        <v>165</v>
      </c>
      <c r="G261" s="11"/>
    </row>
    <row r="262" spans="1:26" ht="15.75" customHeight="1" x14ac:dyDescent="0.25">
      <c r="A262" s="28"/>
      <c r="B262" s="28"/>
      <c r="C262" s="9" t="s">
        <v>99</v>
      </c>
      <c r="D262" s="301"/>
      <c r="E262" s="47">
        <v>115.37</v>
      </c>
      <c r="F262" s="11">
        <v>173</v>
      </c>
      <c r="G262" s="11"/>
    </row>
    <row r="263" spans="1:26" ht="15.75" customHeight="1" x14ac:dyDescent="0.2"/>
    <row r="264" spans="1:26" ht="15.75" customHeight="1" x14ac:dyDescent="0.2"/>
    <row r="265" spans="1:26" ht="15.75" customHeight="1" x14ac:dyDescent="0.2"/>
    <row r="266" spans="1:26" ht="15.75" customHeight="1" x14ac:dyDescent="0.25">
      <c r="A266" s="29" t="s">
        <v>668</v>
      </c>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5.75" customHeight="1" x14ac:dyDescent="0.25">
      <c r="A267" s="28" t="s">
        <v>1329</v>
      </c>
    </row>
    <row r="268" spans="1:26" ht="15.75" customHeight="1" x14ac:dyDescent="0.2"/>
    <row r="269" spans="1:26" ht="15.75" customHeight="1" x14ac:dyDescent="0.2">
      <c r="B269" s="304" t="s">
        <v>1402</v>
      </c>
      <c r="C269" s="297"/>
      <c r="D269" s="297"/>
      <c r="E269" s="297"/>
      <c r="F269" s="154"/>
      <c r="I269" s="296" t="s">
        <v>6</v>
      </c>
      <c r="J269" s="297"/>
      <c r="K269" s="297"/>
      <c r="L269" s="297"/>
      <c r="M269" s="297"/>
      <c r="N269" s="298"/>
    </row>
    <row r="270" spans="1:26" ht="15.75" customHeight="1" x14ac:dyDescent="0.2">
      <c r="B270" s="4" t="s">
        <v>0</v>
      </c>
      <c r="C270" s="5" t="s">
        <v>1</v>
      </c>
      <c r="D270" s="5" t="s">
        <v>2</v>
      </c>
      <c r="E270" s="5" t="s">
        <v>43</v>
      </c>
      <c r="F270" s="45" t="s">
        <v>125</v>
      </c>
      <c r="I270" s="296" t="s">
        <v>106</v>
      </c>
      <c r="J270" s="297"/>
      <c r="K270" s="298"/>
      <c r="L270" s="296" t="s">
        <v>107</v>
      </c>
      <c r="M270" s="297"/>
      <c r="N270" s="298"/>
    </row>
    <row r="271" spans="1:26" ht="15.75" customHeight="1" x14ac:dyDescent="0.2">
      <c r="B271" s="9" t="s">
        <v>7</v>
      </c>
      <c r="C271" s="302" t="s">
        <v>9</v>
      </c>
      <c r="D271" s="47">
        <v>28.1</v>
      </c>
      <c r="E271" s="11">
        <v>90</v>
      </c>
      <c r="F271" s="11">
        <v>33</v>
      </c>
      <c r="I271" s="13" t="s">
        <v>13</v>
      </c>
      <c r="J271" s="39">
        <f>J273+J273*0.05</f>
        <v>1039.5</v>
      </c>
      <c r="K271" s="17" t="s">
        <v>1403</v>
      </c>
      <c r="L271" s="13" t="s">
        <v>13</v>
      </c>
      <c r="M271" s="39">
        <v>910</v>
      </c>
      <c r="N271" s="17" t="s">
        <v>1404</v>
      </c>
    </row>
    <row r="272" spans="1:26" ht="15.75" customHeight="1" x14ac:dyDescent="0.2">
      <c r="B272" s="9" t="s">
        <v>17</v>
      </c>
      <c r="C272" s="300"/>
      <c r="D272" s="47">
        <v>63.911000000000001</v>
      </c>
      <c r="E272" s="11">
        <v>87</v>
      </c>
      <c r="F272" s="11">
        <v>66</v>
      </c>
      <c r="I272" s="13" t="s">
        <v>19</v>
      </c>
      <c r="J272" s="40">
        <f>J273-J273*0.05</f>
        <v>940.5</v>
      </c>
      <c r="K272" s="17" t="s">
        <v>1405</v>
      </c>
      <c r="L272" s="13" t="s">
        <v>19</v>
      </c>
      <c r="M272" s="40">
        <v>810</v>
      </c>
      <c r="N272" s="17" t="s">
        <v>1406</v>
      </c>
    </row>
    <row r="273" spans="2:14" ht="15.75" customHeight="1" x14ac:dyDescent="0.2">
      <c r="B273" s="9" t="s">
        <v>26</v>
      </c>
      <c r="C273" s="300"/>
      <c r="D273" s="47">
        <v>69.921999999999997</v>
      </c>
      <c r="E273" s="11">
        <v>105</v>
      </c>
      <c r="F273" s="11">
        <v>86</v>
      </c>
      <c r="I273" s="13" t="s">
        <v>27</v>
      </c>
      <c r="J273" s="20">
        <v>990</v>
      </c>
      <c r="K273" s="17" t="s">
        <v>1407</v>
      </c>
      <c r="L273" s="13" t="s">
        <v>27</v>
      </c>
      <c r="M273" s="182">
        <v>859</v>
      </c>
      <c r="N273" s="17" t="s">
        <v>1408</v>
      </c>
    </row>
    <row r="274" spans="2:14" ht="15.75" customHeight="1" x14ac:dyDescent="0.2">
      <c r="B274" s="9" t="s">
        <v>32</v>
      </c>
      <c r="C274" s="300"/>
      <c r="D274" s="47">
        <v>96.744</v>
      </c>
      <c r="E274" s="11">
        <v>116</v>
      </c>
      <c r="F274" s="11">
        <v>93</v>
      </c>
      <c r="I274" s="13" t="s">
        <v>121</v>
      </c>
      <c r="J274" s="20">
        <v>1030</v>
      </c>
      <c r="K274" s="17" t="s">
        <v>1409</v>
      </c>
      <c r="L274" s="13" t="s">
        <v>121</v>
      </c>
      <c r="M274" s="182">
        <v>860</v>
      </c>
      <c r="N274" s="17" t="s">
        <v>1410</v>
      </c>
    </row>
    <row r="275" spans="2:14" ht="15.75" customHeight="1" x14ac:dyDescent="0.2">
      <c r="B275" s="9" t="s">
        <v>33</v>
      </c>
      <c r="C275" s="301"/>
      <c r="D275" s="47">
        <v>128.11000000000001</v>
      </c>
      <c r="E275" s="11">
        <v>145</v>
      </c>
      <c r="F275" s="11">
        <v>121</v>
      </c>
    </row>
    <row r="276" spans="2:14" ht="15.75" customHeight="1" x14ac:dyDescent="0.2">
      <c r="B276" s="41"/>
      <c r="C276" s="42"/>
      <c r="D276" s="42"/>
      <c r="E276" s="11"/>
      <c r="F276" s="11"/>
    </row>
    <row r="277" spans="2:14" ht="15.75" customHeight="1" x14ac:dyDescent="0.2">
      <c r="B277" s="9" t="s">
        <v>35</v>
      </c>
      <c r="C277" s="302" t="s">
        <v>36</v>
      </c>
      <c r="D277" s="47">
        <v>207.78</v>
      </c>
      <c r="E277" s="11"/>
      <c r="F277" s="11">
        <v>320</v>
      </c>
    </row>
    <row r="278" spans="2:14" ht="15.75" customHeight="1" x14ac:dyDescent="0.2">
      <c r="B278" s="9" t="s">
        <v>37</v>
      </c>
      <c r="C278" s="300"/>
      <c r="D278" s="47">
        <v>444.11</v>
      </c>
      <c r="E278" s="11"/>
      <c r="F278" s="11">
        <v>428</v>
      </c>
    </row>
    <row r="279" spans="2:14" ht="15.75" customHeight="1" x14ac:dyDescent="0.2">
      <c r="B279" s="9" t="s">
        <v>38</v>
      </c>
      <c r="C279" s="300"/>
      <c r="D279" s="47">
        <v>579.55999999999995</v>
      </c>
      <c r="E279" s="11"/>
      <c r="F279" s="11">
        <v>581</v>
      </c>
    </row>
    <row r="280" spans="2:14" ht="15.75" customHeight="1" x14ac:dyDescent="0.2">
      <c r="B280" s="9" t="s">
        <v>39</v>
      </c>
      <c r="C280" s="300"/>
      <c r="D280" s="47">
        <v>746.22</v>
      </c>
      <c r="E280" s="11"/>
      <c r="F280" s="11">
        <v>735</v>
      </c>
    </row>
    <row r="281" spans="2:14" ht="15.75" customHeight="1" x14ac:dyDescent="0.2">
      <c r="B281" s="49" t="s">
        <v>41</v>
      </c>
      <c r="C281" s="300"/>
      <c r="D281" s="50">
        <v>869.5</v>
      </c>
      <c r="E281" s="51"/>
      <c r="F281" s="51">
        <v>844</v>
      </c>
    </row>
    <row r="282" spans="2:14" ht="15.75" customHeight="1" x14ac:dyDescent="0.2">
      <c r="B282" s="79"/>
      <c r="C282" s="81"/>
      <c r="D282" s="81"/>
      <c r="E282" s="81"/>
      <c r="F282" s="81"/>
    </row>
    <row r="283" spans="2:14" ht="15.75" customHeight="1" x14ac:dyDescent="0.2">
      <c r="B283" s="9" t="s">
        <v>46</v>
      </c>
      <c r="C283" s="299" t="s">
        <v>47</v>
      </c>
      <c r="D283" s="47">
        <v>88.4</v>
      </c>
      <c r="E283" s="11"/>
      <c r="F283" s="11">
        <v>93</v>
      </c>
    </row>
    <row r="284" spans="2:14" ht="15.75" customHeight="1" x14ac:dyDescent="0.2">
      <c r="B284" s="9" t="s">
        <v>48</v>
      </c>
      <c r="C284" s="300"/>
      <c r="D284" s="47">
        <v>94.6</v>
      </c>
      <c r="E284" s="11"/>
      <c r="F284" s="11">
        <v>96</v>
      </c>
    </row>
    <row r="285" spans="2:14" ht="15.75" customHeight="1" x14ac:dyDescent="0.2">
      <c r="B285" s="41"/>
      <c r="C285" s="42"/>
      <c r="D285" s="69"/>
      <c r="E285" s="11"/>
      <c r="F285" s="11"/>
    </row>
    <row r="286" spans="2:14" ht="15.75" customHeight="1" x14ac:dyDescent="0.2">
      <c r="B286" s="9" t="s">
        <v>50</v>
      </c>
      <c r="C286" s="302" t="s">
        <v>51</v>
      </c>
      <c r="D286" s="47">
        <v>271.44400000000002</v>
      </c>
      <c r="E286" s="11"/>
      <c r="F286" s="11">
        <v>315</v>
      </c>
    </row>
    <row r="287" spans="2:14" ht="15.75" customHeight="1" x14ac:dyDescent="0.2">
      <c r="B287" s="9" t="s">
        <v>54</v>
      </c>
      <c r="C287" s="300"/>
      <c r="D287" s="47">
        <v>550.22199999999998</v>
      </c>
      <c r="E287" s="11"/>
      <c r="F287" s="11">
        <v>560</v>
      </c>
    </row>
    <row r="288" spans="2:14" ht="15.75" customHeight="1" x14ac:dyDescent="0.2">
      <c r="B288" s="9" t="s">
        <v>55</v>
      </c>
      <c r="C288" s="300"/>
      <c r="D288" s="47">
        <v>609</v>
      </c>
      <c r="E288" s="11"/>
      <c r="F288" s="11">
        <v>585</v>
      </c>
    </row>
    <row r="289" spans="2:6" ht="15.75" customHeight="1" x14ac:dyDescent="0.2">
      <c r="B289" s="9" t="s">
        <v>56</v>
      </c>
      <c r="C289" s="300"/>
      <c r="D289" s="47">
        <v>739.11099999999999</v>
      </c>
      <c r="E289" s="11"/>
      <c r="F289" s="11">
        <v>748</v>
      </c>
    </row>
    <row r="290" spans="2:6" ht="15.75" customHeight="1" x14ac:dyDescent="0.2">
      <c r="B290" s="49" t="s">
        <v>57</v>
      </c>
      <c r="C290" s="300"/>
      <c r="D290" s="50">
        <v>746.88900000000001</v>
      </c>
      <c r="E290" s="51"/>
      <c r="F290" s="51">
        <v>721</v>
      </c>
    </row>
    <row r="291" spans="2:6" ht="15.75" customHeight="1" x14ac:dyDescent="0.2">
      <c r="B291" s="79"/>
      <c r="C291" s="81"/>
      <c r="D291" s="81"/>
      <c r="E291" s="81"/>
      <c r="F291" s="81"/>
    </row>
    <row r="292" spans="2:6" ht="15.75" customHeight="1" x14ac:dyDescent="0.2">
      <c r="B292" s="9" t="s">
        <v>60</v>
      </c>
      <c r="C292" s="299" t="s">
        <v>62</v>
      </c>
      <c r="D292" s="47">
        <v>19.36</v>
      </c>
      <c r="E292" s="11"/>
      <c r="F292" s="11">
        <v>16</v>
      </c>
    </row>
    <row r="293" spans="2:6" ht="15.75" customHeight="1" x14ac:dyDescent="0.2">
      <c r="B293" s="9" t="s">
        <v>64</v>
      </c>
      <c r="C293" s="300"/>
      <c r="D293" s="47">
        <v>33.31</v>
      </c>
      <c r="E293" s="11"/>
      <c r="F293" s="11">
        <v>24</v>
      </c>
    </row>
    <row r="294" spans="2:6" ht="15.75" customHeight="1" x14ac:dyDescent="0.2">
      <c r="B294" s="9" t="s">
        <v>65</v>
      </c>
      <c r="C294" s="301"/>
      <c r="D294" s="47">
        <v>41.74</v>
      </c>
      <c r="E294" s="11"/>
      <c r="F294" s="11">
        <v>48</v>
      </c>
    </row>
    <row r="295" spans="2:6" ht="15.75" customHeight="1" x14ac:dyDescent="0.2">
      <c r="B295" s="41"/>
      <c r="C295" s="42"/>
      <c r="D295" s="69"/>
      <c r="E295" s="11"/>
      <c r="F295" s="11"/>
    </row>
    <row r="296" spans="2:6" ht="15.75" customHeight="1" x14ac:dyDescent="0.2">
      <c r="B296" s="9" t="s">
        <v>66</v>
      </c>
      <c r="C296" s="302" t="s">
        <v>68</v>
      </c>
      <c r="D296" s="47">
        <v>204.5</v>
      </c>
      <c r="E296" s="11"/>
      <c r="F296" s="11">
        <v>201</v>
      </c>
    </row>
    <row r="297" spans="2:6" ht="15.75" customHeight="1" x14ac:dyDescent="0.2">
      <c r="B297" s="49" t="s">
        <v>69</v>
      </c>
      <c r="C297" s="300"/>
      <c r="D297" s="50">
        <v>277.7</v>
      </c>
      <c r="E297" s="51"/>
      <c r="F297" s="51">
        <v>279</v>
      </c>
    </row>
    <row r="298" spans="2:6" ht="15.75" customHeight="1" x14ac:dyDescent="0.2">
      <c r="B298" s="44"/>
      <c r="C298" s="46"/>
      <c r="D298" s="46"/>
      <c r="E298" s="46"/>
      <c r="F298" s="46"/>
    </row>
    <row r="299" spans="2:6" ht="15.75" customHeight="1" x14ac:dyDescent="0.2">
      <c r="B299" s="9" t="s">
        <v>69</v>
      </c>
      <c r="C299" s="299" t="s">
        <v>71</v>
      </c>
      <c r="D299" s="47">
        <v>10.283300000000001</v>
      </c>
      <c r="E299" s="11"/>
      <c r="F299" s="11">
        <v>11</v>
      </c>
    </row>
    <row r="300" spans="2:6" ht="15.75" customHeight="1" x14ac:dyDescent="0.2">
      <c r="B300" s="9" t="s">
        <v>72</v>
      </c>
      <c r="C300" s="300"/>
      <c r="D300" s="47">
        <v>11.8833</v>
      </c>
      <c r="E300" s="11"/>
      <c r="F300" s="11">
        <v>18</v>
      </c>
    </row>
    <row r="301" spans="2:6" ht="15.75" customHeight="1" x14ac:dyDescent="0.2">
      <c r="B301" s="9" t="s">
        <v>73</v>
      </c>
      <c r="C301" s="301"/>
      <c r="D301" s="47">
        <v>17.433299999999999</v>
      </c>
      <c r="E301" s="11"/>
      <c r="F301" s="11">
        <v>21</v>
      </c>
    </row>
    <row r="302" spans="2:6" ht="15.75" customHeight="1" x14ac:dyDescent="0.2">
      <c r="B302" s="41"/>
      <c r="C302" s="42"/>
      <c r="D302" s="69"/>
      <c r="E302" s="11"/>
      <c r="F302" s="11"/>
    </row>
    <row r="303" spans="2:6" ht="15.75" customHeight="1" x14ac:dyDescent="0.2">
      <c r="B303" s="9" t="s">
        <v>80</v>
      </c>
      <c r="C303" s="302" t="s">
        <v>77</v>
      </c>
      <c r="D303" s="47">
        <v>117.467</v>
      </c>
      <c r="E303" s="11"/>
      <c r="F303" s="11">
        <v>130</v>
      </c>
    </row>
    <row r="304" spans="2:6" ht="15.75" customHeight="1" x14ac:dyDescent="0.2">
      <c r="B304" s="9" t="s">
        <v>78</v>
      </c>
      <c r="C304" s="300"/>
      <c r="D304" s="47">
        <v>187.833</v>
      </c>
      <c r="E304" s="11"/>
      <c r="F304" s="11">
        <v>220</v>
      </c>
    </row>
    <row r="305" spans="2:6" ht="15.75" customHeight="1" x14ac:dyDescent="0.2">
      <c r="B305" s="9" t="s">
        <v>79</v>
      </c>
      <c r="C305" s="300"/>
      <c r="D305" s="47">
        <v>218.333</v>
      </c>
      <c r="E305" s="11"/>
      <c r="F305" s="11">
        <v>239</v>
      </c>
    </row>
    <row r="306" spans="2:6" ht="15.75" customHeight="1" x14ac:dyDescent="0.2">
      <c r="B306" s="49" t="s">
        <v>76</v>
      </c>
      <c r="C306" s="300"/>
      <c r="D306" s="50">
        <v>238.5</v>
      </c>
      <c r="E306" s="51"/>
      <c r="F306" s="51">
        <v>219</v>
      </c>
    </row>
    <row r="307" spans="2:6" ht="15.75" customHeight="1" x14ac:dyDescent="0.2">
      <c r="B307" s="44"/>
      <c r="C307" s="46"/>
      <c r="D307" s="46"/>
      <c r="E307" s="46"/>
      <c r="F307" s="46"/>
    </row>
    <row r="308" spans="2:6" ht="15.75" customHeight="1" x14ac:dyDescent="0.2">
      <c r="B308" s="9" t="s">
        <v>81</v>
      </c>
      <c r="C308" s="299" t="s">
        <v>82</v>
      </c>
      <c r="D308" s="11">
        <v>2</v>
      </c>
      <c r="E308" s="11"/>
      <c r="F308" s="11">
        <v>14</v>
      </c>
    </row>
    <row r="309" spans="2:6" ht="15.75" customHeight="1" x14ac:dyDescent="0.2">
      <c r="B309" s="9" t="s">
        <v>83</v>
      </c>
      <c r="C309" s="300"/>
      <c r="D309" s="47">
        <v>7.133</v>
      </c>
      <c r="E309" s="11"/>
      <c r="F309" s="11">
        <v>15</v>
      </c>
    </row>
    <row r="310" spans="2:6" ht="15.75" customHeight="1" x14ac:dyDescent="0.2">
      <c r="B310" s="9" t="s">
        <v>84</v>
      </c>
      <c r="C310" s="301"/>
      <c r="D310" s="47">
        <v>10.72</v>
      </c>
      <c r="E310" s="11"/>
      <c r="F310" s="11">
        <v>17</v>
      </c>
    </row>
    <row r="311" spans="2:6" ht="15.75" customHeight="1" x14ac:dyDescent="0.2">
      <c r="B311" s="41"/>
      <c r="C311" s="42"/>
      <c r="D311" s="69"/>
      <c r="E311" s="11"/>
      <c r="F311" s="11"/>
    </row>
    <row r="312" spans="2:6" ht="15.75" customHeight="1" x14ac:dyDescent="0.2">
      <c r="B312" s="9" t="s">
        <v>86</v>
      </c>
      <c r="C312" s="302" t="s">
        <v>87</v>
      </c>
      <c r="D312" s="47">
        <v>20.466999999999999</v>
      </c>
      <c r="E312" s="11"/>
      <c r="F312" s="11">
        <v>22</v>
      </c>
    </row>
    <row r="313" spans="2:6" ht="15.75" customHeight="1" x14ac:dyDescent="0.2">
      <c r="B313" s="49" t="s">
        <v>88</v>
      </c>
      <c r="C313" s="300"/>
      <c r="D313" s="50">
        <v>20.367000000000001</v>
      </c>
      <c r="E313" s="51"/>
      <c r="F313" s="51">
        <v>21</v>
      </c>
    </row>
    <row r="314" spans="2:6" ht="15.75" customHeight="1" x14ac:dyDescent="0.2">
      <c r="B314" s="44"/>
      <c r="C314" s="46"/>
      <c r="D314" s="46"/>
      <c r="E314" s="46"/>
      <c r="F314" s="46"/>
    </row>
    <row r="315" spans="2:6" ht="15.75" customHeight="1" x14ac:dyDescent="0.2">
      <c r="B315" s="9" t="s">
        <v>89</v>
      </c>
      <c r="C315" s="299" t="s">
        <v>90</v>
      </c>
      <c r="D315" s="47">
        <v>5.15</v>
      </c>
      <c r="E315" s="11"/>
      <c r="F315" s="11">
        <v>42</v>
      </c>
    </row>
    <row r="316" spans="2:6" ht="15.75" customHeight="1" x14ac:dyDescent="0.2">
      <c r="B316" s="49" t="s">
        <v>91</v>
      </c>
      <c r="C316" s="300"/>
      <c r="D316" s="50">
        <v>16.2</v>
      </c>
      <c r="E316" s="51"/>
      <c r="F316" s="51">
        <v>45</v>
      </c>
    </row>
    <row r="317" spans="2:6" ht="15.75" customHeight="1" x14ac:dyDescent="0.2">
      <c r="B317" s="41"/>
      <c r="C317" s="42"/>
      <c r="D317" s="69"/>
      <c r="E317" s="201"/>
      <c r="F317" s="201"/>
    </row>
    <row r="318" spans="2:6" ht="15.75" customHeight="1" x14ac:dyDescent="0.2">
      <c r="B318" s="9" t="s">
        <v>94</v>
      </c>
      <c r="C318" s="299" t="s">
        <v>95</v>
      </c>
      <c r="D318" s="47">
        <v>50.082999999999998</v>
      </c>
      <c r="E318" s="11"/>
      <c r="F318" s="11">
        <v>137</v>
      </c>
    </row>
    <row r="319" spans="2:6" ht="15.75" customHeight="1" x14ac:dyDescent="0.2">
      <c r="B319" s="9" t="s">
        <v>96</v>
      </c>
      <c r="C319" s="300"/>
      <c r="D319" s="47">
        <v>130</v>
      </c>
      <c r="E319" s="11"/>
      <c r="F319" s="11">
        <v>143</v>
      </c>
    </row>
    <row r="320" spans="2:6" ht="15.75" customHeight="1" x14ac:dyDescent="0.2">
      <c r="B320" s="9" t="s">
        <v>97</v>
      </c>
      <c r="C320" s="300"/>
      <c r="D320" s="47">
        <v>122</v>
      </c>
      <c r="E320" s="11"/>
      <c r="F320" s="11">
        <v>139</v>
      </c>
    </row>
    <row r="321" spans="2:6" ht="15.75" customHeight="1" x14ac:dyDescent="0.2">
      <c r="B321" s="9" t="s">
        <v>98</v>
      </c>
      <c r="C321" s="300"/>
      <c r="D321" s="47">
        <v>142</v>
      </c>
      <c r="E321" s="11"/>
      <c r="F321" s="11">
        <v>151</v>
      </c>
    </row>
    <row r="322" spans="2:6" ht="15.75" customHeight="1" x14ac:dyDescent="0.2">
      <c r="B322" s="9" t="s">
        <v>99</v>
      </c>
      <c r="C322" s="301"/>
      <c r="D322" s="47">
        <v>146</v>
      </c>
      <c r="E322" s="11"/>
      <c r="F322" s="11">
        <v>154</v>
      </c>
    </row>
    <row r="323" spans="2:6" ht="15.75" customHeight="1" x14ac:dyDescent="0.2"/>
    <row r="324" spans="2:6" ht="15.75" customHeight="1" x14ac:dyDescent="0.2"/>
    <row r="325" spans="2:6" ht="15.75" customHeight="1" x14ac:dyDescent="0.2"/>
    <row r="326" spans="2:6" ht="15.75" customHeight="1" x14ac:dyDescent="0.2"/>
    <row r="327" spans="2:6" ht="15.75" customHeight="1" x14ac:dyDescent="0.2"/>
    <row r="328" spans="2:6" ht="15.75" customHeight="1" x14ac:dyDescent="0.2"/>
    <row r="329" spans="2:6" ht="15.75" customHeight="1" x14ac:dyDescent="0.2"/>
    <row r="330" spans="2:6" ht="15.75" customHeight="1" x14ac:dyDescent="0.2"/>
    <row r="331" spans="2:6" ht="15.75" customHeight="1" x14ac:dyDescent="0.2"/>
    <row r="332" spans="2:6" ht="15.75" customHeight="1" x14ac:dyDescent="0.2"/>
    <row r="333" spans="2:6" ht="15.75" customHeight="1" x14ac:dyDescent="0.2"/>
    <row r="334" spans="2:6" ht="15.75" customHeight="1" x14ac:dyDescent="0.2"/>
    <row r="335" spans="2:6" ht="15.75" customHeight="1" x14ac:dyDescent="0.2"/>
    <row r="336" spans="2: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0">
    <mergeCell ref="D113:D114"/>
    <mergeCell ref="I147:N147"/>
    <mergeCell ref="I148:K148"/>
    <mergeCell ref="L148:N148"/>
    <mergeCell ref="D116:D118"/>
    <mergeCell ref="D120:D123"/>
    <mergeCell ref="D125:D127"/>
    <mergeCell ref="D129:D130"/>
    <mergeCell ref="D132:D133"/>
    <mergeCell ref="D135:D139"/>
    <mergeCell ref="C147:F147"/>
    <mergeCell ref="D88:D92"/>
    <mergeCell ref="D94:D98"/>
    <mergeCell ref="D100:D101"/>
    <mergeCell ref="D103:D107"/>
    <mergeCell ref="D109:D111"/>
    <mergeCell ref="I87:K87"/>
    <mergeCell ref="L87:N87"/>
    <mergeCell ref="D41:D44"/>
    <mergeCell ref="C45:G45"/>
    <mergeCell ref="D46:D48"/>
    <mergeCell ref="D50:D51"/>
    <mergeCell ref="C52:G52"/>
    <mergeCell ref="D53:D54"/>
    <mergeCell ref="D56:D60"/>
    <mergeCell ref="C86:F86"/>
    <mergeCell ref="B67:G67"/>
    <mergeCell ref="I67:L67"/>
    <mergeCell ref="I71:L71"/>
    <mergeCell ref="B72:G72"/>
    <mergeCell ref="I86:N86"/>
    <mergeCell ref="D30:D32"/>
    <mergeCell ref="D34:D35"/>
    <mergeCell ref="C36:G36"/>
    <mergeCell ref="D37:D39"/>
    <mergeCell ref="I66:L66"/>
    <mergeCell ref="D15:D19"/>
    <mergeCell ref="C20:G20"/>
    <mergeCell ref="D21:D22"/>
    <mergeCell ref="D24:D28"/>
    <mergeCell ref="C29:G29"/>
    <mergeCell ref="C7:F7"/>
    <mergeCell ref="H8:M8"/>
    <mergeCell ref="D9:D13"/>
    <mergeCell ref="H9:J9"/>
    <mergeCell ref="K9:M9"/>
    <mergeCell ref="C312:C313"/>
    <mergeCell ref="C315:C316"/>
    <mergeCell ref="C318:C322"/>
    <mergeCell ref="I270:K270"/>
    <mergeCell ref="L270:N270"/>
    <mergeCell ref="C271:C275"/>
    <mergeCell ref="C277:C281"/>
    <mergeCell ref="C283:C284"/>
    <mergeCell ref="C286:C290"/>
    <mergeCell ref="C292:C294"/>
    <mergeCell ref="I269:N269"/>
    <mergeCell ref="C296:C297"/>
    <mergeCell ref="C299:C301"/>
    <mergeCell ref="C303:C306"/>
    <mergeCell ref="C308:C310"/>
    <mergeCell ref="D248:D250"/>
    <mergeCell ref="D252:D253"/>
    <mergeCell ref="D255:D256"/>
    <mergeCell ref="D258:D262"/>
    <mergeCell ref="B269:E269"/>
    <mergeCell ref="D226:D230"/>
    <mergeCell ref="D232:D234"/>
    <mergeCell ref="D236:D237"/>
    <mergeCell ref="D239:D241"/>
    <mergeCell ref="D243:D246"/>
    <mergeCell ref="D174:D175"/>
    <mergeCell ref="D177:D179"/>
    <mergeCell ref="D211:D215"/>
    <mergeCell ref="D217:D221"/>
    <mergeCell ref="D223:D224"/>
    <mergeCell ref="D149:D153"/>
    <mergeCell ref="D155:D159"/>
    <mergeCell ref="D161:D162"/>
    <mergeCell ref="D164:D168"/>
    <mergeCell ref="D170:D172"/>
    <mergeCell ref="I210:K210"/>
    <mergeCell ref="L210:N210"/>
    <mergeCell ref="D181:D184"/>
    <mergeCell ref="D186:D188"/>
    <mergeCell ref="D190:D191"/>
    <mergeCell ref="D193:D194"/>
    <mergeCell ref="D196:D200"/>
    <mergeCell ref="C209:F209"/>
    <mergeCell ref="I209:N209"/>
  </mergeCells>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Z1000"/>
  <sheetViews>
    <sheetView workbookViewId="0"/>
  </sheetViews>
  <sheetFormatPr baseColWidth="10" defaultColWidth="12.625" defaultRowHeight="15" customHeight="1" x14ac:dyDescent="0.2"/>
  <cols>
    <col min="1" max="1" width="10" customWidth="1"/>
    <col min="2" max="2" width="12.875" customWidth="1"/>
    <col min="3" max="18" width="10" customWidth="1"/>
    <col min="19" max="19" width="11" customWidth="1"/>
    <col min="20" max="26" width="10" customWidth="1"/>
  </cols>
  <sheetData>
    <row r="1" spans="1:26" x14ac:dyDescent="0.25">
      <c r="A1" s="345"/>
      <c r="B1" s="297"/>
      <c r="C1" s="297"/>
      <c r="D1" s="297"/>
      <c r="E1" s="297"/>
      <c r="F1" s="297"/>
      <c r="G1" s="297"/>
      <c r="H1" s="297"/>
      <c r="I1" s="297"/>
      <c r="J1" s="297"/>
      <c r="K1" s="297"/>
      <c r="L1" s="297"/>
      <c r="M1" s="297"/>
      <c r="N1" s="297"/>
      <c r="O1" s="297"/>
      <c r="P1" s="297"/>
      <c r="Q1" s="297"/>
      <c r="R1" s="297"/>
      <c r="S1" s="297"/>
      <c r="T1" s="297"/>
      <c r="U1" s="297"/>
      <c r="V1" s="297"/>
      <c r="W1" s="297"/>
      <c r="X1" s="297"/>
      <c r="Y1" s="298"/>
    </row>
    <row r="2" spans="1:26" ht="18.75" x14ac:dyDescent="0.3">
      <c r="A2" s="161" t="s">
        <v>353</v>
      </c>
      <c r="B2" s="163" t="s">
        <v>675</v>
      </c>
      <c r="Y2" s="346"/>
    </row>
    <row r="3" spans="1:26" ht="18.75" x14ac:dyDescent="0.3">
      <c r="A3" s="164" t="s">
        <v>360</v>
      </c>
      <c r="B3" s="165">
        <v>43186</v>
      </c>
      <c r="Y3" s="300"/>
    </row>
    <row r="4" spans="1:26" ht="18.75" x14ac:dyDescent="0.3">
      <c r="L4" s="320" t="s">
        <v>153</v>
      </c>
      <c r="M4" s="297"/>
      <c r="N4" s="297"/>
      <c r="O4" s="297"/>
      <c r="P4" s="297"/>
      <c r="Q4" s="298"/>
      <c r="S4" s="321" t="s">
        <v>154</v>
      </c>
      <c r="T4" s="322"/>
      <c r="U4" s="322"/>
      <c r="V4" s="322"/>
      <c r="W4" s="323"/>
      <c r="Y4" s="300"/>
    </row>
    <row r="5" spans="1:26" ht="36" x14ac:dyDescent="0.2">
      <c r="A5" s="156" t="s">
        <v>0</v>
      </c>
      <c r="B5" s="157" t="s">
        <v>1</v>
      </c>
      <c r="C5" s="157" t="s">
        <v>42</v>
      </c>
      <c r="D5" s="157" t="s">
        <v>43</v>
      </c>
      <c r="E5" s="157" t="s">
        <v>44</v>
      </c>
      <c r="G5" s="296" t="s">
        <v>45</v>
      </c>
      <c r="H5" s="297"/>
      <c r="I5" s="297"/>
      <c r="J5" s="298"/>
      <c r="L5" s="311" t="s">
        <v>157</v>
      </c>
      <c r="M5" s="312"/>
      <c r="N5" s="312"/>
      <c r="O5" s="312"/>
      <c r="P5" s="312"/>
      <c r="Q5" s="313"/>
      <c r="S5" s="325" t="s">
        <v>157</v>
      </c>
      <c r="T5" s="297"/>
      <c r="U5" s="297"/>
      <c r="V5" s="297"/>
      <c r="W5" s="298"/>
      <c r="Y5" s="300"/>
    </row>
    <row r="6" spans="1:26" ht="45" x14ac:dyDescent="0.2">
      <c r="A6" s="310" t="s">
        <v>8</v>
      </c>
      <c r="B6" s="297"/>
      <c r="C6" s="297"/>
      <c r="D6" s="297"/>
      <c r="E6" s="298"/>
      <c r="G6" s="305" t="s">
        <v>10</v>
      </c>
      <c r="H6" s="297"/>
      <c r="I6" s="297"/>
      <c r="J6" s="298"/>
      <c r="L6" s="317"/>
      <c r="M6" s="318"/>
      <c r="N6" s="318"/>
      <c r="O6" s="318"/>
      <c r="P6" s="318"/>
      <c r="Q6" s="319"/>
      <c r="S6" s="58" t="s">
        <v>160</v>
      </c>
      <c r="T6" s="59" t="s">
        <v>161</v>
      </c>
      <c r="U6" s="59" t="s">
        <v>162</v>
      </c>
      <c r="V6" s="61" t="s">
        <v>163</v>
      </c>
      <c r="W6" s="62" t="s">
        <v>165</v>
      </c>
      <c r="Y6" s="300"/>
    </row>
    <row r="7" spans="1:26" x14ac:dyDescent="0.25">
      <c r="A7" s="9" t="s">
        <v>11</v>
      </c>
      <c r="B7" s="9" t="s">
        <v>12</v>
      </c>
      <c r="C7" s="11"/>
      <c r="D7" s="22"/>
      <c r="E7" s="11">
        <v>487</v>
      </c>
      <c r="G7" s="12"/>
      <c r="H7" s="12" t="s">
        <v>52</v>
      </c>
      <c r="I7" s="12" t="s">
        <v>53</v>
      </c>
      <c r="J7" s="12"/>
      <c r="L7" s="63" t="s">
        <v>168</v>
      </c>
      <c r="M7" s="64" t="s">
        <v>169</v>
      </c>
      <c r="N7" s="64" t="s">
        <v>171</v>
      </c>
      <c r="O7" s="64" t="s">
        <v>172</v>
      </c>
      <c r="P7" s="65" t="s">
        <v>173</v>
      </c>
      <c r="Q7" s="66" t="s">
        <v>175</v>
      </c>
      <c r="S7" s="63" t="s">
        <v>176</v>
      </c>
      <c r="T7" s="67">
        <v>0.50800000000000001</v>
      </c>
      <c r="U7" s="68">
        <v>2.4900000000000002</v>
      </c>
      <c r="V7" s="70">
        <f t="shared" ref="V7:V11" si="0">+U7/T7</f>
        <v>4.9015748031496065</v>
      </c>
      <c r="W7" s="72"/>
      <c r="X7" s="21" t="s">
        <v>1340</v>
      </c>
      <c r="Y7" s="300"/>
    </row>
    <row r="8" spans="1:26" ht="15.75" x14ac:dyDescent="0.25">
      <c r="A8" s="9" t="s">
        <v>11</v>
      </c>
      <c r="B8" s="12" t="s">
        <v>18</v>
      </c>
      <c r="C8" s="11"/>
      <c r="D8" s="22"/>
      <c r="E8" s="11">
        <v>0</v>
      </c>
      <c r="G8" s="12" t="s">
        <v>12</v>
      </c>
      <c r="H8" s="17"/>
      <c r="I8" s="11">
        <v>487</v>
      </c>
      <c r="J8" s="17" t="s">
        <v>1341</v>
      </c>
      <c r="L8" s="73">
        <v>440</v>
      </c>
      <c r="M8" s="74">
        <v>64</v>
      </c>
      <c r="N8" s="74">
        <f>+U7</f>
        <v>2.4900000000000002</v>
      </c>
      <c r="O8" s="76">
        <f>+U10</f>
        <v>0</v>
      </c>
      <c r="P8" s="77">
        <f>+U8</f>
        <v>2.3439999999999999</v>
      </c>
      <c r="Q8" s="78">
        <f>(L8-M8)*(N8-O8)/(P8-O8)+M8</f>
        <v>463.41979522184306</v>
      </c>
      <c r="S8" s="80" t="s">
        <v>188</v>
      </c>
      <c r="T8" s="74">
        <v>0.49399999999999999</v>
      </c>
      <c r="U8" s="82">
        <v>2.3439999999999999</v>
      </c>
      <c r="V8" s="84">
        <f t="shared" si="0"/>
        <v>4.7449392712550607</v>
      </c>
      <c r="W8" s="86">
        <f>(U8-U10)/(U7-U10)</f>
        <v>0.94136546184738945</v>
      </c>
      <c r="X8" s="21">
        <v>0.31</v>
      </c>
      <c r="Y8" s="300"/>
    </row>
    <row r="9" spans="1:26" x14ac:dyDescent="0.25">
      <c r="A9" s="9" t="s">
        <v>21</v>
      </c>
      <c r="B9" s="12" t="s">
        <v>59</v>
      </c>
      <c r="C9" s="11"/>
      <c r="D9" s="22"/>
      <c r="E9" s="11">
        <v>447</v>
      </c>
      <c r="G9" s="12" t="s">
        <v>18</v>
      </c>
      <c r="H9" s="17"/>
      <c r="I9" s="11">
        <v>0</v>
      </c>
      <c r="J9" s="17" t="s">
        <v>1342</v>
      </c>
      <c r="L9" s="73" t="s">
        <v>168</v>
      </c>
      <c r="M9" s="74" t="s">
        <v>171</v>
      </c>
      <c r="N9" s="74" t="s">
        <v>190</v>
      </c>
      <c r="O9" s="74" t="s">
        <v>191</v>
      </c>
      <c r="P9" s="77" t="s">
        <v>173</v>
      </c>
      <c r="Q9" s="87" t="s">
        <v>192</v>
      </c>
      <c r="S9" s="80" t="s">
        <v>193</v>
      </c>
      <c r="T9" s="74">
        <v>0.30299999999999999</v>
      </c>
      <c r="U9" s="82">
        <v>0.59699999999999998</v>
      </c>
      <c r="V9" s="84">
        <f t="shared" si="0"/>
        <v>1.9702970297029703</v>
      </c>
      <c r="W9" s="86">
        <f>(U9-U10)/(U7-U10)</f>
        <v>0.23975903614457827</v>
      </c>
      <c r="Y9" s="300"/>
    </row>
    <row r="10" spans="1:26" x14ac:dyDescent="0.25">
      <c r="A10" s="49" t="s">
        <v>21</v>
      </c>
      <c r="B10" s="10" t="s">
        <v>63</v>
      </c>
      <c r="C10" s="51"/>
      <c r="D10" s="169"/>
      <c r="E10" s="51">
        <v>161</v>
      </c>
      <c r="G10" s="305" t="s">
        <v>23</v>
      </c>
      <c r="H10" s="297"/>
      <c r="I10" s="297"/>
      <c r="J10" s="298"/>
      <c r="L10" s="73">
        <v>160</v>
      </c>
      <c r="M10" s="74">
        <f>+U7</f>
        <v>2.4900000000000002</v>
      </c>
      <c r="N10" s="76">
        <f>+U10</f>
        <v>0</v>
      </c>
      <c r="O10" s="89">
        <f>+Q8</f>
        <v>463.41979522184306</v>
      </c>
      <c r="P10" s="77">
        <f>+U9</f>
        <v>0.59699999999999998</v>
      </c>
      <c r="Q10" s="90">
        <f>(L10*(M10-N10)-O10*(P10-N10))/(M10-P10)</f>
        <v>64.309763472033666</v>
      </c>
      <c r="S10" s="80" t="s">
        <v>194</v>
      </c>
      <c r="T10" s="74">
        <v>0.22800000000000001</v>
      </c>
      <c r="U10" s="91">
        <v>0</v>
      </c>
      <c r="V10" s="84">
        <f t="shared" si="0"/>
        <v>0</v>
      </c>
      <c r="W10" s="86"/>
      <c r="Y10" s="300"/>
    </row>
    <row r="11" spans="1:26" x14ac:dyDescent="0.25">
      <c r="A11" s="310" t="s">
        <v>29</v>
      </c>
      <c r="B11" s="297"/>
      <c r="C11" s="297"/>
      <c r="D11" s="297"/>
      <c r="E11" s="298"/>
      <c r="G11" s="12" t="s">
        <v>12</v>
      </c>
      <c r="H11" s="17" t="s">
        <v>540</v>
      </c>
      <c r="I11" s="11" t="s">
        <v>540</v>
      </c>
      <c r="J11" s="17" t="s">
        <v>1344</v>
      </c>
      <c r="L11" s="80" t="s">
        <v>196</v>
      </c>
      <c r="M11" s="93"/>
      <c r="N11" s="93"/>
      <c r="O11" s="93"/>
      <c r="P11" s="94"/>
      <c r="Q11" s="95"/>
      <c r="S11" s="96" t="s">
        <v>197</v>
      </c>
      <c r="T11" s="97">
        <v>0.25</v>
      </c>
      <c r="U11" s="99">
        <v>0.109</v>
      </c>
      <c r="V11" s="100">
        <f t="shared" si="0"/>
        <v>0.436</v>
      </c>
      <c r="W11" s="101">
        <f>+(U11-U10)/(U7-U10)</f>
        <v>4.3775100401606419E-2</v>
      </c>
      <c r="Y11" s="300"/>
    </row>
    <row r="12" spans="1:26" x14ac:dyDescent="0.2">
      <c r="A12" s="9" t="s">
        <v>11</v>
      </c>
      <c r="B12" s="9" t="s">
        <v>12</v>
      </c>
      <c r="C12" s="11" t="s">
        <v>540</v>
      </c>
      <c r="D12" s="22" t="s">
        <v>540</v>
      </c>
      <c r="E12" s="22" t="s">
        <v>540</v>
      </c>
      <c r="G12" s="12" t="s">
        <v>18</v>
      </c>
      <c r="H12" s="17" t="s">
        <v>540</v>
      </c>
      <c r="I12" s="11" t="s">
        <v>540</v>
      </c>
      <c r="J12" s="17" t="s">
        <v>1345</v>
      </c>
      <c r="L12" s="80" t="s">
        <v>199</v>
      </c>
      <c r="M12" s="93" t="s">
        <v>169</v>
      </c>
      <c r="N12" s="93" t="s">
        <v>200</v>
      </c>
      <c r="O12" s="93" t="s">
        <v>201</v>
      </c>
      <c r="P12" s="94" t="s">
        <v>191</v>
      </c>
      <c r="Q12" s="87" t="s">
        <v>202</v>
      </c>
      <c r="S12" s="311" t="s">
        <v>203</v>
      </c>
      <c r="T12" s="312"/>
      <c r="U12" s="312"/>
      <c r="V12" s="312"/>
      <c r="W12" s="313"/>
      <c r="Y12" s="300"/>
    </row>
    <row r="13" spans="1:26" x14ac:dyDescent="0.2">
      <c r="A13" s="9" t="s">
        <v>11</v>
      </c>
      <c r="B13" s="12" t="s">
        <v>18</v>
      </c>
      <c r="C13" s="11" t="s">
        <v>540</v>
      </c>
      <c r="D13" s="22" t="s">
        <v>540</v>
      </c>
      <c r="E13" s="22" t="s">
        <v>540</v>
      </c>
      <c r="L13" s="102">
        <f>+U11</f>
        <v>0.109</v>
      </c>
      <c r="M13" s="103">
        <f>+Q10</f>
        <v>64.309763472033666</v>
      </c>
      <c r="N13" s="97">
        <f>+U7</f>
        <v>2.4900000000000002</v>
      </c>
      <c r="O13" s="104">
        <f>+U10</f>
        <v>0</v>
      </c>
      <c r="P13" s="105">
        <f>+Q8</f>
        <v>463.41979522184306</v>
      </c>
      <c r="Q13" s="106">
        <f>M13+(P13-M13)*(L13-O13)/(N13-O13)</f>
        <v>81.780845183169902</v>
      </c>
      <c r="S13" s="314"/>
      <c r="T13" s="315"/>
      <c r="U13" s="315"/>
      <c r="V13" s="315"/>
      <c r="W13" s="316"/>
      <c r="Y13" s="300"/>
    </row>
    <row r="14" spans="1:26" ht="14.25" x14ac:dyDescent="0.2">
      <c r="A14" s="9" t="s">
        <v>21</v>
      </c>
      <c r="B14" s="12" t="s">
        <v>59</v>
      </c>
      <c r="C14" s="11" t="s">
        <v>540</v>
      </c>
      <c r="D14" s="22" t="s">
        <v>540</v>
      </c>
      <c r="E14" s="22" t="s">
        <v>540</v>
      </c>
      <c r="L14" s="311" t="s">
        <v>204</v>
      </c>
      <c r="M14" s="312"/>
      <c r="N14" s="312"/>
      <c r="O14" s="312"/>
      <c r="P14" s="312"/>
      <c r="Q14" s="313"/>
      <c r="S14" s="317"/>
      <c r="T14" s="318"/>
      <c r="U14" s="318"/>
      <c r="V14" s="318"/>
      <c r="W14" s="319"/>
      <c r="Y14" s="300"/>
    </row>
    <row r="15" spans="1:26" ht="45" x14ac:dyDescent="0.25">
      <c r="A15" s="9" t="s">
        <v>21</v>
      </c>
      <c r="B15" s="12" t="s">
        <v>63</v>
      </c>
      <c r="C15" s="11" t="s">
        <v>540</v>
      </c>
      <c r="D15" s="22" t="s">
        <v>540</v>
      </c>
      <c r="E15" s="22" t="s">
        <v>540</v>
      </c>
      <c r="L15" s="317"/>
      <c r="M15" s="318"/>
      <c r="N15" s="318"/>
      <c r="O15" s="318"/>
      <c r="P15" s="318"/>
      <c r="Q15" s="319"/>
      <c r="S15" s="58" t="s">
        <v>160</v>
      </c>
      <c r="T15" s="59" t="s">
        <v>161</v>
      </c>
      <c r="U15" s="59" t="s">
        <v>162</v>
      </c>
      <c r="V15" s="61" t="s">
        <v>163</v>
      </c>
      <c r="W15" s="62" t="s">
        <v>165</v>
      </c>
      <c r="Y15" s="300"/>
      <c r="Z15" s="29"/>
    </row>
    <row r="16" spans="1:26" x14ac:dyDescent="0.25">
      <c r="L16" s="63" t="s">
        <v>168</v>
      </c>
      <c r="M16" s="64" t="s">
        <v>169</v>
      </c>
      <c r="N16" s="64" t="s">
        <v>171</v>
      </c>
      <c r="O16" s="64" t="s">
        <v>172</v>
      </c>
      <c r="P16" s="65" t="s">
        <v>173</v>
      </c>
      <c r="Q16" s="66" t="s">
        <v>175</v>
      </c>
      <c r="S16" s="63" t="s">
        <v>176</v>
      </c>
      <c r="T16" s="67">
        <v>0.45100000000000001</v>
      </c>
      <c r="U16" s="68">
        <v>1.962</v>
      </c>
      <c r="V16" s="70">
        <f t="shared" ref="V16:V20" si="1">+U16/T16</f>
        <v>4.3503325942350335</v>
      </c>
      <c r="W16" s="107"/>
      <c r="Y16" s="300"/>
    </row>
    <row r="17" spans="1:25" ht="15.75" x14ac:dyDescent="0.25">
      <c r="L17" s="73">
        <v>420</v>
      </c>
      <c r="M17" s="74">
        <v>23.8</v>
      </c>
      <c r="N17" s="74">
        <f>+U16</f>
        <v>1.962</v>
      </c>
      <c r="O17" s="76">
        <f>+U19</f>
        <v>0.67700000000000005</v>
      </c>
      <c r="P17" s="77">
        <f>+U17</f>
        <v>1.901</v>
      </c>
      <c r="Q17" s="108">
        <f>(L17-M17)*(N17-O17)/(P17-O17)+M17</f>
        <v>439.74526143790848</v>
      </c>
      <c r="S17" s="80" t="s">
        <v>188</v>
      </c>
      <c r="T17" s="74">
        <v>0.44700000000000001</v>
      </c>
      <c r="U17" s="82">
        <v>1.901</v>
      </c>
      <c r="V17" s="84">
        <f t="shared" si="1"/>
        <v>4.2527964205816557</v>
      </c>
      <c r="W17" s="86">
        <f>(U17-U19)/(U16-U19)</f>
        <v>0.95252918287937749</v>
      </c>
      <c r="Y17" s="300"/>
    </row>
    <row r="18" spans="1:25" x14ac:dyDescent="0.25">
      <c r="L18" s="73" t="s">
        <v>168</v>
      </c>
      <c r="M18" s="74" t="s">
        <v>171</v>
      </c>
      <c r="N18" s="74" t="s">
        <v>190</v>
      </c>
      <c r="O18" s="74" t="s">
        <v>191</v>
      </c>
      <c r="P18" s="77" t="s">
        <v>173</v>
      </c>
      <c r="Q18" s="87" t="s">
        <v>192</v>
      </c>
      <c r="S18" s="80" t="s">
        <v>193</v>
      </c>
      <c r="T18" s="74">
        <v>0.35099999999999998</v>
      </c>
      <c r="U18" s="91">
        <v>1.036</v>
      </c>
      <c r="V18" s="84">
        <f t="shared" si="1"/>
        <v>2.951566951566952</v>
      </c>
      <c r="W18" s="86">
        <f>(U18-U19)/(U16-U19)</f>
        <v>0.27937743190661479</v>
      </c>
      <c r="Y18" s="300"/>
    </row>
    <row r="19" spans="1:25" ht="15.75" x14ac:dyDescent="0.25">
      <c r="L19" s="73">
        <v>140</v>
      </c>
      <c r="M19" s="74">
        <f>+U16</f>
        <v>1.962</v>
      </c>
      <c r="N19" s="76">
        <f>+U19</f>
        <v>0.67700000000000005</v>
      </c>
      <c r="O19" s="74">
        <f>+Q17</f>
        <v>439.74526143790848</v>
      </c>
      <c r="P19" s="109">
        <f>+U18</f>
        <v>1.036</v>
      </c>
      <c r="Q19" s="78">
        <f>(L19*(M19-N19)-O19*(P19-N19))/(M19-P19)</f>
        <v>23.792063870184485</v>
      </c>
      <c r="S19" s="80" t="s">
        <v>194</v>
      </c>
      <c r="T19" s="74">
        <v>0.30199999999999999</v>
      </c>
      <c r="U19" s="91">
        <v>0.67700000000000005</v>
      </c>
      <c r="V19" s="84">
        <f t="shared" si="1"/>
        <v>2.241721854304636</v>
      </c>
      <c r="W19" s="86"/>
      <c r="Y19" s="300"/>
    </row>
    <row r="20" spans="1:25" x14ac:dyDescent="0.25">
      <c r="L20" s="80" t="s">
        <v>196</v>
      </c>
      <c r="M20" s="93"/>
      <c r="N20" s="93"/>
      <c r="O20" s="93"/>
      <c r="P20" s="94"/>
      <c r="Q20" s="95"/>
      <c r="S20" s="111" t="s">
        <v>197</v>
      </c>
      <c r="T20" s="112">
        <v>0.317</v>
      </c>
      <c r="U20" s="113">
        <v>0.72299999999999998</v>
      </c>
      <c r="V20" s="114">
        <f t="shared" si="1"/>
        <v>2.2807570977917981</v>
      </c>
      <c r="W20" s="115">
        <f>+(U20-U19)/(U16-U19)</f>
        <v>3.5797665369649755E-2</v>
      </c>
      <c r="Y20" s="300"/>
    </row>
    <row r="21" spans="1:25" ht="15.75" customHeight="1" x14ac:dyDescent="0.2">
      <c r="L21" s="80" t="s">
        <v>199</v>
      </c>
      <c r="M21" s="93" t="s">
        <v>169</v>
      </c>
      <c r="N21" s="93" t="s">
        <v>200</v>
      </c>
      <c r="O21" s="93" t="s">
        <v>201</v>
      </c>
      <c r="P21" s="94" t="s">
        <v>191</v>
      </c>
      <c r="Q21" s="87" t="s">
        <v>202</v>
      </c>
      <c r="Y21" s="300"/>
    </row>
    <row r="22" spans="1:25" ht="15.75" customHeight="1" x14ac:dyDescent="0.2">
      <c r="L22" s="116">
        <f>+U20</f>
        <v>0.72299999999999998</v>
      </c>
      <c r="M22" s="117">
        <f>+Q19</f>
        <v>23.792063870184485</v>
      </c>
      <c r="N22" s="112">
        <f>+U16</f>
        <v>1.962</v>
      </c>
      <c r="O22" s="118">
        <f>+U19</f>
        <v>0.67700000000000005</v>
      </c>
      <c r="P22" s="119">
        <f>+Q17</f>
        <v>439.74526143790848</v>
      </c>
      <c r="Q22" s="78">
        <f>M22+(P22-M22)*(L22-O22)/(N22-O22)</f>
        <v>38.682217246149676</v>
      </c>
      <c r="T22" s="121"/>
      <c r="Y22" s="300"/>
    </row>
    <row r="23" spans="1:25" ht="15.75" customHeight="1" x14ac:dyDescent="0.2">
      <c r="Y23" s="301"/>
    </row>
    <row r="24" spans="1:25" ht="15.75" customHeight="1" x14ac:dyDescent="0.2"/>
    <row r="25" spans="1:25" ht="15.75" customHeight="1" x14ac:dyDescent="0.2"/>
    <row r="26" spans="1:25" ht="15.75" customHeight="1" x14ac:dyDescent="0.25">
      <c r="A26" s="345"/>
      <c r="B26" s="297"/>
      <c r="C26" s="297"/>
      <c r="D26" s="297"/>
      <c r="E26" s="297"/>
      <c r="F26" s="297"/>
      <c r="G26" s="297"/>
      <c r="H26" s="297"/>
      <c r="I26" s="297"/>
      <c r="J26" s="297"/>
      <c r="K26" s="297"/>
      <c r="L26" s="297"/>
      <c r="M26" s="297"/>
      <c r="N26" s="297"/>
      <c r="O26" s="297"/>
      <c r="P26" s="297"/>
      <c r="Q26" s="297"/>
      <c r="R26" s="297"/>
      <c r="S26" s="297"/>
      <c r="T26" s="297"/>
      <c r="U26" s="297"/>
      <c r="V26" s="297"/>
      <c r="W26" s="297"/>
      <c r="X26" s="297"/>
      <c r="Y26" s="298"/>
    </row>
    <row r="27" spans="1:25" ht="15.75" customHeight="1" x14ac:dyDescent="0.3">
      <c r="A27" s="161" t="s">
        <v>353</v>
      </c>
      <c r="B27" s="163" t="s">
        <v>655</v>
      </c>
      <c r="Y27" s="346"/>
    </row>
    <row r="28" spans="1:25" ht="15.75" customHeight="1" x14ac:dyDescent="0.3">
      <c r="A28" s="164" t="s">
        <v>360</v>
      </c>
      <c r="B28" s="165">
        <v>43186</v>
      </c>
      <c r="Y28" s="300"/>
    </row>
    <row r="29" spans="1:25" ht="15.75" customHeight="1" x14ac:dyDescent="0.3">
      <c r="L29" s="320" t="s">
        <v>153</v>
      </c>
      <c r="M29" s="297"/>
      <c r="N29" s="297"/>
      <c r="O29" s="297"/>
      <c r="P29" s="297"/>
      <c r="Q29" s="298"/>
      <c r="S29" s="321" t="s">
        <v>154</v>
      </c>
      <c r="T29" s="322"/>
      <c r="U29" s="322"/>
      <c r="V29" s="322"/>
      <c r="W29" s="323"/>
      <c r="Y29" s="300"/>
    </row>
    <row r="30" spans="1:25" ht="15.75" customHeight="1" x14ac:dyDescent="0.2">
      <c r="A30" s="156" t="s">
        <v>0</v>
      </c>
      <c r="B30" s="157" t="s">
        <v>1</v>
      </c>
      <c r="C30" s="157" t="s">
        <v>42</v>
      </c>
      <c r="D30" s="157" t="s">
        <v>43</v>
      </c>
      <c r="E30" s="157" t="s">
        <v>44</v>
      </c>
      <c r="G30" s="296" t="s">
        <v>45</v>
      </c>
      <c r="H30" s="297"/>
      <c r="I30" s="297"/>
      <c r="J30" s="298"/>
      <c r="L30" s="311" t="s">
        <v>157</v>
      </c>
      <c r="M30" s="312"/>
      <c r="N30" s="312"/>
      <c r="O30" s="312"/>
      <c r="P30" s="312"/>
      <c r="Q30" s="313"/>
      <c r="S30" s="325" t="s">
        <v>157</v>
      </c>
      <c r="T30" s="297"/>
      <c r="U30" s="297"/>
      <c r="V30" s="297"/>
      <c r="W30" s="298"/>
      <c r="Y30" s="300"/>
    </row>
    <row r="31" spans="1:25" ht="15.75" customHeight="1" x14ac:dyDescent="0.2">
      <c r="A31" s="310" t="s">
        <v>8</v>
      </c>
      <c r="B31" s="297"/>
      <c r="C31" s="297"/>
      <c r="D31" s="297"/>
      <c r="E31" s="298"/>
      <c r="G31" s="305" t="s">
        <v>10</v>
      </c>
      <c r="H31" s="297"/>
      <c r="I31" s="297"/>
      <c r="J31" s="298"/>
      <c r="L31" s="317"/>
      <c r="M31" s="318"/>
      <c r="N31" s="318"/>
      <c r="O31" s="318"/>
      <c r="P31" s="318"/>
      <c r="Q31" s="319"/>
      <c r="S31" s="58" t="s">
        <v>160</v>
      </c>
      <c r="T31" s="59" t="s">
        <v>161</v>
      </c>
      <c r="U31" s="59" t="s">
        <v>162</v>
      </c>
      <c r="V31" s="61" t="s">
        <v>163</v>
      </c>
      <c r="W31" s="62" t="s">
        <v>165</v>
      </c>
      <c r="Y31" s="300"/>
    </row>
    <row r="32" spans="1:25" ht="15.75" customHeight="1" x14ac:dyDescent="0.25">
      <c r="A32" s="9" t="s">
        <v>11</v>
      </c>
      <c r="B32" s="9" t="s">
        <v>12</v>
      </c>
      <c r="C32" s="11">
        <v>930</v>
      </c>
      <c r="D32" s="22">
        <v>927</v>
      </c>
      <c r="E32" s="11"/>
      <c r="G32" s="12"/>
      <c r="H32" s="12" t="s">
        <v>52</v>
      </c>
      <c r="I32" s="12" t="s">
        <v>53</v>
      </c>
      <c r="J32" s="12"/>
      <c r="L32" s="63" t="s">
        <v>168</v>
      </c>
      <c r="M32" s="64" t="s">
        <v>169</v>
      </c>
      <c r="N32" s="64" t="s">
        <v>171</v>
      </c>
      <c r="O32" s="64" t="s">
        <v>172</v>
      </c>
      <c r="P32" s="65" t="s">
        <v>173</v>
      </c>
      <c r="Q32" s="66" t="s">
        <v>175</v>
      </c>
      <c r="S32" s="63" t="s">
        <v>176</v>
      </c>
      <c r="T32" s="67">
        <v>0.50800000000000001</v>
      </c>
      <c r="U32" s="68">
        <v>2.56</v>
      </c>
      <c r="V32" s="70">
        <f t="shared" ref="V32:V36" si="2">+U32/T32</f>
        <v>5.0393700787401574</v>
      </c>
      <c r="W32" s="72"/>
      <c r="X32" s="21" t="s">
        <v>1340</v>
      </c>
      <c r="Y32" s="300"/>
    </row>
    <row r="33" spans="1:25" ht="15.75" customHeight="1" x14ac:dyDescent="0.25">
      <c r="A33" s="9" t="s">
        <v>11</v>
      </c>
      <c r="B33" s="12" t="s">
        <v>18</v>
      </c>
      <c r="C33" s="11">
        <v>0</v>
      </c>
      <c r="D33" s="22">
        <v>0</v>
      </c>
      <c r="E33" s="11"/>
      <c r="G33" s="12" t="s">
        <v>12</v>
      </c>
      <c r="H33" s="17">
        <v>930</v>
      </c>
      <c r="I33" s="11"/>
      <c r="J33" s="17" t="s">
        <v>1366</v>
      </c>
      <c r="L33" s="73">
        <v>440</v>
      </c>
      <c r="M33" s="74">
        <v>64</v>
      </c>
      <c r="N33" s="74">
        <f>+U32</f>
        <v>2.56</v>
      </c>
      <c r="O33" s="76">
        <f>+U35</f>
        <v>0</v>
      </c>
      <c r="P33" s="77">
        <f>+U33</f>
        <v>1.296</v>
      </c>
      <c r="Q33" s="78">
        <f>(L33-M33)*(N33-O33)/(P33-O33)+M33</f>
        <v>806.71604938271605</v>
      </c>
      <c r="S33" s="80" t="s">
        <v>188</v>
      </c>
      <c r="T33" s="74">
        <v>0.49399999999999999</v>
      </c>
      <c r="U33" s="82">
        <v>1.296</v>
      </c>
      <c r="V33" s="84">
        <f t="shared" si="2"/>
        <v>2.6234817813765186</v>
      </c>
      <c r="W33" s="86">
        <f>(U33-U35)/(U32-U35)</f>
        <v>0.50624999999999998</v>
      </c>
      <c r="X33" s="21">
        <v>0.31</v>
      </c>
      <c r="Y33" s="300"/>
    </row>
    <row r="34" spans="1:25" ht="15.75" customHeight="1" x14ac:dyDescent="0.25">
      <c r="A34" s="9" t="s">
        <v>21</v>
      </c>
      <c r="B34" s="12" t="s">
        <v>59</v>
      </c>
      <c r="C34" s="11">
        <v>440</v>
      </c>
      <c r="D34" s="22">
        <v>513</v>
      </c>
      <c r="E34" s="11"/>
      <c r="G34" s="12" t="s">
        <v>18</v>
      </c>
      <c r="H34" s="17">
        <v>0</v>
      </c>
      <c r="I34" s="11"/>
      <c r="J34" s="17" t="s">
        <v>1367</v>
      </c>
      <c r="L34" s="73" t="s">
        <v>168</v>
      </c>
      <c r="M34" s="74" t="s">
        <v>171</v>
      </c>
      <c r="N34" s="74" t="s">
        <v>190</v>
      </c>
      <c r="O34" s="74" t="s">
        <v>191</v>
      </c>
      <c r="P34" s="77" t="s">
        <v>173</v>
      </c>
      <c r="Q34" s="87" t="s">
        <v>192</v>
      </c>
      <c r="S34" s="80" t="s">
        <v>193</v>
      </c>
      <c r="T34" s="74">
        <v>0.30299999999999999</v>
      </c>
      <c r="U34" s="82">
        <v>0.38500000000000001</v>
      </c>
      <c r="V34" s="84">
        <f t="shared" si="2"/>
        <v>1.2706270627062708</v>
      </c>
      <c r="W34" s="86">
        <f>(U34-U35)/(U32-U35)</f>
        <v>0.150390625</v>
      </c>
      <c r="Y34" s="300"/>
    </row>
    <row r="35" spans="1:25" ht="15.75" customHeight="1" x14ac:dyDescent="0.25">
      <c r="A35" s="49" t="s">
        <v>21</v>
      </c>
      <c r="B35" s="10" t="s">
        <v>63</v>
      </c>
      <c r="C35" s="51">
        <v>160</v>
      </c>
      <c r="D35" s="169">
        <v>207</v>
      </c>
      <c r="E35" s="51"/>
      <c r="G35" s="305" t="s">
        <v>23</v>
      </c>
      <c r="H35" s="297"/>
      <c r="I35" s="297"/>
      <c r="J35" s="298"/>
      <c r="L35" s="73">
        <v>160</v>
      </c>
      <c r="M35" s="74">
        <f>+U32</f>
        <v>2.56</v>
      </c>
      <c r="N35" s="76">
        <f>+U35</f>
        <v>0</v>
      </c>
      <c r="O35" s="89">
        <f>+Q33</f>
        <v>806.71604938271605</v>
      </c>
      <c r="P35" s="77">
        <f>+U34</f>
        <v>0.38500000000000001</v>
      </c>
      <c r="Q35" s="90">
        <f>(L35*(M35-N35)-O35*(P35-N35))/(M35-P35)</f>
        <v>45.523825741450274</v>
      </c>
      <c r="S35" s="80" t="s">
        <v>194</v>
      </c>
      <c r="T35" s="74">
        <v>0.22800000000000001</v>
      </c>
      <c r="U35" s="91">
        <v>0</v>
      </c>
      <c r="V35" s="84">
        <f t="shared" si="2"/>
        <v>0</v>
      </c>
      <c r="W35" s="86"/>
      <c r="Y35" s="300"/>
    </row>
    <row r="36" spans="1:25" ht="15.75" customHeight="1" x14ac:dyDescent="0.25">
      <c r="A36" s="310" t="s">
        <v>29</v>
      </c>
      <c r="B36" s="297"/>
      <c r="C36" s="297"/>
      <c r="D36" s="297"/>
      <c r="E36" s="298"/>
      <c r="G36" s="12" t="s">
        <v>12</v>
      </c>
      <c r="H36" s="17">
        <v>890</v>
      </c>
      <c r="I36" s="11" t="s">
        <v>540</v>
      </c>
      <c r="J36" s="17" t="s">
        <v>1368</v>
      </c>
      <c r="L36" s="80" t="s">
        <v>196</v>
      </c>
      <c r="M36" s="93"/>
      <c r="N36" s="93"/>
      <c r="O36" s="93"/>
      <c r="P36" s="94"/>
      <c r="Q36" s="95"/>
      <c r="S36" s="96" t="s">
        <v>197</v>
      </c>
      <c r="T36" s="97">
        <v>0.25</v>
      </c>
      <c r="U36" s="99">
        <v>0.109</v>
      </c>
      <c r="V36" s="100">
        <f t="shared" si="2"/>
        <v>0.436</v>
      </c>
      <c r="W36" s="101">
        <f>+(U36-U35)/(U32-U35)</f>
        <v>4.2578125000000001E-2</v>
      </c>
      <c r="Y36" s="300"/>
    </row>
    <row r="37" spans="1:25" ht="15.75" customHeight="1" x14ac:dyDescent="0.2">
      <c r="A37" s="9" t="s">
        <v>11</v>
      </c>
      <c r="B37" s="9" t="s">
        <v>12</v>
      </c>
      <c r="C37" s="11">
        <v>900</v>
      </c>
      <c r="D37" s="22">
        <v>894</v>
      </c>
      <c r="E37" s="22" t="s">
        <v>540</v>
      </c>
      <c r="G37" s="12" t="s">
        <v>18</v>
      </c>
      <c r="H37" s="17">
        <v>0</v>
      </c>
      <c r="I37" s="11" t="s">
        <v>540</v>
      </c>
      <c r="J37" s="17" t="s">
        <v>1369</v>
      </c>
      <c r="L37" s="80" t="s">
        <v>199</v>
      </c>
      <c r="M37" s="93" t="s">
        <v>169</v>
      </c>
      <c r="N37" s="93" t="s">
        <v>200</v>
      </c>
      <c r="O37" s="93" t="s">
        <v>201</v>
      </c>
      <c r="P37" s="94" t="s">
        <v>191</v>
      </c>
      <c r="Q37" s="87" t="s">
        <v>202</v>
      </c>
      <c r="S37" s="311" t="s">
        <v>203</v>
      </c>
      <c r="T37" s="312"/>
      <c r="U37" s="312"/>
      <c r="V37" s="312"/>
      <c r="W37" s="313"/>
      <c r="Y37" s="300"/>
    </row>
    <row r="38" spans="1:25" ht="15.75" customHeight="1" x14ac:dyDescent="0.2">
      <c r="A38" s="9" t="s">
        <v>11</v>
      </c>
      <c r="B38" s="12" t="s">
        <v>18</v>
      </c>
      <c r="C38" s="11">
        <v>0</v>
      </c>
      <c r="D38" s="22">
        <v>0</v>
      </c>
      <c r="E38" s="22" t="s">
        <v>540</v>
      </c>
      <c r="L38" s="102">
        <f>+U36</f>
        <v>0.109</v>
      </c>
      <c r="M38" s="103">
        <f>+Q35</f>
        <v>45.523825741450274</v>
      </c>
      <c r="N38" s="97">
        <f>+U32</f>
        <v>2.56</v>
      </c>
      <c r="O38" s="104">
        <f>+U35</f>
        <v>0</v>
      </c>
      <c r="P38" s="105">
        <f>+Q33</f>
        <v>806.71604938271605</v>
      </c>
      <c r="Q38" s="106">
        <f>M38+(P38-M38)*(L38-O38)/(N38-O38)</f>
        <v>77.933963388676034</v>
      </c>
      <c r="S38" s="314"/>
      <c r="T38" s="315"/>
      <c r="U38" s="315"/>
      <c r="V38" s="315"/>
      <c r="W38" s="316"/>
      <c r="Y38" s="300"/>
    </row>
    <row r="39" spans="1:25" ht="15.75" customHeight="1" x14ac:dyDescent="0.2">
      <c r="A39" s="9" t="s">
        <v>21</v>
      </c>
      <c r="B39" s="12" t="s">
        <v>59</v>
      </c>
      <c r="C39" s="11">
        <v>420</v>
      </c>
      <c r="D39" s="22">
        <v>463</v>
      </c>
      <c r="E39" s="22" t="s">
        <v>540</v>
      </c>
      <c r="L39" s="311" t="s">
        <v>204</v>
      </c>
      <c r="M39" s="312"/>
      <c r="N39" s="312"/>
      <c r="O39" s="312"/>
      <c r="P39" s="312"/>
      <c r="Q39" s="313"/>
      <c r="S39" s="317"/>
      <c r="T39" s="318"/>
      <c r="U39" s="318"/>
      <c r="V39" s="318"/>
      <c r="W39" s="319"/>
      <c r="Y39" s="300"/>
    </row>
    <row r="40" spans="1:25" ht="15.75" customHeight="1" x14ac:dyDescent="0.2">
      <c r="A40" s="9" t="s">
        <v>21</v>
      </c>
      <c r="B40" s="12" t="s">
        <v>63</v>
      </c>
      <c r="C40" s="11">
        <v>140</v>
      </c>
      <c r="D40" s="22">
        <v>163</v>
      </c>
      <c r="E40" s="22" t="s">
        <v>540</v>
      </c>
      <c r="L40" s="317"/>
      <c r="M40" s="318"/>
      <c r="N40" s="318"/>
      <c r="O40" s="318"/>
      <c r="P40" s="318"/>
      <c r="Q40" s="319"/>
      <c r="S40" s="58" t="s">
        <v>160</v>
      </c>
      <c r="T40" s="59" t="s">
        <v>161</v>
      </c>
      <c r="U40" s="59" t="s">
        <v>162</v>
      </c>
      <c r="V40" s="61" t="s">
        <v>163</v>
      </c>
      <c r="W40" s="62" t="s">
        <v>165</v>
      </c>
      <c r="Y40" s="300"/>
    </row>
    <row r="41" spans="1:25" ht="15.75" customHeight="1" x14ac:dyDescent="0.25">
      <c r="L41" s="63" t="s">
        <v>168</v>
      </c>
      <c r="M41" s="64" t="s">
        <v>169</v>
      </c>
      <c r="N41" s="64" t="s">
        <v>171</v>
      </c>
      <c r="O41" s="64" t="s">
        <v>172</v>
      </c>
      <c r="P41" s="65" t="s">
        <v>173</v>
      </c>
      <c r="Q41" s="66" t="s">
        <v>175</v>
      </c>
      <c r="S41" s="63" t="s">
        <v>176</v>
      </c>
      <c r="T41" s="67">
        <v>0.45100000000000001</v>
      </c>
      <c r="U41" s="68">
        <v>1.962</v>
      </c>
      <c r="V41" s="70">
        <f t="shared" ref="V41:V45" si="3">+U41/T41</f>
        <v>4.3503325942350335</v>
      </c>
      <c r="W41" s="107"/>
      <c r="Y41" s="300"/>
    </row>
    <row r="42" spans="1:25" ht="15.75" customHeight="1" x14ac:dyDescent="0.25">
      <c r="L42" s="73">
        <v>420</v>
      </c>
      <c r="M42" s="74">
        <v>23.8</v>
      </c>
      <c r="N42" s="74">
        <f>+U41</f>
        <v>1.962</v>
      </c>
      <c r="O42" s="76">
        <f>+U44</f>
        <v>0.67700000000000005</v>
      </c>
      <c r="P42" s="77">
        <f>+U42</f>
        <v>1.901</v>
      </c>
      <c r="Q42" s="108">
        <f>(L42-M42)*(N42-O42)/(P42-O42)+M42</f>
        <v>439.74526143790848</v>
      </c>
      <c r="S42" s="80" t="s">
        <v>188</v>
      </c>
      <c r="T42" s="74">
        <v>0.44700000000000001</v>
      </c>
      <c r="U42" s="82">
        <v>1.901</v>
      </c>
      <c r="V42" s="84">
        <f t="shared" si="3"/>
        <v>4.2527964205816557</v>
      </c>
      <c r="W42" s="86">
        <f>(U42-U44)/(U41-U44)</f>
        <v>0.95252918287937749</v>
      </c>
      <c r="Y42" s="300"/>
    </row>
    <row r="43" spans="1:25" ht="15.75" customHeight="1" x14ac:dyDescent="0.25">
      <c r="L43" s="73" t="s">
        <v>168</v>
      </c>
      <c r="M43" s="74" t="s">
        <v>171</v>
      </c>
      <c r="N43" s="74" t="s">
        <v>190</v>
      </c>
      <c r="O43" s="74" t="s">
        <v>191</v>
      </c>
      <c r="P43" s="77" t="s">
        <v>173</v>
      </c>
      <c r="Q43" s="87" t="s">
        <v>192</v>
      </c>
      <c r="S43" s="80" t="s">
        <v>193</v>
      </c>
      <c r="T43" s="74">
        <v>0.35099999999999998</v>
      </c>
      <c r="U43" s="91">
        <v>1.036</v>
      </c>
      <c r="V43" s="84">
        <f t="shared" si="3"/>
        <v>2.951566951566952</v>
      </c>
      <c r="W43" s="86">
        <f>(U43-U44)/(U41-U44)</f>
        <v>0.27937743190661479</v>
      </c>
      <c r="Y43" s="300"/>
    </row>
    <row r="44" spans="1:25" ht="15.75" customHeight="1" x14ac:dyDescent="0.25">
      <c r="L44" s="73">
        <v>140</v>
      </c>
      <c r="M44" s="74">
        <f>+U41</f>
        <v>1.962</v>
      </c>
      <c r="N44" s="76">
        <f>+U44</f>
        <v>0.67700000000000005</v>
      </c>
      <c r="O44" s="74">
        <f>+Q42</f>
        <v>439.74526143790848</v>
      </c>
      <c r="P44" s="109">
        <f>+U43</f>
        <v>1.036</v>
      </c>
      <c r="Q44" s="78">
        <f>(L44*(M44-N44)-O44*(P44-N44))/(M44-P44)</f>
        <v>23.792063870184485</v>
      </c>
      <c r="S44" s="80" t="s">
        <v>194</v>
      </c>
      <c r="T44" s="74">
        <v>0.30199999999999999</v>
      </c>
      <c r="U44" s="91">
        <v>0.67700000000000005</v>
      </c>
      <c r="V44" s="84">
        <f t="shared" si="3"/>
        <v>2.241721854304636</v>
      </c>
      <c r="W44" s="86"/>
      <c r="Y44" s="300"/>
    </row>
    <row r="45" spans="1:25" ht="15.75" customHeight="1" x14ac:dyDescent="0.25">
      <c r="L45" s="80" t="s">
        <v>196</v>
      </c>
      <c r="M45" s="93"/>
      <c r="N45" s="93"/>
      <c r="O45" s="93"/>
      <c r="P45" s="94"/>
      <c r="Q45" s="95"/>
      <c r="S45" s="111" t="s">
        <v>197</v>
      </c>
      <c r="T45" s="112">
        <v>0.317</v>
      </c>
      <c r="U45" s="113">
        <v>0.72299999999999998</v>
      </c>
      <c r="V45" s="114">
        <f t="shared" si="3"/>
        <v>2.2807570977917981</v>
      </c>
      <c r="W45" s="115">
        <f>+(U45-U44)/(U41-U44)</f>
        <v>3.5797665369649755E-2</v>
      </c>
      <c r="Y45" s="300"/>
    </row>
    <row r="46" spans="1:25" ht="15.75" customHeight="1" x14ac:dyDescent="0.2">
      <c r="L46" s="80" t="s">
        <v>199</v>
      </c>
      <c r="M46" s="93" t="s">
        <v>169</v>
      </c>
      <c r="N46" s="93" t="s">
        <v>200</v>
      </c>
      <c r="O46" s="93" t="s">
        <v>201</v>
      </c>
      <c r="P46" s="94" t="s">
        <v>191</v>
      </c>
      <c r="Q46" s="87" t="s">
        <v>202</v>
      </c>
      <c r="Y46" s="300"/>
    </row>
    <row r="47" spans="1:25" ht="15.75" customHeight="1" x14ac:dyDescent="0.2">
      <c r="L47" s="116">
        <f>+U45</f>
        <v>0.72299999999999998</v>
      </c>
      <c r="M47" s="117">
        <f>+Q44</f>
        <v>23.792063870184485</v>
      </c>
      <c r="N47" s="112">
        <f>+U41</f>
        <v>1.962</v>
      </c>
      <c r="O47" s="118">
        <f>+U44</f>
        <v>0.67700000000000005</v>
      </c>
      <c r="P47" s="119">
        <f>+Q42</f>
        <v>439.74526143790848</v>
      </c>
      <c r="Q47" s="78">
        <f>M47+(P47-M47)*(L47-O47)/(N47-O47)</f>
        <v>38.682217246149676</v>
      </c>
      <c r="T47" s="121"/>
      <c r="Y47" s="300"/>
    </row>
    <row r="48" spans="1:25" ht="15.75" customHeight="1" x14ac:dyDescent="0.2">
      <c r="Y48" s="301"/>
    </row>
    <row r="49" spans="1:25" ht="15.75" customHeight="1" x14ac:dyDescent="0.2"/>
    <row r="50" spans="1:25" ht="15.75" customHeight="1" x14ac:dyDescent="0.2"/>
    <row r="51" spans="1:25" ht="15.75" customHeight="1" x14ac:dyDescent="0.25">
      <c r="A51" s="345"/>
      <c r="B51" s="297"/>
      <c r="C51" s="297"/>
      <c r="D51" s="297"/>
      <c r="E51" s="297"/>
      <c r="F51" s="297"/>
      <c r="G51" s="297"/>
      <c r="H51" s="297"/>
      <c r="I51" s="297"/>
      <c r="J51" s="297"/>
      <c r="K51" s="297"/>
      <c r="L51" s="297"/>
      <c r="M51" s="297"/>
      <c r="N51" s="297"/>
      <c r="O51" s="297"/>
      <c r="P51" s="297"/>
      <c r="Q51" s="297"/>
      <c r="R51" s="297"/>
      <c r="S51" s="297"/>
      <c r="T51" s="297"/>
      <c r="U51" s="297"/>
      <c r="V51" s="297"/>
      <c r="W51" s="297"/>
      <c r="X51" s="297"/>
      <c r="Y51" s="298"/>
    </row>
    <row r="52" spans="1:25" ht="15.75" customHeight="1" x14ac:dyDescent="0.3">
      <c r="A52" s="161" t="s">
        <v>353</v>
      </c>
      <c r="B52" s="163" t="s">
        <v>655</v>
      </c>
      <c r="Y52" s="346"/>
    </row>
    <row r="53" spans="1:25" ht="15.75" customHeight="1" x14ac:dyDescent="0.3">
      <c r="A53" s="164" t="s">
        <v>360</v>
      </c>
      <c r="B53" s="165">
        <v>43224</v>
      </c>
      <c r="Y53" s="300"/>
    </row>
    <row r="54" spans="1:25" ht="15.75" customHeight="1" x14ac:dyDescent="0.3">
      <c r="L54" s="320" t="s">
        <v>153</v>
      </c>
      <c r="M54" s="297"/>
      <c r="N54" s="297"/>
      <c r="O54" s="297"/>
      <c r="P54" s="297"/>
      <c r="Q54" s="298"/>
      <c r="S54" s="321" t="s">
        <v>154</v>
      </c>
      <c r="T54" s="322"/>
      <c r="U54" s="322"/>
      <c r="V54" s="322"/>
      <c r="W54" s="323"/>
      <c r="Y54" s="300"/>
    </row>
    <row r="55" spans="1:25" ht="15.75" customHeight="1" x14ac:dyDescent="0.2">
      <c r="A55" s="156" t="s">
        <v>0</v>
      </c>
      <c r="B55" s="157" t="s">
        <v>1</v>
      </c>
      <c r="C55" s="157" t="s">
        <v>42</v>
      </c>
      <c r="D55" s="157" t="s">
        <v>43</v>
      </c>
      <c r="E55" s="157" t="s">
        <v>44</v>
      </c>
      <c r="G55" s="296" t="s">
        <v>45</v>
      </c>
      <c r="H55" s="297"/>
      <c r="I55" s="297"/>
      <c r="J55" s="298"/>
      <c r="L55" s="311" t="s">
        <v>157</v>
      </c>
      <c r="M55" s="312"/>
      <c r="N55" s="312"/>
      <c r="O55" s="312"/>
      <c r="P55" s="312"/>
      <c r="Q55" s="313"/>
      <c r="S55" s="325" t="s">
        <v>157</v>
      </c>
      <c r="T55" s="297"/>
      <c r="U55" s="297"/>
      <c r="V55" s="297"/>
      <c r="W55" s="298"/>
      <c r="Y55" s="300"/>
    </row>
    <row r="56" spans="1:25" ht="15.75" customHeight="1" x14ac:dyDescent="0.2">
      <c r="A56" s="310" t="s">
        <v>8</v>
      </c>
      <c r="B56" s="297"/>
      <c r="C56" s="297"/>
      <c r="D56" s="297"/>
      <c r="E56" s="298"/>
      <c r="G56" s="305" t="s">
        <v>10</v>
      </c>
      <c r="H56" s="297"/>
      <c r="I56" s="297"/>
      <c r="J56" s="298"/>
      <c r="L56" s="317"/>
      <c r="M56" s="318"/>
      <c r="N56" s="318"/>
      <c r="O56" s="318"/>
      <c r="P56" s="318"/>
      <c r="Q56" s="319"/>
      <c r="S56" s="58" t="s">
        <v>160</v>
      </c>
      <c r="T56" s="59" t="s">
        <v>161</v>
      </c>
      <c r="U56" s="59" t="s">
        <v>162</v>
      </c>
      <c r="V56" s="61" t="s">
        <v>163</v>
      </c>
      <c r="W56" s="62" t="s">
        <v>165</v>
      </c>
      <c r="Y56" s="300"/>
    </row>
    <row r="57" spans="1:25" ht="15.75" customHeight="1" x14ac:dyDescent="0.25">
      <c r="A57" s="9" t="s">
        <v>11</v>
      </c>
      <c r="B57" s="9" t="s">
        <v>12</v>
      </c>
      <c r="C57" s="11">
        <v>930</v>
      </c>
      <c r="D57" s="22">
        <v>927</v>
      </c>
      <c r="E57" s="11">
        <v>625</v>
      </c>
      <c r="G57" s="12"/>
      <c r="H57" s="12" t="s">
        <v>52</v>
      </c>
      <c r="I57" s="12" t="s">
        <v>53</v>
      </c>
      <c r="J57" s="12"/>
      <c r="L57" s="63" t="s">
        <v>168</v>
      </c>
      <c r="M57" s="64" t="s">
        <v>169</v>
      </c>
      <c r="N57" s="64" t="s">
        <v>171</v>
      </c>
      <c r="O57" s="64" t="s">
        <v>172</v>
      </c>
      <c r="P57" s="65" t="s">
        <v>173</v>
      </c>
      <c r="Q57" s="66" t="s">
        <v>175</v>
      </c>
      <c r="S57" s="63" t="s">
        <v>176</v>
      </c>
      <c r="T57" s="67">
        <v>0.308</v>
      </c>
      <c r="U57" s="68">
        <v>1.5</v>
      </c>
      <c r="V57" s="70">
        <f t="shared" ref="V57:V61" si="4">+U57/T57</f>
        <v>4.8701298701298699</v>
      </c>
      <c r="W57" s="72"/>
      <c r="X57" s="21" t="s">
        <v>1340</v>
      </c>
      <c r="Y57" s="300"/>
    </row>
    <row r="58" spans="1:25" ht="15.75" customHeight="1" x14ac:dyDescent="0.25">
      <c r="A58" s="9" t="s">
        <v>11</v>
      </c>
      <c r="B58" s="12" t="s">
        <v>18</v>
      </c>
      <c r="C58" s="11">
        <v>0</v>
      </c>
      <c r="D58" s="22">
        <v>0</v>
      </c>
      <c r="E58" s="11">
        <v>0</v>
      </c>
      <c r="G58" s="12" t="s">
        <v>12</v>
      </c>
      <c r="H58" s="17">
        <v>930</v>
      </c>
      <c r="I58" s="11">
        <v>625</v>
      </c>
      <c r="J58" s="17" t="s">
        <v>1380</v>
      </c>
      <c r="L58" s="73">
        <v>440</v>
      </c>
      <c r="M58" s="74">
        <v>64</v>
      </c>
      <c r="N58" s="74">
        <f>+U57</f>
        <v>1.5</v>
      </c>
      <c r="O58" s="76">
        <f>+U60</f>
        <v>5.3999999999999999E-2</v>
      </c>
      <c r="P58" s="77">
        <f>+U58</f>
        <v>0.83299999999999996</v>
      </c>
      <c r="Q58" s="78">
        <f>(L58-M58)*(N58-O58)/(P58-O58)+M58</f>
        <v>761.9409499358153</v>
      </c>
      <c r="S58" s="80" t="s">
        <v>188</v>
      </c>
      <c r="T58" s="74">
        <v>0.49399999999999999</v>
      </c>
      <c r="U58" s="82">
        <v>0.83299999999999996</v>
      </c>
      <c r="V58" s="84">
        <f t="shared" si="4"/>
        <v>1.6862348178137652</v>
      </c>
      <c r="W58" s="86">
        <f>(U58-U60)/(U57-U60)</f>
        <v>0.5387275242047026</v>
      </c>
      <c r="X58" s="21">
        <v>0.31</v>
      </c>
      <c r="Y58" s="300"/>
    </row>
    <row r="59" spans="1:25" ht="15.75" customHeight="1" x14ac:dyDescent="0.25">
      <c r="A59" s="9" t="s">
        <v>21</v>
      </c>
      <c r="B59" s="12" t="s">
        <v>59</v>
      </c>
      <c r="C59" s="11">
        <v>440</v>
      </c>
      <c r="D59" s="22">
        <v>513</v>
      </c>
      <c r="E59" s="11">
        <v>437</v>
      </c>
      <c r="G59" s="12" t="s">
        <v>18</v>
      </c>
      <c r="H59" s="17">
        <v>0</v>
      </c>
      <c r="I59" s="11">
        <v>0</v>
      </c>
      <c r="J59" s="17" t="s">
        <v>1385</v>
      </c>
      <c r="L59" s="73" t="s">
        <v>168</v>
      </c>
      <c r="M59" s="74" t="s">
        <v>171</v>
      </c>
      <c r="N59" s="74" t="s">
        <v>190</v>
      </c>
      <c r="O59" s="74" t="s">
        <v>191</v>
      </c>
      <c r="P59" s="77" t="s">
        <v>173</v>
      </c>
      <c r="Q59" s="87" t="s">
        <v>192</v>
      </c>
      <c r="S59" s="80" t="s">
        <v>193</v>
      </c>
      <c r="T59" s="74">
        <v>0.30299999999999999</v>
      </c>
      <c r="U59" s="82">
        <v>0.35899999999999999</v>
      </c>
      <c r="V59" s="84">
        <f t="shared" si="4"/>
        <v>1.1848184818481848</v>
      </c>
      <c r="W59" s="86">
        <f>(U59-U60)/(U57-U60)</f>
        <v>0.21092669432918396</v>
      </c>
      <c r="Y59" s="300"/>
    </row>
    <row r="60" spans="1:25" ht="15.75" customHeight="1" x14ac:dyDescent="0.25">
      <c r="A60" s="49" t="s">
        <v>21</v>
      </c>
      <c r="B60" s="10" t="s">
        <v>63</v>
      </c>
      <c r="C60" s="51">
        <v>160</v>
      </c>
      <c r="D60" s="169">
        <v>207</v>
      </c>
      <c r="E60" s="51">
        <v>168</v>
      </c>
      <c r="G60" s="305" t="s">
        <v>23</v>
      </c>
      <c r="H60" s="297"/>
      <c r="I60" s="297"/>
      <c r="J60" s="298"/>
      <c r="L60" s="73">
        <v>160</v>
      </c>
      <c r="M60" s="74">
        <f>+U57</f>
        <v>1.5</v>
      </c>
      <c r="N60" s="76">
        <f>+U60</f>
        <v>5.3999999999999999E-2</v>
      </c>
      <c r="O60" s="89">
        <f>+Q58</f>
        <v>761.9409499358153</v>
      </c>
      <c r="P60" s="77">
        <f>+U59</f>
        <v>0.35899999999999999</v>
      </c>
      <c r="Q60" s="90">
        <f>(L60*(M60-N60)-O60*(P60-N60))/(M60-P60)</f>
        <v>-0.90446076286036348</v>
      </c>
      <c r="S60" s="80" t="s">
        <v>194</v>
      </c>
      <c r="T60" s="67">
        <v>0.308</v>
      </c>
      <c r="U60" s="91">
        <v>5.3999999999999999E-2</v>
      </c>
      <c r="V60" s="84">
        <f t="shared" si="4"/>
        <v>0.17532467532467533</v>
      </c>
      <c r="W60" s="86"/>
      <c r="Y60" s="300"/>
    </row>
    <row r="61" spans="1:25" ht="15.75" customHeight="1" x14ac:dyDescent="0.25">
      <c r="A61" s="310" t="s">
        <v>29</v>
      </c>
      <c r="B61" s="297"/>
      <c r="C61" s="297"/>
      <c r="D61" s="297"/>
      <c r="E61" s="298"/>
      <c r="G61" s="12" t="s">
        <v>12</v>
      </c>
      <c r="H61" s="17">
        <v>890</v>
      </c>
      <c r="I61" s="11">
        <v>595</v>
      </c>
      <c r="J61" s="17" t="s">
        <v>1388</v>
      </c>
      <c r="L61" s="80" t="s">
        <v>196</v>
      </c>
      <c r="M61" s="93"/>
      <c r="N61" s="93"/>
      <c r="O61" s="93"/>
      <c r="P61" s="94"/>
      <c r="Q61" s="95"/>
      <c r="S61" s="96" t="s">
        <v>197</v>
      </c>
      <c r="T61" s="97">
        <v>0.25</v>
      </c>
      <c r="U61" s="99">
        <v>0.109</v>
      </c>
      <c r="V61" s="100">
        <f t="shared" si="4"/>
        <v>0.436</v>
      </c>
      <c r="W61" s="101">
        <f>+(U61-U60)/(U57-U60)</f>
        <v>3.8035961272475799E-2</v>
      </c>
      <c r="Y61" s="300"/>
    </row>
    <row r="62" spans="1:25" ht="15.75" customHeight="1" x14ac:dyDescent="0.2">
      <c r="A62" s="9" t="s">
        <v>11</v>
      </c>
      <c r="B62" s="9" t="s">
        <v>12</v>
      </c>
      <c r="C62" s="11">
        <v>900</v>
      </c>
      <c r="D62" s="22">
        <v>894</v>
      </c>
      <c r="E62" s="22">
        <v>595</v>
      </c>
      <c r="G62" s="12" t="s">
        <v>18</v>
      </c>
      <c r="H62" s="17">
        <v>0</v>
      </c>
      <c r="I62" s="11">
        <v>0</v>
      </c>
      <c r="J62" s="17" t="s">
        <v>1389</v>
      </c>
      <c r="L62" s="80" t="s">
        <v>199</v>
      </c>
      <c r="M62" s="93" t="s">
        <v>169</v>
      </c>
      <c r="N62" s="93" t="s">
        <v>200</v>
      </c>
      <c r="O62" s="93" t="s">
        <v>201</v>
      </c>
      <c r="P62" s="94" t="s">
        <v>191</v>
      </c>
      <c r="Q62" s="87" t="s">
        <v>202</v>
      </c>
      <c r="S62" s="311" t="s">
        <v>203</v>
      </c>
      <c r="T62" s="312"/>
      <c r="U62" s="312"/>
      <c r="V62" s="312"/>
      <c r="W62" s="313"/>
      <c r="Y62" s="300"/>
    </row>
    <row r="63" spans="1:25" ht="15.75" customHeight="1" x14ac:dyDescent="0.2">
      <c r="A63" s="9" t="s">
        <v>11</v>
      </c>
      <c r="B63" s="12" t="s">
        <v>18</v>
      </c>
      <c r="C63" s="11">
        <v>0</v>
      </c>
      <c r="D63" s="22">
        <v>0</v>
      </c>
      <c r="E63" s="22">
        <v>0</v>
      </c>
      <c r="L63" s="102">
        <f>+U61</f>
        <v>0.109</v>
      </c>
      <c r="M63" s="103">
        <f>+Q60</f>
        <v>-0.90446076286036348</v>
      </c>
      <c r="N63" s="97">
        <f>+U57</f>
        <v>1.5</v>
      </c>
      <c r="O63" s="104">
        <f>+U60</f>
        <v>5.3999999999999999E-2</v>
      </c>
      <c r="P63" s="105">
        <f>+Q58</f>
        <v>761.9409499358153</v>
      </c>
      <c r="Q63" s="106">
        <f>M63+(P63-M63)*(L63-O63)/(N63-O63)</f>
        <v>28.111097735360357</v>
      </c>
      <c r="S63" s="314"/>
      <c r="T63" s="315"/>
      <c r="U63" s="315"/>
      <c r="V63" s="315"/>
      <c r="W63" s="316"/>
      <c r="Y63" s="300"/>
    </row>
    <row r="64" spans="1:25" ht="15.75" customHeight="1" x14ac:dyDescent="0.2">
      <c r="A64" s="9" t="s">
        <v>21</v>
      </c>
      <c r="B64" s="12" t="s">
        <v>59</v>
      </c>
      <c r="C64" s="11">
        <v>420</v>
      </c>
      <c r="D64" s="22">
        <v>463</v>
      </c>
      <c r="E64" s="22">
        <v>410</v>
      </c>
      <c r="L64" s="311" t="s">
        <v>204</v>
      </c>
      <c r="M64" s="312"/>
      <c r="N64" s="312"/>
      <c r="O64" s="312"/>
      <c r="P64" s="312"/>
      <c r="Q64" s="313"/>
      <c r="S64" s="317"/>
      <c r="T64" s="318"/>
      <c r="U64" s="318"/>
      <c r="V64" s="318"/>
      <c r="W64" s="319"/>
      <c r="Y64" s="300"/>
    </row>
    <row r="65" spans="1:26" ht="15.75" customHeight="1" x14ac:dyDescent="0.2">
      <c r="A65" s="9" t="s">
        <v>21</v>
      </c>
      <c r="B65" s="12" t="s">
        <v>63</v>
      </c>
      <c r="C65" s="11">
        <v>140</v>
      </c>
      <c r="D65" s="22">
        <v>163</v>
      </c>
      <c r="E65" s="22">
        <v>143</v>
      </c>
      <c r="L65" s="317"/>
      <c r="M65" s="318"/>
      <c r="N65" s="318"/>
      <c r="O65" s="318"/>
      <c r="P65" s="318"/>
      <c r="Q65" s="319"/>
      <c r="S65" s="58" t="s">
        <v>160</v>
      </c>
      <c r="T65" s="59" t="s">
        <v>161</v>
      </c>
      <c r="U65" s="59" t="s">
        <v>162</v>
      </c>
      <c r="V65" s="61" t="s">
        <v>163</v>
      </c>
      <c r="W65" s="62" t="s">
        <v>165</v>
      </c>
      <c r="Y65" s="300"/>
    </row>
    <row r="66" spans="1:26" ht="15.75" customHeight="1" x14ac:dyDescent="0.25">
      <c r="L66" s="63" t="s">
        <v>168</v>
      </c>
      <c r="M66" s="64" t="s">
        <v>169</v>
      </c>
      <c r="N66" s="64" t="s">
        <v>171</v>
      </c>
      <c r="O66" s="64" t="s">
        <v>172</v>
      </c>
      <c r="P66" s="65" t="s">
        <v>173</v>
      </c>
      <c r="Q66" s="66" t="s">
        <v>175</v>
      </c>
      <c r="S66" s="63" t="s">
        <v>176</v>
      </c>
      <c r="T66" s="67">
        <v>0.45100000000000001</v>
      </c>
      <c r="U66" s="68">
        <v>3.3679999999999999</v>
      </c>
      <c r="V66" s="70">
        <f t="shared" ref="V66:V70" si="5">+U66/T66</f>
        <v>7.4678492239467849</v>
      </c>
      <c r="W66" s="107"/>
      <c r="Y66" s="300"/>
    </row>
    <row r="67" spans="1:26" ht="15.75" customHeight="1" x14ac:dyDescent="0.25">
      <c r="L67" s="73">
        <v>420</v>
      </c>
      <c r="M67" s="74">
        <v>23.8</v>
      </c>
      <c r="N67" s="74">
        <f>+U66</f>
        <v>3.3679999999999999</v>
      </c>
      <c r="O67" s="76">
        <f>+U69</f>
        <v>3.125</v>
      </c>
      <c r="P67" s="77">
        <f>+U67</f>
        <v>3.327</v>
      </c>
      <c r="Q67" s="108">
        <f>(L67-M67)*(N67-O67)/(P67-O67)+M67</f>
        <v>500.41683168316814</v>
      </c>
      <c r="S67" s="80" t="s">
        <v>188</v>
      </c>
      <c r="T67" s="74">
        <v>0.44700000000000001</v>
      </c>
      <c r="U67" s="82">
        <v>3.327</v>
      </c>
      <c r="V67" s="84">
        <f t="shared" si="5"/>
        <v>7.4429530201342278</v>
      </c>
      <c r="W67" s="86">
        <f>(U67-U69)/(U66-U69)</f>
        <v>0.83127572016460927</v>
      </c>
      <c r="Y67" s="300"/>
    </row>
    <row r="68" spans="1:26" ht="15.75" customHeight="1" x14ac:dyDescent="0.25">
      <c r="L68" s="73" t="s">
        <v>168</v>
      </c>
      <c r="M68" s="74" t="s">
        <v>171</v>
      </c>
      <c r="N68" s="74" t="s">
        <v>190</v>
      </c>
      <c r="O68" s="74" t="s">
        <v>191</v>
      </c>
      <c r="P68" s="77" t="s">
        <v>173</v>
      </c>
      <c r="Q68" s="87" t="s">
        <v>192</v>
      </c>
      <c r="S68" s="80" t="s">
        <v>193</v>
      </c>
      <c r="T68" s="74">
        <v>0.35099999999999998</v>
      </c>
      <c r="U68" s="91">
        <v>3.2629999999999999</v>
      </c>
      <c r="V68" s="84">
        <f t="shared" si="5"/>
        <v>9.2962962962962958</v>
      </c>
      <c r="W68" s="86">
        <f>(U68-U69)/(U66-U69)</f>
        <v>0.56790123456790109</v>
      </c>
      <c r="Y68" s="300"/>
    </row>
    <row r="69" spans="1:26" ht="15.75" customHeight="1" x14ac:dyDescent="0.25">
      <c r="L69" s="73">
        <v>140</v>
      </c>
      <c r="M69" s="74">
        <f>+U66</f>
        <v>3.3679999999999999</v>
      </c>
      <c r="N69" s="76">
        <f>+U69</f>
        <v>3.125</v>
      </c>
      <c r="O69" s="74">
        <f>+Q67</f>
        <v>500.41683168316814</v>
      </c>
      <c r="P69" s="109">
        <f>+U68</f>
        <v>3.2629999999999999</v>
      </c>
      <c r="Q69" s="78">
        <f>(L69*(M69-N69)-O69*(P69-N69))/(M69-P69)</f>
        <v>-333.69069306930646</v>
      </c>
      <c r="S69" s="80" t="s">
        <v>194</v>
      </c>
      <c r="T69" s="74">
        <v>0.30199999999999999</v>
      </c>
      <c r="U69" s="91">
        <v>3.125</v>
      </c>
      <c r="V69" s="84">
        <f t="shared" si="5"/>
        <v>10.347682119205299</v>
      </c>
      <c r="W69" s="86"/>
      <c r="Y69" s="300"/>
    </row>
    <row r="70" spans="1:26" ht="15.75" customHeight="1" x14ac:dyDescent="0.25">
      <c r="L70" s="80" t="s">
        <v>196</v>
      </c>
      <c r="M70" s="93"/>
      <c r="N70" s="93"/>
      <c r="O70" s="93"/>
      <c r="P70" s="94"/>
      <c r="Q70" s="95"/>
      <c r="S70" s="111" t="s">
        <v>197</v>
      </c>
      <c r="T70" s="112">
        <v>0.317</v>
      </c>
      <c r="U70" s="113">
        <v>0.72299999999999998</v>
      </c>
      <c r="V70" s="114">
        <f t="shared" si="5"/>
        <v>2.2807570977917981</v>
      </c>
      <c r="W70" s="115">
        <f>+(U70-U69)/(U66-U69)</f>
        <v>-9.8847736625514457</v>
      </c>
      <c r="Y70" s="300"/>
    </row>
    <row r="71" spans="1:26" ht="15.75" customHeight="1" x14ac:dyDescent="0.2">
      <c r="L71" s="80" t="s">
        <v>199</v>
      </c>
      <c r="M71" s="93" t="s">
        <v>169</v>
      </c>
      <c r="N71" s="93" t="s">
        <v>200</v>
      </c>
      <c r="O71" s="93" t="s">
        <v>201</v>
      </c>
      <c r="P71" s="94" t="s">
        <v>191</v>
      </c>
      <c r="Q71" s="87" t="s">
        <v>202</v>
      </c>
      <c r="Y71" s="300"/>
    </row>
    <row r="72" spans="1:26" ht="15.75" customHeight="1" x14ac:dyDescent="0.2">
      <c r="L72" s="116">
        <f>+U70</f>
        <v>0.72299999999999998</v>
      </c>
      <c r="M72" s="117">
        <f>+Q69</f>
        <v>-333.69069306930646</v>
      </c>
      <c r="N72" s="112">
        <f>+U66</f>
        <v>3.3679999999999999</v>
      </c>
      <c r="O72" s="118">
        <f>+U69</f>
        <v>3.125</v>
      </c>
      <c r="P72" s="119">
        <f>+Q67</f>
        <v>500.41683168316814</v>
      </c>
      <c r="Q72" s="78">
        <f>M72+(P72-M72)*(L72-O72)/(N72-O72)</f>
        <v>-8578.654785478544</v>
      </c>
      <c r="T72" s="121"/>
      <c r="Y72" s="300"/>
    </row>
    <row r="73" spans="1:26" ht="15.75" customHeight="1" x14ac:dyDescent="0.2">
      <c r="Y73" s="301"/>
    </row>
    <row r="74" spans="1:26" ht="15.75" customHeight="1" x14ac:dyDescent="0.2"/>
    <row r="75" spans="1:26" ht="15.75" customHeight="1" x14ac:dyDescent="0.2"/>
    <row r="76" spans="1:26" ht="15.75" customHeight="1" x14ac:dyDescent="0.25">
      <c r="A76" s="345"/>
      <c r="B76" s="297"/>
      <c r="C76" s="297"/>
      <c r="D76" s="297"/>
      <c r="E76" s="297"/>
      <c r="F76" s="297"/>
      <c r="G76" s="297"/>
      <c r="H76" s="297"/>
      <c r="I76" s="297"/>
      <c r="J76" s="297"/>
      <c r="K76" s="297"/>
      <c r="L76" s="297"/>
      <c r="M76" s="297"/>
      <c r="N76" s="297"/>
      <c r="O76" s="297"/>
      <c r="P76" s="297"/>
      <c r="Q76" s="297"/>
      <c r="R76" s="297"/>
      <c r="S76" s="297"/>
      <c r="T76" s="297"/>
      <c r="U76" s="297"/>
      <c r="V76" s="297"/>
      <c r="W76" s="297"/>
      <c r="X76" s="297"/>
      <c r="Y76" s="298"/>
      <c r="Z76" s="28"/>
    </row>
    <row r="77" spans="1:26" ht="15.75" customHeight="1" x14ac:dyDescent="0.3">
      <c r="A77" s="161" t="s">
        <v>353</v>
      </c>
      <c r="B77" s="163" t="s">
        <v>675</v>
      </c>
      <c r="C77" s="28"/>
      <c r="D77" s="28"/>
      <c r="E77" s="28"/>
      <c r="F77" s="28"/>
      <c r="G77" s="28"/>
      <c r="H77" s="28"/>
      <c r="I77" s="28"/>
      <c r="J77" s="28"/>
      <c r="K77" s="28"/>
      <c r="L77" s="28"/>
      <c r="M77" s="28"/>
      <c r="N77" s="28"/>
      <c r="O77" s="28"/>
      <c r="P77" s="28"/>
      <c r="Q77" s="28"/>
      <c r="R77" s="28"/>
      <c r="S77" s="28"/>
      <c r="T77" s="28"/>
      <c r="U77" s="28"/>
      <c r="V77" s="28"/>
      <c r="W77" s="28"/>
      <c r="X77" s="28"/>
      <c r="Y77" s="346"/>
      <c r="Z77" s="28"/>
    </row>
    <row r="78" spans="1:26" ht="15.75" customHeight="1" x14ac:dyDescent="0.3">
      <c r="A78" s="164" t="s">
        <v>360</v>
      </c>
      <c r="B78" s="165"/>
      <c r="C78" s="28"/>
      <c r="D78" s="28"/>
      <c r="E78" s="28"/>
      <c r="F78" s="28"/>
      <c r="G78" s="28"/>
      <c r="H78" s="28"/>
      <c r="I78" s="28"/>
      <c r="J78" s="28"/>
      <c r="K78" s="28"/>
      <c r="L78" s="28"/>
      <c r="M78" s="28"/>
      <c r="N78" s="28"/>
      <c r="O78" s="28"/>
      <c r="P78" s="28"/>
      <c r="Q78" s="28"/>
      <c r="R78" s="28"/>
      <c r="S78" s="28"/>
      <c r="T78" s="28"/>
      <c r="U78" s="28"/>
      <c r="V78" s="28"/>
      <c r="W78" s="28"/>
      <c r="X78" s="28"/>
      <c r="Y78" s="300"/>
      <c r="Z78" s="28"/>
    </row>
    <row r="79" spans="1:26" ht="15.75" customHeight="1" x14ac:dyDescent="0.3">
      <c r="A79" s="28"/>
      <c r="B79" s="28"/>
      <c r="C79" s="28"/>
      <c r="D79" s="28"/>
      <c r="E79" s="28"/>
      <c r="F79" s="28"/>
      <c r="G79" s="28"/>
      <c r="H79" s="28"/>
      <c r="I79" s="28"/>
      <c r="J79" s="28"/>
      <c r="K79" s="28"/>
      <c r="L79" s="320" t="s">
        <v>153</v>
      </c>
      <c r="M79" s="297"/>
      <c r="N79" s="297"/>
      <c r="O79" s="297"/>
      <c r="P79" s="297"/>
      <c r="Q79" s="298"/>
      <c r="R79" s="28"/>
      <c r="S79" s="321" t="s">
        <v>154</v>
      </c>
      <c r="T79" s="322"/>
      <c r="U79" s="322"/>
      <c r="V79" s="322"/>
      <c r="W79" s="323"/>
      <c r="X79" s="28"/>
      <c r="Y79" s="300"/>
      <c r="Z79" s="28"/>
    </row>
    <row r="80" spans="1:26" ht="15.75" customHeight="1" x14ac:dyDescent="0.25">
      <c r="A80" s="156" t="s">
        <v>0</v>
      </c>
      <c r="B80" s="157" t="s">
        <v>1</v>
      </c>
      <c r="C80" s="157" t="s">
        <v>42</v>
      </c>
      <c r="D80" s="157" t="s">
        <v>43</v>
      </c>
      <c r="E80" s="157" t="s">
        <v>44</v>
      </c>
      <c r="F80" s="28"/>
      <c r="G80" s="296" t="s">
        <v>45</v>
      </c>
      <c r="H80" s="297"/>
      <c r="I80" s="297"/>
      <c r="J80" s="298"/>
      <c r="K80" s="28"/>
      <c r="L80" s="311" t="s">
        <v>157</v>
      </c>
      <c r="M80" s="312"/>
      <c r="N80" s="312"/>
      <c r="O80" s="312"/>
      <c r="P80" s="312"/>
      <c r="Q80" s="313"/>
      <c r="R80" s="28"/>
      <c r="S80" s="325" t="s">
        <v>157</v>
      </c>
      <c r="T80" s="297"/>
      <c r="U80" s="297"/>
      <c r="V80" s="297"/>
      <c r="W80" s="298"/>
      <c r="X80" s="28"/>
      <c r="Y80" s="300"/>
      <c r="Z80" s="28"/>
    </row>
    <row r="81" spans="1:26" ht="15.75" customHeight="1" x14ac:dyDescent="0.25">
      <c r="A81" s="310" t="s">
        <v>8</v>
      </c>
      <c r="B81" s="297"/>
      <c r="C81" s="297"/>
      <c r="D81" s="297"/>
      <c r="E81" s="298"/>
      <c r="F81" s="28"/>
      <c r="G81" s="305" t="s">
        <v>10</v>
      </c>
      <c r="H81" s="297"/>
      <c r="I81" s="297"/>
      <c r="J81" s="298"/>
      <c r="K81" s="28"/>
      <c r="L81" s="317"/>
      <c r="M81" s="318"/>
      <c r="N81" s="318"/>
      <c r="O81" s="318"/>
      <c r="P81" s="318"/>
      <c r="Q81" s="319"/>
      <c r="R81" s="28"/>
      <c r="S81" s="58" t="s">
        <v>160</v>
      </c>
      <c r="T81" s="59" t="s">
        <v>161</v>
      </c>
      <c r="U81" s="59" t="s">
        <v>162</v>
      </c>
      <c r="V81" s="61" t="s">
        <v>163</v>
      </c>
      <c r="W81" s="62" t="s">
        <v>165</v>
      </c>
      <c r="X81" s="28"/>
      <c r="Y81" s="300"/>
      <c r="Z81" s="28"/>
    </row>
    <row r="82" spans="1:26" ht="15.75" customHeight="1" x14ac:dyDescent="0.25">
      <c r="A82" s="9" t="s">
        <v>11</v>
      </c>
      <c r="B82" s="9" t="s">
        <v>12</v>
      </c>
      <c r="C82" s="11"/>
      <c r="D82" s="22">
        <v>500</v>
      </c>
      <c r="E82" s="11">
        <v>420</v>
      </c>
      <c r="F82" s="28"/>
      <c r="G82" s="12"/>
      <c r="H82" s="12" t="s">
        <v>52</v>
      </c>
      <c r="I82" s="12" t="s">
        <v>53</v>
      </c>
      <c r="J82" s="12"/>
      <c r="K82" s="28"/>
      <c r="L82" s="63" t="s">
        <v>168</v>
      </c>
      <c r="M82" s="64" t="s">
        <v>169</v>
      </c>
      <c r="N82" s="64" t="s">
        <v>171</v>
      </c>
      <c r="O82" s="64" t="s">
        <v>172</v>
      </c>
      <c r="P82" s="65" t="s">
        <v>173</v>
      </c>
      <c r="Q82" s="66" t="s">
        <v>175</v>
      </c>
      <c r="R82" s="28"/>
      <c r="S82" s="63" t="s">
        <v>176</v>
      </c>
      <c r="T82" s="67">
        <v>0.50800000000000001</v>
      </c>
      <c r="U82" s="68">
        <v>2.4900000000000002</v>
      </c>
      <c r="V82" s="70">
        <f t="shared" ref="V82:V86" si="6">+U82/T82</f>
        <v>4.9015748031496065</v>
      </c>
      <c r="W82" s="72"/>
      <c r="X82" s="28" t="s">
        <v>1340</v>
      </c>
      <c r="Y82" s="300"/>
      <c r="Z82" s="28"/>
    </row>
    <row r="83" spans="1:26" ht="15.75" customHeight="1" x14ac:dyDescent="0.25">
      <c r="A83" s="9" t="s">
        <v>11</v>
      </c>
      <c r="B83" s="12" t="s">
        <v>18</v>
      </c>
      <c r="C83" s="11">
        <v>0</v>
      </c>
      <c r="D83" s="22">
        <v>0</v>
      </c>
      <c r="E83" s="11">
        <v>0</v>
      </c>
      <c r="F83" s="28"/>
      <c r="G83" s="12" t="s">
        <v>12</v>
      </c>
      <c r="H83" s="17">
        <v>487</v>
      </c>
      <c r="I83" s="11">
        <v>420</v>
      </c>
      <c r="J83" s="17" t="s">
        <v>1398</v>
      </c>
      <c r="K83" s="28"/>
      <c r="L83" s="73">
        <v>440</v>
      </c>
      <c r="M83" s="74">
        <v>64</v>
      </c>
      <c r="N83" s="74">
        <f>+U82</f>
        <v>2.4900000000000002</v>
      </c>
      <c r="O83" s="76">
        <f>+U85</f>
        <v>0</v>
      </c>
      <c r="P83" s="77">
        <f>+U83</f>
        <v>2.3439999999999999</v>
      </c>
      <c r="Q83" s="78">
        <f>(L83-M83)*(N83-O83)/(P83-O83)+M83</f>
        <v>463.41979522184306</v>
      </c>
      <c r="R83" s="28"/>
      <c r="S83" s="80" t="s">
        <v>188</v>
      </c>
      <c r="T83" s="74">
        <v>0.49399999999999999</v>
      </c>
      <c r="U83" s="82">
        <v>2.3439999999999999</v>
      </c>
      <c r="V83" s="84">
        <f t="shared" si="6"/>
        <v>4.7449392712550607</v>
      </c>
      <c r="W83" s="86">
        <f>(U83-U85)/(U82-U85)</f>
        <v>0.94136546184738945</v>
      </c>
      <c r="X83" s="28">
        <v>0.31</v>
      </c>
      <c r="Y83" s="300"/>
      <c r="Z83" s="28"/>
    </row>
    <row r="84" spans="1:26" ht="15.75" customHeight="1" x14ac:dyDescent="0.25">
      <c r="A84" s="9" t="s">
        <v>21</v>
      </c>
      <c r="B84" s="12" t="s">
        <v>59</v>
      </c>
      <c r="C84" s="11">
        <v>440</v>
      </c>
      <c r="D84" s="22">
        <v>518</v>
      </c>
      <c r="E84" s="11">
        <v>438</v>
      </c>
      <c r="F84" s="28"/>
      <c r="G84" s="12" t="s">
        <v>18</v>
      </c>
      <c r="H84" s="17"/>
      <c r="I84" s="11">
        <v>0</v>
      </c>
      <c r="J84" s="17" t="s">
        <v>1399</v>
      </c>
      <c r="K84" s="28"/>
      <c r="L84" s="73" t="s">
        <v>168</v>
      </c>
      <c r="M84" s="74" t="s">
        <v>171</v>
      </c>
      <c r="N84" s="74" t="s">
        <v>190</v>
      </c>
      <c r="O84" s="74" t="s">
        <v>191</v>
      </c>
      <c r="P84" s="77" t="s">
        <v>173</v>
      </c>
      <c r="Q84" s="87" t="s">
        <v>192</v>
      </c>
      <c r="R84" s="28"/>
      <c r="S84" s="80" t="s">
        <v>193</v>
      </c>
      <c r="T84" s="74">
        <v>0.30299999999999999</v>
      </c>
      <c r="U84" s="82">
        <v>0.59699999999999998</v>
      </c>
      <c r="V84" s="84">
        <f t="shared" si="6"/>
        <v>1.9702970297029703</v>
      </c>
      <c r="W84" s="86">
        <f>(U84-U85)/(U82-U85)</f>
        <v>0.23975903614457827</v>
      </c>
      <c r="X84" s="28"/>
      <c r="Y84" s="300"/>
      <c r="Z84" s="28"/>
    </row>
    <row r="85" spans="1:26" ht="15.75" customHeight="1" x14ac:dyDescent="0.25">
      <c r="A85" s="9" t="s">
        <v>21</v>
      </c>
      <c r="B85" s="10" t="s">
        <v>63</v>
      </c>
      <c r="C85" s="11">
        <v>160</v>
      </c>
      <c r="D85" s="22">
        <v>186</v>
      </c>
      <c r="E85" s="11">
        <v>150</v>
      </c>
      <c r="F85" s="28"/>
      <c r="G85" s="305" t="s">
        <v>23</v>
      </c>
      <c r="H85" s="297"/>
      <c r="I85" s="297"/>
      <c r="J85" s="298"/>
      <c r="K85" s="28"/>
      <c r="L85" s="73">
        <v>160</v>
      </c>
      <c r="M85" s="74">
        <f>+U82</f>
        <v>2.4900000000000002</v>
      </c>
      <c r="N85" s="76">
        <f>+U85</f>
        <v>0</v>
      </c>
      <c r="O85" s="89">
        <f>+Q83</f>
        <v>463.41979522184306</v>
      </c>
      <c r="P85" s="77">
        <f>+U84</f>
        <v>0.59699999999999998</v>
      </c>
      <c r="Q85" s="90">
        <f>(L85*(M85-N85)-O85*(P85-N85))/(M85-P85)</f>
        <v>64.309763472033666</v>
      </c>
      <c r="R85" s="28"/>
      <c r="S85" s="80" t="s">
        <v>194</v>
      </c>
      <c r="T85" s="74">
        <v>0.22800000000000001</v>
      </c>
      <c r="U85" s="91">
        <v>0</v>
      </c>
      <c r="V85" s="84">
        <f t="shared" si="6"/>
        <v>0</v>
      </c>
      <c r="W85" s="86"/>
      <c r="X85" s="28"/>
      <c r="Y85" s="300"/>
      <c r="Z85" s="28"/>
    </row>
    <row r="86" spans="1:26" ht="15.75" customHeight="1" x14ac:dyDescent="0.25">
      <c r="A86" s="9" t="s">
        <v>21</v>
      </c>
      <c r="B86" s="10" t="s">
        <v>218</v>
      </c>
      <c r="C86" s="11">
        <v>0</v>
      </c>
      <c r="D86" s="22">
        <v>0</v>
      </c>
      <c r="E86" s="11">
        <v>0</v>
      </c>
      <c r="F86" s="28"/>
      <c r="G86" s="12" t="s">
        <v>12</v>
      </c>
      <c r="H86" s="17">
        <v>470</v>
      </c>
      <c r="I86" s="11" t="s">
        <v>540</v>
      </c>
      <c r="J86" s="17" t="s">
        <v>1400</v>
      </c>
      <c r="K86" s="28"/>
      <c r="L86" s="80" t="s">
        <v>196</v>
      </c>
      <c r="M86" s="93"/>
      <c r="N86" s="93"/>
      <c r="O86" s="93"/>
      <c r="P86" s="94"/>
      <c r="Q86" s="95"/>
      <c r="R86" s="28"/>
      <c r="S86" s="96" t="s">
        <v>197</v>
      </c>
      <c r="T86" s="97">
        <v>0.25</v>
      </c>
      <c r="U86" s="99">
        <v>0.109</v>
      </c>
      <c r="V86" s="100">
        <f t="shared" si="6"/>
        <v>0.436</v>
      </c>
      <c r="W86" s="101">
        <f>+(U86-U85)/(U82-U85)</f>
        <v>4.3775100401606419E-2</v>
      </c>
      <c r="X86" s="28"/>
      <c r="Y86" s="300"/>
      <c r="Z86" s="28"/>
    </row>
    <row r="87" spans="1:26" ht="15.75" customHeight="1" x14ac:dyDescent="0.25">
      <c r="A87" s="310" t="s">
        <v>29</v>
      </c>
      <c r="B87" s="297"/>
      <c r="C87" s="297"/>
      <c r="D87" s="297"/>
      <c r="E87" s="298"/>
      <c r="F87" s="28"/>
      <c r="G87" s="12" t="s">
        <v>18</v>
      </c>
      <c r="H87" s="17" t="s">
        <v>540</v>
      </c>
      <c r="I87" s="11" t="s">
        <v>540</v>
      </c>
      <c r="J87" s="17" t="s">
        <v>1401</v>
      </c>
      <c r="K87" s="28"/>
      <c r="L87" s="80" t="s">
        <v>199</v>
      </c>
      <c r="M87" s="93" t="s">
        <v>169</v>
      </c>
      <c r="N87" s="93" t="s">
        <v>200</v>
      </c>
      <c r="O87" s="93" t="s">
        <v>201</v>
      </c>
      <c r="P87" s="94" t="s">
        <v>191</v>
      </c>
      <c r="Q87" s="87" t="s">
        <v>202</v>
      </c>
      <c r="R87" s="28"/>
      <c r="S87" s="311" t="s">
        <v>203</v>
      </c>
      <c r="T87" s="312"/>
      <c r="U87" s="312"/>
      <c r="V87" s="312"/>
      <c r="W87" s="313"/>
      <c r="X87" s="28"/>
      <c r="Y87" s="300"/>
      <c r="Z87" s="28"/>
    </row>
    <row r="88" spans="1:26" ht="15.75" customHeight="1" x14ac:dyDescent="0.25">
      <c r="A88" s="9" t="s">
        <v>11</v>
      </c>
      <c r="B88" s="9" t="s">
        <v>12</v>
      </c>
      <c r="C88" s="11" t="s">
        <v>540</v>
      </c>
      <c r="D88" s="22">
        <v>470</v>
      </c>
      <c r="E88" s="22">
        <v>385</v>
      </c>
      <c r="F88" s="28"/>
      <c r="G88" s="28"/>
      <c r="H88" s="28"/>
      <c r="I88" s="28"/>
      <c r="J88" s="28"/>
      <c r="K88" s="28"/>
      <c r="L88" s="102">
        <f>+U86</f>
        <v>0.109</v>
      </c>
      <c r="M88" s="103">
        <f>+Q85</f>
        <v>64.309763472033666</v>
      </c>
      <c r="N88" s="97">
        <f>+U82</f>
        <v>2.4900000000000002</v>
      </c>
      <c r="O88" s="104">
        <f>+U85</f>
        <v>0</v>
      </c>
      <c r="P88" s="105">
        <f>+Q83</f>
        <v>463.41979522184306</v>
      </c>
      <c r="Q88" s="106">
        <f>M88+(P88-M88)*(L88-O88)/(N88-O88)</f>
        <v>81.780845183169902</v>
      </c>
      <c r="R88" s="28"/>
      <c r="S88" s="314"/>
      <c r="T88" s="315"/>
      <c r="U88" s="315"/>
      <c r="V88" s="315"/>
      <c r="W88" s="316"/>
      <c r="X88" s="28"/>
      <c r="Y88" s="300"/>
      <c r="Z88" s="28"/>
    </row>
    <row r="89" spans="1:26" ht="15.75" customHeight="1" x14ac:dyDescent="0.25">
      <c r="A89" s="9" t="s">
        <v>11</v>
      </c>
      <c r="B89" s="12" t="s">
        <v>18</v>
      </c>
      <c r="C89" s="11">
        <v>0</v>
      </c>
      <c r="D89" s="22">
        <v>0</v>
      </c>
      <c r="E89" s="22">
        <v>0</v>
      </c>
      <c r="F89" s="28"/>
      <c r="G89" s="28"/>
      <c r="H89" s="28"/>
      <c r="I89" s="28"/>
      <c r="J89" s="28"/>
      <c r="K89" s="28"/>
      <c r="L89" s="311" t="s">
        <v>204</v>
      </c>
      <c r="M89" s="312"/>
      <c r="N89" s="312"/>
      <c r="O89" s="312"/>
      <c r="P89" s="312"/>
      <c r="Q89" s="313"/>
      <c r="R89" s="28"/>
      <c r="S89" s="317"/>
      <c r="T89" s="318"/>
      <c r="U89" s="318"/>
      <c r="V89" s="318"/>
      <c r="W89" s="319"/>
      <c r="X89" s="28"/>
      <c r="Y89" s="300"/>
      <c r="Z89" s="28"/>
    </row>
    <row r="90" spans="1:26" ht="15.75" customHeight="1" x14ac:dyDescent="0.25">
      <c r="A90" s="9" t="s">
        <v>21</v>
      </c>
      <c r="B90" s="12" t="s">
        <v>59</v>
      </c>
      <c r="C90" s="11">
        <v>420</v>
      </c>
      <c r="D90" s="22">
        <v>498</v>
      </c>
      <c r="E90" s="22">
        <v>420</v>
      </c>
      <c r="F90" s="28"/>
      <c r="G90" s="28"/>
      <c r="H90" s="28"/>
      <c r="I90" s="28"/>
      <c r="J90" s="28"/>
      <c r="K90" s="28"/>
      <c r="L90" s="317"/>
      <c r="M90" s="318"/>
      <c r="N90" s="318"/>
      <c r="O90" s="318"/>
      <c r="P90" s="318"/>
      <c r="Q90" s="319"/>
      <c r="R90" s="28"/>
      <c r="S90" s="58" t="s">
        <v>160</v>
      </c>
      <c r="T90" s="59" t="s">
        <v>161</v>
      </c>
      <c r="U90" s="59" t="s">
        <v>162</v>
      </c>
      <c r="V90" s="61" t="s">
        <v>163</v>
      </c>
      <c r="W90" s="62" t="s">
        <v>165</v>
      </c>
      <c r="X90" s="28"/>
      <c r="Y90" s="300"/>
      <c r="Z90" s="29"/>
    </row>
    <row r="91" spans="1:26" ht="15.75" customHeight="1" x14ac:dyDescent="0.25">
      <c r="A91" s="9" t="s">
        <v>21</v>
      </c>
      <c r="B91" s="10" t="s">
        <v>63</v>
      </c>
      <c r="C91" s="11">
        <v>150</v>
      </c>
      <c r="D91" s="22">
        <v>167</v>
      </c>
      <c r="E91" s="22">
        <v>142</v>
      </c>
      <c r="F91" s="28"/>
      <c r="G91" s="28"/>
      <c r="H91" s="28"/>
      <c r="I91" s="28"/>
      <c r="J91" s="28"/>
      <c r="K91" s="28"/>
      <c r="L91" s="63" t="s">
        <v>168</v>
      </c>
      <c r="M91" s="64" t="s">
        <v>169</v>
      </c>
      <c r="N91" s="64" t="s">
        <v>171</v>
      </c>
      <c r="O91" s="64" t="s">
        <v>172</v>
      </c>
      <c r="P91" s="65" t="s">
        <v>173</v>
      </c>
      <c r="Q91" s="66" t="s">
        <v>175</v>
      </c>
      <c r="R91" s="28"/>
      <c r="S91" s="63" t="s">
        <v>176</v>
      </c>
      <c r="T91" s="67">
        <v>0.45100000000000001</v>
      </c>
      <c r="U91" s="68">
        <v>1.962</v>
      </c>
      <c r="V91" s="70">
        <f t="shared" ref="V91:V95" si="7">+U91/T91</f>
        <v>4.3503325942350335</v>
      </c>
      <c r="W91" s="107"/>
      <c r="X91" s="28"/>
      <c r="Y91" s="300"/>
      <c r="Z91" s="28"/>
    </row>
    <row r="92" spans="1:26" ht="15.75" customHeight="1" x14ac:dyDescent="0.25">
      <c r="A92" s="126" t="s">
        <v>21</v>
      </c>
      <c r="B92" s="12" t="s">
        <v>218</v>
      </c>
      <c r="C92" s="11">
        <v>0</v>
      </c>
      <c r="D92" s="22">
        <v>55</v>
      </c>
      <c r="E92" s="11">
        <v>0</v>
      </c>
      <c r="F92" s="28"/>
      <c r="G92" s="28"/>
      <c r="H92" s="28"/>
      <c r="I92" s="28"/>
      <c r="J92" s="28"/>
      <c r="K92" s="28"/>
      <c r="L92" s="73">
        <v>420</v>
      </c>
      <c r="M92" s="74">
        <v>23.8</v>
      </c>
      <c r="N92" s="74">
        <f>+U91</f>
        <v>1.962</v>
      </c>
      <c r="O92" s="76">
        <f>+U94</f>
        <v>0.67700000000000005</v>
      </c>
      <c r="P92" s="77">
        <f>+U92</f>
        <v>1.901</v>
      </c>
      <c r="Q92" s="108">
        <f>(L92-M92)*(N92-O92)/(P92-O92)+M92</f>
        <v>439.74526143790848</v>
      </c>
      <c r="R92" s="28"/>
      <c r="S92" s="80" t="s">
        <v>188</v>
      </c>
      <c r="T92" s="74">
        <v>0.44700000000000001</v>
      </c>
      <c r="U92" s="82">
        <v>1.901</v>
      </c>
      <c r="V92" s="84">
        <f t="shared" si="7"/>
        <v>4.2527964205816557</v>
      </c>
      <c r="W92" s="86">
        <f>(U92-U94)/(U91-U94)</f>
        <v>0.95252918287937749</v>
      </c>
      <c r="X92" s="28"/>
      <c r="Y92" s="300"/>
      <c r="Z92" s="28"/>
    </row>
    <row r="93" spans="1:26" ht="15.75" customHeight="1" x14ac:dyDescent="0.25">
      <c r="A93" s="28"/>
      <c r="B93" s="28"/>
      <c r="C93" s="28"/>
      <c r="D93" s="28"/>
      <c r="E93" s="28"/>
      <c r="F93" s="28"/>
      <c r="G93" s="28"/>
      <c r="H93" s="28"/>
      <c r="I93" s="28"/>
      <c r="J93" s="28"/>
      <c r="K93" s="28"/>
      <c r="L93" s="73" t="s">
        <v>168</v>
      </c>
      <c r="M93" s="74" t="s">
        <v>171</v>
      </c>
      <c r="N93" s="74" t="s">
        <v>190</v>
      </c>
      <c r="O93" s="74" t="s">
        <v>191</v>
      </c>
      <c r="P93" s="77" t="s">
        <v>173</v>
      </c>
      <c r="Q93" s="87" t="s">
        <v>192</v>
      </c>
      <c r="R93" s="28"/>
      <c r="S93" s="80" t="s">
        <v>193</v>
      </c>
      <c r="T93" s="74">
        <v>0.35099999999999998</v>
      </c>
      <c r="U93" s="91">
        <v>1.036</v>
      </c>
      <c r="V93" s="84">
        <f t="shared" si="7"/>
        <v>2.951566951566952</v>
      </c>
      <c r="W93" s="86">
        <f>(U93-U94)/(U91-U94)</f>
        <v>0.27937743190661479</v>
      </c>
      <c r="X93" s="28"/>
      <c r="Y93" s="300"/>
      <c r="Z93" s="28"/>
    </row>
    <row r="94" spans="1:26" ht="15.75" customHeight="1" x14ac:dyDescent="0.25">
      <c r="A94" s="28"/>
      <c r="B94" s="28"/>
      <c r="C94" s="28"/>
      <c r="D94" s="28"/>
      <c r="E94" s="28"/>
      <c r="F94" s="28"/>
      <c r="G94" s="28"/>
      <c r="H94" s="28"/>
      <c r="I94" s="28"/>
      <c r="J94" s="28"/>
      <c r="K94" s="28"/>
      <c r="L94" s="73">
        <v>140</v>
      </c>
      <c r="M94" s="74">
        <f>+U91</f>
        <v>1.962</v>
      </c>
      <c r="N94" s="76">
        <f>+U94</f>
        <v>0.67700000000000005</v>
      </c>
      <c r="O94" s="74">
        <f>+Q92</f>
        <v>439.74526143790848</v>
      </c>
      <c r="P94" s="109">
        <f>+U93</f>
        <v>1.036</v>
      </c>
      <c r="Q94" s="78">
        <f>(L94*(M94-N94)-O94*(P94-N94))/(M94-P94)</f>
        <v>23.792063870184485</v>
      </c>
      <c r="R94" s="28"/>
      <c r="S94" s="80" t="s">
        <v>194</v>
      </c>
      <c r="T94" s="74">
        <v>0.30199999999999999</v>
      </c>
      <c r="U94" s="91">
        <v>0.67700000000000005</v>
      </c>
      <c r="V94" s="84">
        <f t="shared" si="7"/>
        <v>2.241721854304636</v>
      </c>
      <c r="W94" s="86"/>
      <c r="X94" s="28"/>
      <c r="Y94" s="300"/>
      <c r="Z94" s="28"/>
    </row>
    <row r="95" spans="1:26" ht="15.75" customHeight="1" x14ac:dyDescent="0.25">
      <c r="A95" s="28"/>
      <c r="B95" s="28"/>
      <c r="C95" s="28"/>
      <c r="D95" s="28"/>
      <c r="E95" s="28"/>
      <c r="F95" s="28"/>
      <c r="G95" s="28"/>
      <c r="H95" s="28"/>
      <c r="I95" s="28"/>
      <c r="J95" s="28"/>
      <c r="K95" s="28"/>
      <c r="L95" s="80" t="s">
        <v>196</v>
      </c>
      <c r="M95" s="93"/>
      <c r="N95" s="93"/>
      <c r="O95" s="93"/>
      <c r="P95" s="94"/>
      <c r="Q95" s="95"/>
      <c r="R95" s="28"/>
      <c r="S95" s="111" t="s">
        <v>197</v>
      </c>
      <c r="T95" s="112">
        <v>0.317</v>
      </c>
      <c r="U95" s="113">
        <v>0.72299999999999998</v>
      </c>
      <c r="V95" s="114">
        <f t="shared" si="7"/>
        <v>2.2807570977917981</v>
      </c>
      <c r="W95" s="115">
        <f>+(U95-U94)/(U91-U94)</f>
        <v>3.5797665369649755E-2</v>
      </c>
      <c r="X95" s="28"/>
      <c r="Y95" s="300"/>
      <c r="Z95" s="28"/>
    </row>
    <row r="96" spans="1:26" ht="15.75" customHeight="1" x14ac:dyDescent="0.25">
      <c r="A96" s="28"/>
      <c r="B96" s="28"/>
      <c r="C96" s="28"/>
      <c r="D96" s="28"/>
      <c r="E96" s="28"/>
      <c r="F96" s="28"/>
      <c r="G96" s="28"/>
      <c r="H96" s="28"/>
      <c r="I96" s="28"/>
      <c r="J96" s="28"/>
      <c r="K96" s="28"/>
      <c r="L96" s="80" t="s">
        <v>199</v>
      </c>
      <c r="M96" s="93" t="s">
        <v>169</v>
      </c>
      <c r="N96" s="93" t="s">
        <v>200</v>
      </c>
      <c r="O96" s="93" t="s">
        <v>201</v>
      </c>
      <c r="P96" s="94" t="s">
        <v>191</v>
      </c>
      <c r="Q96" s="87" t="s">
        <v>202</v>
      </c>
      <c r="R96" s="28"/>
      <c r="S96" s="28"/>
      <c r="T96" s="28"/>
      <c r="U96" s="28"/>
      <c r="V96" s="28"/>
      <c r="W96" s="28"/>
      <c r="X96" s="28"/>
      <c r="Y96" s="300"/>
      <c r="Z96" s="28"/>
    </row>
    <row r="97" spans="1:26" ht="15.75" customHeight="1" x14ac:dyDescent="0.25">
      <c r="A97" s="28"/>
      <c r="B97" s="28"/>
      <c r="C97" s="28"/>
      <c r="D97" s="28"/>
      <c r="E97" s="28"/>
      <c r="F97" s="28"/>
      <c r="G97" s="28"/>
      <c r="H97" s="28"/>
      <c r="I97" s="28"/>
      <c r="J97" s="28"/>
      <c r="K97" s="28"/>
      <c r="L97" s="116">
        <f>+U95</f>
        <v>0.72299999999999998</v>
      </c>
      <c r="M97" s="117">
        <f>+Q94</f>
        <v>23.792063870184485</v>
      </c>
      <c r="N97" s="112">
        <f>+U91</f>
        <v>1.962</v>
      </c>
      <c r="O97" s="118">
        <f>+U94</f>
        <v>0.67700000000000005</v>
      </c>
      <c r="P97" s="119">
        <f>+Q92</f>
        <v>439.74526143790848</v>
      </c>
      <c r="Q97" s="78">
        <f>M97+(P97-M97)*(L97-O97)/(N97-O97)</f>
        <v>38.682217246149676</v>
      </c>
      <c r="R97" s="28"/>
      <c r="S97" s="28"/>
      <c r="T97" s="121"/>
      <c r="U97" s="28"/>
      <c r="V97" s="28"/>
      <c r="W97" s="28"/>
      <c r="X97" s="28"/>
      <c r="Y97" s="300"/>
      <c r="Z97" s="28"/>
    </row>
    <row r="98" spans="1:26" ht="15.75" customHeight="1" x14ac:dyDescent="0.25">
      <c r="A98" s="28"/>
      <c r="B98" s="28"/>
      <c r="C98" s="28"/>
      <c r="D98" s="28"/>
      <c r="E98" s="28"/>
      <c r="F98" s="28"/>
      <c r="G98" s="28"/>
      <c r="H98" s="28"/>
      <c r="I98" s="28"/>
      <c r="J98" s="28"/>
      <c r="K98" s="28"/>
      <c r="L98" s="28"/>
      <c r="M98" s="28"/>
      <c r="N98" s="28"/>
      <c r="O98" s="28"/>
      <c r="P98" s="28"/>
      <c r="Q98" s="28"/>
      <c r="R98" s="28"/>
      <c r="S98" s="28"/>
      <c r="T98" s="28"/>
      <c r="U98" s="28"/>
      <c r="V98" s="28"/>
      <c r="W98" s="28"/>
      <c r="X98" s="28"/>
      <c r="Y98" s="301"/>
      <c r="Z98" s="28"/>
    </row>
    <row r="99" spans="1:26" ht="15.75" customHeight="1" x14ac:dyDescent="0.25">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5.75" customHeight="1" x14ac:dyDescent="0.25">
      <c r="A100" s="28"/>
      <c r="B100" s="28"/>
      <c r="C100" s="28"/>
      <c r="D100" s="28"/>
      <c r="E100" s="28"/>
    </row>
    <row r="101" spans="1:26" ht="15.75" customHeight="1" x14ac:dyDescent="0.2"/>
    <row r="102" spans="1:26" ht="15.75" customHeight="1" x14ac:dyDescent="0.2"/>
    <row r="103" spans="1:26" ht="15.75" customHeight="1" x14ac:dyDescent="0.2"/>
    <row r="104" spans="1:26" ht="15.75" customHeight="1" x14ac:dyDescent="0.2"/>
    <row r="105" spans="1:26" ht="15.75" customHeight="1" x14ac:dyDescent="0.2"/>
    <row r="106" spans="1:26" ht="15.75" customHeight="1" x14ac:dyDescent="0.2"/>
    <row r="107" spans="1:26" ht="15.75" customHeight="1" x14ac:dyDescent="0.2"/>
    <row r="108" spans="1:26" ht="15.75" customHeight="1" x14ac:dyDescent="0.2"/>
    <row r="109" spans="1:26" ht="15.75" customHeight="1" x14ac:dyDescent="0.2"/>
    <row r="110" spans="1:26" ht="15.75" customHeight="1" x14ac:dyDescent="0.2"/>
    <row r="111" spans="1:26" ht="15.75" customHeight="1" x14ac:dyDescent="0.2"/>
    <row r="112" spans="1:26"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2">
    <mergeCell ref="A81:E81"/>
    <mergeCell ref="G81:J81"/>
    <mergeCell ref="A87:E87"/>
    <mergeCell ref="G56:J56"/>
    <mergeCell ref="A61:E61"/>
    <mergeCell ref="G80:J80"/>
    <mergeCell ref="G85:J85"/>
    <mergeCell ref="A76:Y76"/>
    <mergeCell ref="G60:J60"/>
    <mergeCell ref="A1:Y1"/>
    <mergeCell ref="Y2:Y23"/>
    <mergeCell ref="L4:Q4"/>
    <mergeCell ref="S4:W4"/>
    <mergeCell ref="L5:Q6"/>
    <mergeCell ref="S5:W5"/>
    <mergeCell ref="A6:E6"/>
    <mergeCell ref="G10:J10"/>
    <mergeCell ref="A11:E11"/>
    <mergeCell ref="G5:J5"/>
    <mergeCell ref="G6:J6"/>
    <mergeCell ref="S12:W14"/>
    <mergeCell ref="L14:Q15"/>
    <mergeCell ref="L29:Q29"/>
    <mergeCell ref="S29:W29"/>
    <mergeCell ref="S30:W30"/>
    <mergeCell ref="L30:Q31"/>
    <mergeCell ref="A26:Y26"/>
    <mergeCell ref="A31:E31"/>
    <mergeCell ref="G31:J31"/>
    <mergeCell ref="S55:W55"/>
    <mergeCell ref="A56:E56"/>
    <mergeCell ref="G30:J30"/>
    <mergeCell ref="G35:J35"/>
    <mergeCell ref="G55:J55"/>
    <mergeCell ref="S37:W39"/>
    <mergeCell ref="L39:Q40"/>
    <mergeCell ref="L54:Q54"/>
    <mergeCell ref="A36:E36"/>
    <mergeCell ref="Y77:Y98"/>
    <mergeCell ref="L79:Q79"/>
    <mergeCell ref="S79:W79"/>
    <mergeCell ref="L80:Q81"/>
    <mergeCell ref="S80:W80"/>
    <mergeCell ref="S87:W89"/>
    <mergeCell ref="L89:Q90"/>
    <mergeCell ref="A51:Y51"/>
    <mergeCell ref="S54:W54"/>
    <mergeCell ref="Y27:Y48"/>
    <mergeCell ref="Y52:Y73"/>
    <mergeCell ref="S62:W64"/>
    <mergeCell ref="L64:Q65"/>
    <mergeCell ref="L55:Q56"/>
  </mergeCells>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Z1000"/>
  <sheetViews>
    <sheetView workbookViewId="0"/>
  </sheetViews>
  <sheetFormatPr baseColWidth="10" defaultColWidth="12.625" defaultRowHeight="15" customHeight="1" x14ac:dyDescent="0.2"/>
  <cols>
    <col min="1" max="4" width="10" customWidth="1"/>
    <col min="5" max="5" width="12" customWidth="1"/>
    <col min="6" max="26" width="10" customWidth="1"/>
  </cols>
  <sheetData>
    <row r="1" spans="1:26" x14ac:dyDescent="0.25">
      <c r="A1" s="245" t="s">
        <v>353</v>
      </c>
      <c r="B1" s="246" t="s">
        <v>1411</v>
      </c>
    </row>
    <row r="2" spans="1:26" ht="15.75" customHeight="1" x14ac:dyDescent="0.25">
      <c r="A2" s="247" t="s">
        <v>1412</v>
      </c>
      <c r="B2" s="248">
        <v>43096</v>
      </c>
    </row>
    <row r="3" spans="1:26" x14ac:dyDescent="0.25">
      <c r="A3" s="332" t="s">
        <v>1414</v>
      </c>
      <c r="B3" s="297"/>
      <c r="C3" s="297"/>
      <c r="D3" s="297"/>
      <c r="E3" s="298"/>
      <c r="G3" s="296" t="s">
        <v>45</v>
      </c>
      <c r="H3" s="297"/>
      <c r="I3" s="297"/>
      <c r="J3" s="298"/>
      <c r="L3" s="407" t="s">
        <v>373</v>
      </c>
      <c r="M3" s="403"/>
      <c r="N3" s="404"/>
      <c r="O3" s="408" t="s">
        <v>375</v>
      </c>
      <c r="P3" s="403"/>
      <c r="Q3" s="404"/>
      <c r="R3" s="421" t="s">
        <v>376</v>
      </c>
      <c r="S3" s="403"/>
      <c r="T3" s="404"/>
      <c r="U3" s="421" t="s">
        <v>377</v>
      </c>
      <c r="V3" s="403"/>
      <c r="W3" s="403"/>
      <c r="X3" s="403"/>
      <c r="Y3" s="403"/>
      <c r="Z3" s="405"/>
    </row>
    <row r="4" spans="1:26" ht="24" x14ac:dyDescent="0.2">
      <c r="A4" s="4" t="s">
        <v>0</v>
      </c>
      <c r="B4" s="5" t="s">
        <v>1</v>
      </c>
      <c r="C4" s="5" t="s">
        <v>42</v>
      </c>
      <c r="D4" s="5" t="s">
        <v>43</v>
      </c>
      <c r="E4" s="5" t="s">
        <v>44</v>
      </c>
      <c r="G4" s="305" t="s">
        <v>10</v>
      </c>
      <c r="H4" s="297"/>
      <c r="I4" s="297"/>
      <c r="J4" s="298"/>
      <c r="L4" s="406"/>
      <c r="M4" s="334"/>
      <c r="N4" s="335"/>
      <c r="O4" s="167" t="s">
        <v>379</v>
      </c>
      <c r="P4" s="167" t="s">
        <v>380</v>
      </c>
      <c r="Q4" s="93" t="s">
        <v>381</v>
      </c>
      <c r="R4" s="167" t="s">
        <v>379</v>
      </c>
      <c r="S4" s="167" t="s">
        <v>380</v>
      </c>
      <c r="T4" s="93" t="s">
        <v>381</v>
      </c>
      <c r="U4" s="341"/>
      <c r="V4" s="334"/>
      <c r="W4" s="334"/>
      <c r="X4" s="334"/>
      <c r="Y4" s="334"/>
      <c r="Z4" s="397"/>
    </row>
    <row r="5" spans="1:26" ht="38.25" customHeight="1" x14ac:dyDescent="0.25">
      <c r="A5" s="310" t="s">
        <v>8</v>
      </c>
      <c r="B5" s="297"/>
      <c r="C5" s="297"/>
      <c r="D5" s="297"/>
      <c r="E5" s="298"/>
      <c r="G5" s="12"/>
      <c r="H5" s="12" t="s">
        <v>52</v>
      </c>
      <c r="I5" s="12" t="s">
        <v>53</v>
      </c>
      <c r="J5" s="12"/>
      <c r="L5" s="422" t="s">
        <v>1416</v>
      </c>
      <c r="M5" s="334"/>
      <c r="N5" s="335"/>
      <c r="O5" s="167"/>
      <c r="P5" s="74" t="s">
        <v>385</v>
      </c>
      <c r="Q5" s="28"/>
      <c r="R5" s="74"/>
      <c r="S5" s="74"/>
      <c r="T5" s="74"/>
      <c r="U5" s="415" t="s">
        <v>1417</v>
      </c>
      <c r="V5" s="334"/>
      <c r="W5" s="334"/>
      <c r="X5" s="334"/>
      <c r="Y5" s="334"/>
      <c r="Z5" s="397"/>
    </row>
    <row r="6" spans="1:26" x14ac:dyDescent="0.25">
      <c r="A6" s="9" t="s">
        <v>11</v>
      </c>
      <c r="B6" s="12" t="s">
        <v>12</v>
      </c>
      <c r="C6" s="17">
        <v>720</v>
      </c>
      <c r="D6" s="22">
        <v>720</v>
      </c>
      <c r="E6" s="11">
        <v>674</v>
      </c>
      <c r="G6" s="12" t="s">
        <v>12</v>
      </c>
      <c r="H6" s="11">
        <v>720</v>
      </c>
      <c r="I6" s="11">
        <v>638</v>
      </c>
      <c r="J6" s="17" t="s">
        <v>1418</v>
      </c>
      <c r="L6" s="422" t="s">
        <v>1279</v>
      </c>
      <c r="M6" s="334"/>
      <c r="N6" s="335"/>
      <c r="O6" s="74" t="s">
        <v>385</v>
      </c>
      <c r="P6" s="28"/>
      <c r="Q6" s="74"/>
      <c r="R6" s="74" t="s">
        <v>385</v>
      </c>
      <c r="S6" s="74"/>
      <c r="T6" s="74"/>
      <c r="U6" s="415" t="s">
        <v>1420</v>
      </c>
      <c r="V6" s="334"/>
      <c r="W6" s="334"/>
      <c r="X6" s="334"/>
      <c r="Y6" s="334"/>
      <c r="Z6" s="397"/>
    </row>
    <row r="7" spans="1:26" ht="27" customHeight="1" x14ac:dyDescent="0.25">
      <c r="A7" s="9" t="s">
        <v>11</v>
      </c>
      <c r="B7" s="12" t="s">
        <v>18</v>
      </c>
      <c r="C7" s="17">
        <v>0</v>
      </c>
      <c r="D7" s="22">
        <v>0</v>
      </c>
      <c r="E7" s="11">
        <v>0</v>
      </c>
      <c r="G7" s="12" t="s">
        <v>18</v>
      </c>
      <c r="H7" s="17">
        <v>0</v>
      </c>
      <c r="I7" s="11">
        <v>0</v>
      </c>
      <c r="J7" s="17" t="s">
        <v>1422</v>
      </c>
      <c r="L7" s="422" t="s">
        <v>1284</v>
      </c>
      <c r="M7" s="334"/>
      <c r="N7" s="335"/>
      <c r="O7" s="174"/>
      <c r="P7" s="74" t="s">
        <v>385</v>
      </c>
      <c r="Q7" s="28"/>
      <c r="R7" s="74" t="s">
        <v>385</v>
      </c>
      <c r="S7" s="74"/>
      <c r="T7" s="74"/>
      <c r="U7" s="415" t="s">
        <v>1424</v>
      </c>
      <c r="V7" s="334"/>
      <c r="W7" s="334"/>
      <c r="X7" s="334"/>
      <c r="Y7" s="334"/>
      <c r="Z7" s="397"/>
    </row>
    <row r="8" spans="1:26" ht="25.5" x14ac:dyDescent="0.2">
      <c r="A8" s="9" t="s">
        <v>21</v>
      </c>
      <c r="B8" s="12" t="s">
        <v>59</v>
      </c>
      <c r="C8" s="17">
        <v>440</v>
      </c>
      <c r="D8" s="22">
        <v>380</v>
      </c>
      <c r="E8" s="11">
        <v>438</v>
      </c>
      <c r="L8" s="422" t="s">
        <v>1426</v>
      </c>
      <c r="M8" s="334"/>
      <c r="N8" s="335"/>
      <c r="O8" s="74" t="s">
        <v>385</v>
      </c>
      <c r="P8" s="74"/>
      <c r="Q8" s="74"/>
      <c r="R8" s="74" t="s">
        <v>385</v>
      </c>
      <c r="S8" s="74"/>
      <c r="T8" s="74"/>
      <c r="U8" s="341" t="s">
        <v>441</v>
      </c>
      <c r="V8" s="334"/>
      <c r="W8" s="334"/>
      <c r="X8" s="334"/>
      <c r="Y8" s="334"/>
      <c r="Z8" s="397"/>
    </row>
    <row r="9" spans="1:26" ht="25.5" x14ac:dyDescent="0.2">
      <c r="A9" s="9" t="s">
        <v>21</v>
      </c>
      <c r="B9" s="12" t="s">
        <v>63</v>
      </c>
      <c r="C9" s="17">
        <v>160</v>
      </c>
      <c r="D9" s="22">
        <v>157</v>
      </c>
      <c r="E9" s="11">
        <v>163</v>
      </c>
      <c r="L9" s="422" t="s">
        <v>1428</v>
      </c>
      <c r="M9" s="334"/>
      <c r="N9" s="335"/>
      <c r="O9" s="74" t="s">
        <v>385</v>
      </c>
      <c r="P9" s="74"/>
      <c r="Q9" s="74"/>
      <c r="R9" s="74" t="s">
        <v>385</v>
      </c>
      <c r="S9" s="74"/>
      <c r="T9" s="74"/>
      <c r="U9" s="341" t="s">
        <v>397</v>
      </c>
      <c r="V9" s="334"/>
      <c r="W9" s="334"/>
      <c r="X9" s="334"/>
      <c r="Y9" s="334"/>
      <c r="Z9" s="397"/>
    </row>
    <row r="10" spans="1:26" x14ac:dyDescent="0.25">
      <c r="A10" s="9" t="s">
        <v>21</v>
      </c>
      <c r="B10" s="12" t="s">
        <v>218</v>
      </c>
      <c r="C10" s="17">
        <v>0</v>
      </c>
      <c r="D10" s="22">
        <v>0</v>
      </c>
      <c r="E10" s="11">
        <v>0</v>
      </c>
      <c r="G10" s="21">
        <f>750000*4500</f>
        <v>3375000000</v>
      </c>
      <c r="H10" s="21">
        <f>+G10*0.4</f>
        <v>1350000000</v>
      </c>
      <c r="L10" s="422" t="s">
        <v>398</v>
      </c>
      <c r="M10" s="334"/>
      <c r="N10" s="335"/>
      <c r="O10" s="74" t="s">
        <v>385</v>
      </c>
      <c r="P10" s="74"/>
      <c r="Q10" s="74"/>
      <c r="R10" s="74" t="s">
        <v>385</v>
      </c>
      <c r="S10" s="74"/>
      <c r="T10" s="74"/>
      <c r="U10" s="415" t="s">
        <v>1420</v>
      </c>
      <c r="V10" s="334"/>
      <c r="W10" s="334"/>
      <c r="X10" s="334"/>
      <c r="Y10" s="334"/>
      <c r="Z10" s="397"/>
    </row>
    <row r="11" spans="1:26" x14ac:dyDescent="0.2">
      <c r="L11" s="422" t="s">
        <v>401</v>
      </c>
      <c r="M11" s="334"/>
      <c r="N11" s="335"/>
      <c r="O11" s="74" t="s">
        <v>385</v>
      </c>
      <c r="P11" s="74"/>
      <c r="Q11" s="74"/>
      <c r="R11" s="74" t="s">
        <v>385</v>
      </c>
      <c r="S11" s="74"/>
      <c r="T11" s="74"/>
      <c r="U11" s="415" t="s">
        <v>1420</v>
      </c>
      <c r="V11" s="334"/>
      <c r="W11" s="334"/>
      <c r="X11" s="334"/>
      <c r="Y11" s="334"/>
      <c r="Z11" s="397"/>
    </row>
    <row r="12" spans="1:26" x14ac:dyDescent="0.2">
      <c r="L12" s="422" t="s">
        <v>403</v>
      </c>
      <c r="M12" s="334"/>
      <c r="N12" s="335"/>
      <c r="O12" s="74" t="s">
        <v>385</v>
      </c>
      <c r="P12" s="74"/>
      <c r="Q12" s="74"/>
      <c r="R12" s="74" t="s">
        <v>385</v>
      </c>
      <c r="S12" s="74"/>
      <c r="T12" s="74"/>
      <c r="U12" s="415" t="s">
        <v>1420</v>
      </c>
      <c r="V12" s="334"/>
      <c r="W12" s="334"/>
      <c r="X12" s="334"/>
      <c r="Y12" s="334"/>
      <c r="Z12" s="397"/>
    </row>
    <row r="13" spans="1:26" ht="15.75" customHeight="1" x14ac:dyDescent="0.2">
      <c r="D13" s="38"/>
      <c r="L13" s="422" t="s">
        <v>405</v>
      </c>
      <c r="M13" s="334"/>
      <c r="N13" s="335"/>
      <c r="O13" s="74" t="s">
        <v>385</v>
      </c>
      <c r="P13" s="74"/>
      <c r="Q13" s="74"/>
      <c r="R13" s="74" t="s">
        <v>385</v>
      </c>
      <c r="S13" s="74"/>
      <c r="T13" s="74"/>
      <c r="U13" s="341" t="s">
        <v>446</v>
      </c>
      <c r="V13" s="334"/>
      <c r="W13" s="334"/>
      <c r="X13" s="334"/>
      <c r="Y13" s="334"/>
      <c r="Z13" s="397"/>
    </row>
    <row r="14" spans="1:26" ht="15.75" customHeight="1" x14ac:dyDescent="0.25">
      <c r="A14" s="204"/>
      <c r="B14" s="204"/>
      <c r="C14" s="204"/>
      <c r="D14" s="204"/>
      <c r="E14" s="204"/>
      <c r="L14" s="422" t="s">
        <v>408</v>
      </c>
      <c r="M14" s="334"/>
      <c r="N14" s="335"/>
      <c r="O14" s="74" t="s">
        <v>385</v>
      </c>
      <c r="P14" s="74"/>
      <c r="Q14" s="74"/>
      <c r="R14" s="74" t="s">
        <v>385</v>
      </c>
      <c r="S14" s="74"/>
      <c r="T14" s="74"/>
      <c r="U14" s="341" t="s">
        <v>448</v>
      </c>
      <c r="V14" s="334"/>
      <c r="W14" s="334"/>
      <c r="X14" s="334"/>
      <c r="Y14" s="334"/>
      <c r="Z14" s="397"/>
    </row>
    <row r="15" spans="1:26" ht="15" customHeight="1" x14ac:dyDescent="0.2">
      <c r="L15" s="422" t="s">
        <v>411</v>
      </c>
      <c r="M15" s="334"/>
      <c r="N15" s="335"/>
      <c r="O15" s="74" t="s">
        <v>385</v>
      </c>
      <c r="P15" s="2"/>
      <c r="Q15" s="74"/>
      <c r="R15" s="74" t="s">
        <v>385</v>
      </c>
      <c r="S15" s="2"/>
      <c r="T15" s="74"/>
      <c r="U15" s="341" t="s">
        <v>448</v>
      </c>
      <c r="V15" s="334"/>
      <c r="W15" s="334"/>
      <c r="X15" s="334"/>
      <c r="Y15" s="334"/>
      <c r="Z15" s="397"/>
    </row>
    <row r="16" spans="1:26" x14ac:dyDescent="0.25">
      <c r="G16" s="204"/>
      <c r="H16" s="204"/>
      <c r="I16" s="204"/>
      <c r="J16" s="27"/>
      <c r="K16" s="204"/>
      <c r="L16" s="422" t="s">
        <v>413</v>
      </c>
      <c r="M16" s="334"/>
      <c r="N16" s="335"/>
      <c r="O16" s="74" t="s">
        <v>385</v>
      </c>
      <c r="P16" s="74"/>
      <c r="Q16" s="74"/>
      <c r="R16" s="74" t="s">
        <v>385</v>
      </c>
      <c r="S16" s="74"/>
      <c r="T16" s="74"/>
      <c r="U16" s="341" t="s">
        <v>414</v>
      </c>
      <c r="V16" s="334"/>
      <c r="W16" s="334"/>
      <c r="X16" s="334"/>
      <c r="Y16" s="334"/>
      <c r="Z16" s="397"/>
    </row>
    <row r="17" spans="12:26" x14ac:dyDescent="0.2">
      <c r="L17" s="422" t="s">
        <v>416</v>
      </c>
      <c r="M17" s="334"/>
      <c r="N17" s="335"/>
      <c r="O17" s="74" t="s">
        <v>385</v>
      </c>
      <c r="P17" s="74"/>
      <c r="Q17" s="74"/>
      <c r="R17" s="74" t="s">
        <v>385</v>
      </c>
      <c r="S17" s="74"/>
      <c r="T17" s="74"/>
      <c r="U17" s="341" t="s">
        <v>417</v>
      </c>
      <c r="V17" s="334"/>
      <c r="W17" s="334"/>
      <c r="X17" s="334"/>
      <c r="Y17" s="334"/>
      <c r="Z17" s="397"/>
    </row>
    <row r="18" spans="12:26" ht="15.75" customHeight="1" x14ac:dyDescent="0.2">
      <c r="L18" s="422" t="s">
        <v>1432</v>
      </c>
      <c r="M18" s="334"/>
      <c r="N18" s="335"/>
      <c r="O18" s="74" t="s">
        <v>385</v>
      </c>
      <c r="P18" s="74"/>
      <c r="Q18" s="74"/>
      <c r="R18" s="74" t="s">
        <v>385</v>
      </c>
      <c r="S18" s="74"/>
      <c r="T18" s="74"/>
      <c r="U18" s="341" t="s">
        <v>1433</v>
      </c>
      <c r="V18" s="334"/>
      <c r="W18" s="334"/>
      <c r="X18" s="334"/>
      <c r="Y18" s="334"/>
      <c r="Z18" s="397"/>
    </row>
    <row r="19" spans="12:26" ht="15.75" customHeight="1" x14ac:dyDescent="0.2">
      <c r="L19" s="424" t="s">
        <v>421</v>
      </c>
      <c r="M19" s="399"/>
      <c r="N19" s="411"/>
      <c r="O19" s="112"/>
      <c r="P19" s="112"/>
      <c r="Q19" s="112"/>
      <c r="R19" s="112" t="s">
        <v>385</v>
      </c>
      <c r="S19" s="112"/>
      <c r="T19" s="112"/>
      <c r="U19" s="423" t="s">
        <v>422</v>
      </c>
      <c r="V19" s="399"/>
      <c r="W19" s="399"/>
      <c r="X19" s="399"/>
      <c r="Y19" s="399"/>
      <c r="Z19" s="400"/>
    </row>
    <row r="20" spans="12:26" ht="36.75" customHeight="1" x14ac:dyDescent="0.2"/>
    <row r="21" spans="12:26" ht="15.75" customHeight="1" x14ac:dyDescent="0.25">
      <c r="L21" s="332" t="s">
        <v>1434</v>
      </c>
      <c r="M21" s="297"/>
      <c r="N21" s="297"/>
      <c r="O21" s="345" t="s">
        <v>1435</v>
      </c>
      <c r="P21" s="297"/>
      <c r="Q21" s="297"/>
      <c r="R21" s="297"/>
      <c r="S21" s="297"/>
      <c r="T21" s="298"/>
    </row>
    <row r="22" spans="12:26" ht="15.75" customHeight="1" x14ac:dyDescent="0.2"/>
    <row r="23" spans="12:26" ht="15.75" customHeight="1" x14ac:dyDescent="0.2"/>
    <row r="24" spans="12:26" ht="15.75" customHeight="1" x14ac:dyDescent="0.2"/>
    <row r="25" spans="12:26" ht="15.75" customHeight="1" x14ac:dyDescent="0.2"/>
    <row r="26" spans="12:26" ht="15.75" customHeight="1" x14ac:dyDescent="0.2"/>
    <row r="27" spans="12:26" ht="15.75" customHeight="1" x14ac:dyDescent="0.2"/>
    <row r="28" spans="12:26" ht="15.75" customHeight="1" x14ac:dyDescent="0.2"/>
    <row r="29" spans="12:26" ht="15.75" customHeight="1" x14ac:dyDescent="0.2"/>
    <row r="30" spans="12:26" ht="15.75" customHeight="1" x14ac:dyDescent="0.2"/>
    <row r="31" spans="12:26" ht="15.75" customHeight="1" x14ac:dyDescent="0.2"/>
    <row r="32" spans="12:2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2">
    <mergeCell ref="L21:N21"/>
    <mergeCell ref="O21:T21"/>
    <mergeCell ref="L11:N11"/>
    <mergeCell ref="L12:N12"/>
    <mergeCell ref="L13:N13"/>
    <mergeCell ref="L14:N14"/>
    <mergeCell ref="L15:N15"/>
    <mergeCell ref="L16:N16"/>
    <mergeCell ref="L17:N17"/>
    <mergeCell ref="L10:N10"/>
    <mergeCell ref="U17:Z17"/>
    <mergeCell ref="U18:Z18"/>
    <mergeCell ref="U19:Z19"/>
    <mergeCell ref="U10:Z10"/>
    <mergeCell ref="U11:Z11"/>
    <mergeCell ref="U12:Z12"/>
    <mergeCell ref="U13:Z13"/>
    <mergeCell ref="U14:Z14"/>
    <mergeCell ref="U15:Z15"/>
    <mergeCell ref="U16:Z16"/>
    <mergeCell ref="L18:N18"/>
    <mergeCell ref="L19:N19"/>
    <mergeCell ref="U6:Z6"/>
    <mergeCell ref="U7:Z7"/>
    <mergeCell ref="U8:Z8"/>
    <mergeCell ref="U9:Z9"/>
    <mergeCell ref="L4:N4"/>
    <mergeCell ref="L5:N5"/>
    <mergeCell ref="L6:N6"/>
    <mergeCell ref="L7:N7"/>
    <mergeCell ref="L8:N8"/>
    <mergeCell ref="L9:N9"/>
    <mergeCell ref="G4:J4"/>
    <mergeCell ref="A5:E5"/>
    <mergeCell ref="U3:Z3"/>
    <mergeCell ref="U4:Z4"/>
    <mergeCell ref="U5:Z5"/>
    <mergeCell ref="A3:E3"/>
    <mergeCell ref="G3:J3"/>
    <mergeCell ref="L3:N3"/>
    <mergeCell ref="O3:Q3"/>
    <mergeCell ref="R3:T3"/>
  </mergeCells>
  <pageMargins left="0.7" right="0.7" top="0.75" bottom="0.75" header="0" footer="0"/>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Y1000"/>
  <sheetViews>
    <sheetView showGridLines="0" workbookViewId="0"/>
  </sheetViews>
  <sheetFormatPr baseColWidth="10" defaultColWidth="12.625" defaultRowHeight="15" customHeight="1" x14ac:dyDescent="0.2"/>
  <cols>
    <col min="1" max="1" width="10" customWidth="1"/>
    <col min="2" max="2" width="12.875" customWidth="1"/>
    <col min="3" max="4" width="10" customWidth="1"/>
    <col min="5" max="5" width="11.625" customWidth="1"/>
    <col min="6" max="18" width="10" customWidth="1"/>
    <col min="19" max="19" width="11" customWidth="1"/>
    <col min="20" max="20" width="15.125" customWidth="1"/>
    <col min="21" max="21" width="10.625" customWidth="1"/>
    <col min="22" max="23" width="11.625" customWidth="1"/>
    <col min="24" max="26" width="10" customWidth="1"/>
  </cols>
  <sheetData>
    <row r="1" spans="1:25" ht="18.75" x14ac:dyDescent="0.3">
      <c r="A1" s="161" t="s">
        <v>353</v>
      </c>
      <c r="B1" s="163" t="s">
        <v>1413</v>
      </c>
      <c r="Y1" s="346"/>
    </row>
    <row r="2" spans="1:25" ht="18.75" x14ac:dyDescent="0.3">
      <c r="A2" s="164" t="s">
        <v>360</v>
      </c>
      <c r="B2" s="165">
        <v>43125</v>
      </c>
      <c r="Y2" s="300"/>
    </row>
    <row r="3" spans="1:25" ht="18.75" x14ac:dyDescent="0.3">
      <c r="L3" s="320" t="s">
        <v>153</v>
      </c>
      <c r="M3" s="297"/>
      <c r="N3" s="297"/>
      <c r="O3" s="297"/>
      <c r="P3" s="297"/>
      <c r="Q3" s="298"/>
      <c r="S3" s="321" t="s">
        <v>154</v>
      </c>
      <c r="T3" s="322"/>
      <c r="U3" s="322"/>
      <c r="V3" s="322"/>
      <c r="W3" s="323"/>
      <c r="Y3" s="300"/>
    </row>
    <row r="4" spans="1:25" ht="24" x14ac:dyDescent="0.2">
      <c r="A4" s="156" t="s">
        <v>0</v>
      </c>
      <c r="B4" s="157" t="s">
        <v>1</v>
      </c>
      <c r="C4" s="157" t="s">
        <v>42</v>
      </c>
      <c r="D4" s="157" t="s">
        <v>43</v>
      </c>
      <c r="E4" s="157" t="s">
        <v>44</v>
      </c>
      <c r="G4" s="296" t="s">
        <v>45</v>
      </c>
      <c r="H4" s="297"/>
      <c r="I4" s="297"/>
      <c r="J4" s="298"/>
      <c r="L4" s="311" t="s">
        <v>157</v>
      </c>
      <c r="M4" s="312"/>
      <c r="N4" s="312"/>
      <c r="O4" s="312"/>
      <c r="P4" s="312"/>
      <c r="Q4" s="313"/>
      <c r="S4" s="325" t="s">
        <v>157</v>
      </c>
      <c r="T4" s="297"/>
      <c r="U4" s="297"/>
      <c r="V4" s="297"/>
      <c r="W4" s="298"/>
      <c r="Y4" s="300"/>
    </row>
    <row r="5" spans="1:25" ht="48" customHeight="1" x14ac:dyDescent="0.2">
      <c r="A5" s="310" t="s">
        <v>8</v>
      </c>
      <c r="B5" s="297"/>
      <c r="C5" s="297"/>
      <c r="D5" s="297"/>
      <c r="E5" s="298"/>
      <c r="G5" s="305" t="s">
        <v>10</v>
      </c>
      <c r="H5" s="297"/>
      <c r="I5" s="297"/>
      <c r="J5" s="298"/>
      <c r="L5" s="317"/>
      <c r="M5" s="318"/>
      <c r="N5" s="318"/>
      <c r="O5" s="318"/>
      <c r="P5" s="318"/>
      <c r="Q5" s="319"/>
      <c r="S5" s="58" t="s">
        <v>160</v>
      </c>
      <c r="T5" s="59" t="s">
        <v>161</v>
      </c>
      <c r="U5" s="59" t="s">
        <v>162</v>
      </c>
      <c r="V5" s="61" t="s">
        <v>163</v>
      </c>
      <c r="W5" s="62" t="s">
        <v>165</v>
      </c>
      <c r="Y5" s="300"/>
    </row>
    <row r="6" spans="1:25" x14ac:dyDescent="0.25">
      <c r="A6" s="9" t="s">
        <v>11</v>
      </c>
      <c r="B6" s="9" t="s">
        <v>12</v>
      </c>
      <c r="C6" s="11">
        <v>520</v>
      </c>
      <c r="D6" s="22">
        <v>479</v>
      </c>
      <c r="E6" s="11">
        <v>496</v>
      </c>
      <c r="G6" s="12"/>
      <c r="H6" s="12" t="s">
        <v>52</v>
      </c>
      <c r="I6" s="12" t="s">
        <v>53</v>
      </c>
      <c r="J6" s="12"/>
      <c r="L6" s="63" t="s">
        <v>168</v>
      </c>
      <c r="M6" s="64" t="s">
        <v>169</v>
      </c>
      <c r="N6" s="64" t="s">
        <v>171</v>
      </c>
      <c r="O6" s="64" t="s">
        <v>172</v>
      </c>
      <c r="P6" s="65" t="s">
        <v>173</v>
      </c>
      <c r="Q6" s="66" t="s">
        <v>175</v>
      </c>
      <c r="S6" s="63" t="s">
        <v>176</v>
      </c>
      <c r="T6" s="67">
        <v>0.72</v>
      </c>
      <c r="U6" s="68">
        <v>2.4660000000000002</v>
      </c>
      <c r="V6" s="70">
        <f t="shared" ref="V6:V10" si="0">+U6/T6</f>
        <v>3.4250000000000003</v>
      </c>
      <c r="W6" s="72"/>
      <c r="Y6" s="300"/>
    </row>
    <row r="7" spans="1:25" ht="15.75" x14ac:dyDescent="0.25">
      <c r="A7" s="9" t="s">
        <v>11</v>
      </c>
      <c r="B7" s="12" t="s">
        <v>18</v>
      </c>
      <c r="C7" s="11">
        <v>0</v>
      </c>
      <c r="D7" s="22">
        <v>0</v>
      </c>
      <c r="E7" s="11">
        <v>0</v>
      </c>
      <c r="G7" s="12" t="s">
        <v>12</v>
      </c>
      <c r="H7" s="17">
        <v>480</v>
      </c>
      <c r="I7" s="11">
        <v>496</v>
      </c>
      <c r="J7" s="17" t="s">
        <v>1419</v>
      </c>
      <c r="L7" s="73">
        <v>440</v>
      </c>
      <c r="M7" s="74">
        <v>20</v>
      </c>
      <c r="N7" s="74">
        <f>+U6</f>
        <v>2.4660000000000002</v>
      </c>
      <c r="O7" s="76">
        <f>+U9</f>
        <v>0</v>
      </c>
      <c r="P7" s="77">
        <f>+U7</f>
        <v>2.1749999999999998</v>
      </c>
      <c r="Q7" s="78">
        <f>(L7-M7)*(N7-O7)/(P7-O7)+M7</f>
        <v>496.19310344827591</v>
      </c>
      <c r="S7" s="80" t="s">
        <v>188</v>
      </c>
      <c r="T7" s="74">
        <v>0.66700000000000004</v>
      </c>
      <c r="U7" s="82">
        <v>2.1749999999999998</v>
      </c>
      <c r="V7" s="84">
        <f t="shared" si="0"/>
        <v>3.2608695652173907</v>
      </c>
      <c r="W7" s="86">
        <f>(U7-U9)/(U6-U9)</f>
        <v>0.8819951338199512</v>
      </c>
      <c r="Y7" s="300"/>
    </row>
    <row r="8" spans="1:25" x14ac:dyDescent="0.25">
      <c r="A8" s="9" t="s">
        <v>21</v>
      </c>
      <c r="B8" s="12" t="s">
        <v>59</v>
      </c>
      <c r="C8" s="11">
        <v>440</v>
      </c>
      <c r="D8" s="22">
        <v>410</v>
      </c>
      <c r="E8" s="11">
        <v>436</v>
      </c>
      <c r="G8" s="12" t="s">
        <v>18</v>
      </c>
      <c r="H8" s="17">
        <v>0</v>
      </c>
      <c r="I8" s="11">
        <v>0</v>
      </c>
      <c r="J8" s="17" t="s">
        <v>1425</v>
      </c>
      <c r="L8" s="73" t="s">
        <v>168</v>
      </c>
      <c r="M8" s="74" t="s">
        <v>171</v>
      </c>
      <c r="N8" s="74" t="s">
        <v>190</v>
      </c>
      <c r="O8" s="74" t="s">
        <v>191</v>
      </c>
      <c r="P8" s="77" t="s">
        <v>173</v>
      </c>
      <c r="Q8" s="87" t="s">
        <v>192</v>
      </c>
      <c r="S8" s="80" t="s">
        <v>193</v>
      </c>
      <c r="T8" s="74">
        <v>0.46500000000000002</v>
      </c>
      <c r="U8" s="82">
        <v>0.67500000000000004</v>
      </c>
      <c r="V8" s="84">
        <f t="shared" si="0"/>
        <v>1.4516129032258065</v>
      </c>
      <c r="W8" s="86">
        <f>(U8-U9)/(U6-U9)</f>
        <v>0.27372262773722628</v>
      </c>
      <c r="Y8" s="300"/>
    </row>
    <row r="9" spans="1:25" x14ac:dyDescent="0.25">
      <c r="A9" s="49" t="s">
        <v>21</v>
      </c>
      <c r="B9" s="10" t="s">
        <v>63</v>
      </c>
      <c r="C9" s="51">
        <v>160</v>
      </c>
      <c r="D9" s="169">
        <v>361</v>
      </c>
      <c r="E9" s="51">
        <v>157</v>
      </c>
      <c r="G9" s="305" t="s">
        <v>23</v>
      </c>
      <c r="H9" s="297"/>
      <c r="I9" s="297"/>
      <c r="J9" s="298"/>
      <c r="L9" s="73">
        <v>160</v>
      </c>
      <c r="M9" s="74">
        <f>+U6</f>
        <v>2.4660000000000002</v>
      </c>
      <c r="N9" s="76">
        <f>+U9</f>
        <v>0</v>
      </c>
      <c r="O9" s="89">
        <f>+Q7</f>
        <v>496.19310344827591</v>
      </c>
      <c r="P9" s="77">
        <f>+U8</f>
        <v>0.67500000000000004</v>
      </c>
      <c r="Q9" s="90">
        <f>(L9*(M9-N9)-O9*(P9-N9))/(M9-P9)</f>
        <v>33.294056489343255</v>
      </c>
      <c r="S9" s="80" t="s">
        <v>194</v>
      </c>
      <c r="T9" s="74">
        <v>0.36499999999999999</v>
      </c>
      <c r="U9" s="91">
        <v>0</v>
      </c>
      <c r="V9" s="84">
        <f t="shared" si="0"/>
        <v>0</v>
      </c>
      <c r="W9" s="86"/>
      <c r="Y9" s="300"/>
    </row>
    <row r="10" spans="1:25" x14ac:dyDescent="0.25">
      <c r="A10" s="310" t="s">
        <v>29</v>
      </c>
      <c r="B10" s="297"/>
      <c r="C10" s="297"/>
      <c r="D10" s="297"/>
      <c r="E10" s="298"/>
      <c r="G10" s="12" t="s">
        <v>12</v>
      </c>
      <c r="H10" s="17">
        <v>450</v>
      </c>
      <c r="I10" s="11">
        <v>466</v>
      </c>
      <c r="J10" s="17" t="s">
        <v>1430</v>
      </c>
      <c r="L10" s="80" t="s">
        <v>196</v>
      </c>
      <c r="M10" s="93"/>
      <c r="N10" s="93"/>
      <c r="O10" s="93"/>
      <c r="P10" s="94"/>
      <c r="Q10" s="95"/>
      <c r="S10" s="96" t="s">
        <v>197</v>
      </c>
      <c r="T10" s="97">
        <v>0.40699999999999997</v>
      </c>
      <c r="U10" s="99">
        <v>0.26200000000000001</v>
      </c>
      <c r="V10" s="100">
        <f t="shared" si="0"/>
        <v>0.64373464373464384</v>
      </c>
      <c r="W10" s="101">
        <f>+(U10-U9)/(U6-U9)</f>
        <v>0.10624493106244931</v>
      </c>
      <c r="Y10" s="300"/>
    </row>
    <row r="11" spans="1:25" x14ac:dyDescent="0.2">
      <c r="A11" s="9" t="s">
        <v>11</v>
      </c>
      <c r="B11" s="9" t="s">
        <v>12</v>
      </c>
      <c r="C11" s="11">
        <v>490</v>
      </c>
      <c r="D11" s="22">
        <v>448</v>
      </c>
      <c r="E11" s="22">
        <v>466</v>
      </c>
      <c r="G11" s="12" t="s">
        <v>18</v>
      </c>
      <c r="H11" s="17">
        <v>0</v>
      </c>
      <c r="I11" s="11">
        <v>0</v>
      </c>
      <c r="J11" s="17" t="s">
        <v>1431</v>
      </c>
      <c r="L11" s="80" t="s">
        <v>199</v>
      </c>
      <c r="M11" s="93" t="s">
        <v>169</v>
      </c>
      <c r="N11" s="93" t="s">
        <v>200</v>
      </c>
      <c r="O11" s="93" t="s">
        <v>201</v>
      </c>
      <c r="P11" s="94" t="s">
        <v>191</v>
      </c>
      <c r="Q11" s="87" t="s">
        <v>202</v>
      </c>
      <c r="S11" s="311" t="s">
        <v>203</v>
      </c>
      <c r="T11" s="312"/>
      <c r="U11" s="312"/>
      <c r="V11" s="312"/>
      <c r="W11" s="313"/>
      <c r="Y11" s="300"/>
    </row>
    <row r="12" spans="1:25" x14ac:dyDescent="0.2">
      <c r="A12" s="9" t="s">
        <v>11</v>
      </c>
      <c r="B12" s="12" t="s">
        <v>18</v>
      </c>
      <c r="C12" s="11">
        <v>0</v>
      </c>
      <c r="D12" s="22">
        <v>0</v>
      </c>
      <c r="E12" s="22">
        <v>0</v>
      </c>
      <c r="L12" s="102">
        <f>+U10</f>
        <v>0.26200000000000001</v>
      </c>
      <c r="M12" s="103">
        <f>+Q9</f>
        <v>33.294056489343255</v>
      </c>
      <c r="N12" s="97">
        <f>+U6</f>
        <v>2.4660000000000002</v>
      </c>
      <c r="O12" s="104">
        <f>+U9</f>
        <v>0</v>
      </c>
      <c r="P12" s="105">
        <f>+Q7</f>
        <v>496.19310344827591</v>
      </c>
      <c r="Q12" s="106">
        <f>M12+(P12-M12)*(L12-O12)/(N12-O12)</f>
        <v>82.474733822368535</v>
      </c>
      <c r="S12" s="314"/>
      <c r="T12" s="315"/>
      <c r="U12" s="315"/>
      <c r="V12" s="315"/>
      <c r="W12" s="316"/>
      <c r="Y12" s="300"/>
    </row>
    <row r="13" spans="1:25" ht="14.25" x14ac:dyDescent="0.2">
      <c r="A13" s="9" t="s">
        <v>21</v>
      </c>
      <c r="B13" s="12" t="s">
        <v>59</v>
      </c>
      <c r="C13" s="11">
        <v>420</v>
      </c>
      <c r="D13" s="22">
        <v>373</v>
      </c>
      <c r="E13" s="22">
        <v>407</v>
      </c>
      <c r="L13" s="311" t="s">
        <v>204</v>
      </c>
      <c r="M13" s="312"/>
      <c r="N13" s="312"/>
      <c r="O13" s="312"/>
      <c r="P13" s="312"/>
      <c r="Q13" s="313"/>
      <c r="S13" s="317"/>
      <c r="T13" s="318"/>
      <c r="U13" s="318"/>
      <c r="V13" s="318"/>
      <c r="W13" s="319"/>
      <c r="Y13" s="300"/>
    </row>
    <row r="14" spans="1:25" ht="45" x14ac:dyDescent="0.2">
      <c r="A14" s="9" t="s">
        <v>21</v>
      </c>
      <c r="B14" s="12" t="s">
        <v>63</v>
      </c>
      <c r="C14" s="11">
        <v>150</v>
      </c>
      <c r="D14" s="22">
        <v>121</v>
      </c>
      <c r="E14" s="22">
        <v>126</v>
      </c>
      <c r="L14" s="317"/>
      <c r="M14" s="318"/>
      <c r="N14" s="318"/>
      <c r="O14" s="318"/>
      <c r="P14" s="318"/>
      <c r="Q14" s="319"/>
      <c r="S14" s="58" t="s">
        <v>160</v>
      </c>
      <c r="T14" s="59" t="s">
        <v>161</v>
      </c>
      <c r="U14" s="59" t="s">
        <v>162</v>
      </c>
      <c r="V14" s="61" t="s">
        <v>163</v>
      </c>
      <c r="W14" s="62" t="s">
        <v>165</v>
      </c>
      <c r="Y14" s="300"/>
    </row>
    <row r="15" spans="1:25" x14ac:dyDescent="0.25">
      <c r="L15" s="63" t="s">
        <v>168</v>
      </c>
      <c r="M15" s="64" t="s">
        <v>169</v>
      </c>
      <c r="N15" s="64" t="s">
        <v>171</v>
      </c>
      <c r="O15" s="64" t="s">
        <v>172</v>
      </c>
      <c r="P15" s="65" t="s">
        <v>173</v>
      </c>
      <c r="Q15" s="66" t="s">
        <v>175</v>
      </c>
      <c r="S15" s="63" t="s">
        <v>176</v>
      </c>
      <c r="T15" s="67">
        <v>0.6</v>
      </c>
      <c r="U15" s="68">
        <v>1.613</v>
      </c>
      <c r="V15" s="70">
        <f t="shared" ref="V15:V19" si="1">+U15/T15</f>
        <v>2.6883333333333335</v>
      </c>
      <c r="W15" s="107"/>
      <c r="Y15" s="300"/>
    </row>
    <row r="16" spans="1:25" ht="15.75" x14ac:dyDescent="0.25">
      <c r="L16" s="73">
        <v>420</v>
      </c>
      <c r="M16" s="74">
        <v>20</v>
      </c>
      <c r="N16" s="74">
        <f>+U15</f>
        <v>1.613</v>
      </c>
      <c r="O16" s="76">
        <f>+U18</f>
        <v>8.1000000000000003E-2</v>
      </c>
      <c r="P16" s="77">
        <f>+U16</f>
        <v>1.2729999999999999</v>
      </c>
      <c r="Q16" s="108">
        <f>(L16-M16)*(N16-O16)/(P16-O16)+M16</f>
        <v>534.09395973154358</v>
      </c>
      <c r="S16" s="80" t="s">
        <v>188</v>
      </c>
      <c r="T16" s="74">
        <v>0.54900000000000004</v>
      </c>
      <c r="U16" s="82">
        <v>1.2729999999999999</v>
      </c>
      <c r="V16" s="84">
        <f t="shared" si="1"/>
        <v>2.3187613843351547</v>
      </c>
      <c r="W16" s="86">
        <f>(U16-U18)/(U15-U18)</f>
        <v>0.77806788511749347</v>
      </c>
      <c r="Y16" s="300"/>
    </row>
    <row r="17" spans="1:25" x14ac:dyDescent="0.25">
      <c r="L17" s="73" t="s">
        <v>168</v>
      </c>
      <c r="M17" s="74" t="s">
        <v>171</v>
      </c>
      <c r="N17" s="74" t="s">
        <v>190</v>
      </c>
      <c r="O17" s="74" t="s">
        <v>191</v>
      </c>
      <c r="P17" s="77" t="s">
        <v>173</v>
      </c>
      <c r="Q17" s="87" t="s">
        <v>192</v>
      </c>
      <c r="S17" s="80" t="s">
        <v>193</v>
      </c>
      <c r="T17" s="74">
        <v>0.443</v>
      </c>
      <c r="U17" s="91">
        <v>0.54500000000000004</v>
      </c>
      <c r="V17" s="84">
        <f t="shared" si="1"/>
        <v>1.2302483069977428</v>
      </c>
      <c r="W17" s="86">
        <f>(U17-U18)/(U15-U18)</f>
        <v>0.30287206266318539</v>
      </c>
      <c r="Y17" s="300"/>
    </row>
    <row r="18" spans="1:25" ht="15.75" x14ac:dyDescent="0.25">
      <c r="L18" s="73">
        <v>140</v>
      </c>
      <c r="M18" s="74">
        <f>+U15</f>
        <v>1.613</v>
      </c>
      <c r="N18" s="76">
        <f>+U18</f>
        <v>8.1000000000000003E-2</v>
      </c>
      <c r="O18" s="74">
        <f>+Q16</f>
        <v>534.09395973154358</v>
      </c>
      <c r="P18" s="109">
        <f>+U17</f>
        <v>0.54500000000000004</v>
      </c>
      <c r="Q18" s="78">
        <f>(L18*(M18-N18)-O18*(P18-N18))/(M18-P18)</f>
        <v>-31.216851418947758</v>
      </c>
      <c r="S18" s="80" t="s">
        <v>194</v>
      </c>
      <c r="T18" s="74">
        <v>0.38</v>
      </c>
      <c r="U18" s="91">
        <v>8.1000000000000003E-2</v>
      </c>
      <c r="V18" s="84">
        <f t="shared" si="1"/>
        <v>0.2131578947368421</v>
      </c>
      <c r="W18" s="86"/>
      <c r="Y18" s="300"/>
    </row>
    <row r="19" spans="1:25" x14ac:dyDescent="0.25">
      <c r="L19" s="80" t="s">
        <v>196</v>
      </c>
      <c r="M19" s="93"/>
      <c r="N19" s="93"/>
      <c r="O19" s="93"/>
      <c r="P19" s="94"/>
      <c r="Q19" s="95"/>
      <c r="S19" s="111" t="s">
        <v>197</v>
      </c>
      <c r="T19" s="112">
        <v>0.40600000000000003</v>
      </c>
      <c r="U19" s="113">
        <v>0.23699999999999999</v>
      </c>
      <c r="V19" s="114">
        <f t="shared" si="1"/>
        <v>0.58374384236453192</v>
      </c>
      <c r="W19" s="115">
        <f>+(U19-U18)/(U15-U18)</f>
        <v>0.10182767624020886</v>
      </c>
      <c r="Y19" s="300"/>
    </row>
    <row r="20" spans="1:25" x14ac:dyDescent="0.2">
      <c r="L20" s="80" t="s">
        <v>199</v>
      </c>
      <c r="M20" s="93" t="s">
        <v>169</v>
      </c>
      <c r="N20" s="93" t="s">
        <v>200</v>
      </c>
      <c r="O20" s="93" t="s">
        <v>201</v>
      </c>
      <c r="P20" s="94" t="s">
        <v>191</v>
      </c>
      <c r="Q20" s="87" t="s">
        <v>202</v>
      </c>
      <c r="Y20" s="300"/>
    </row>
    <row r="21" spans="1:25" ht="15.75" customHeight="1" x14ac:dyDescent="0.2">
      <c r="L21" s="116">
        <f>+U19</f>
        <v>0.23699999999999999</v>
      </c>
      <c r="M21" s="117">
        <f>+Q18</f>
        <v>-31.216851418947758</v>
      </c>
      <c r="N21" s="112">
        <f>+U15</f>
        <v>1.613</v>
      </c>
      <c r="O21" s="118">
        <f>+U18</f>
        <v>8.1000000000000003E-2</v>
      </c>
      <c r="P21" s="119">
        <f>+Q16</f>
        <v>534.09395973154358</v>
      </c>
      <c r="Q21" s="78">
        <f>M21+(P21-M21)*(L21-O21)/(N21-O21)</f>
        <v>26.347434833974322</v>
      </c>
      <c r="T21" s="121"/>
      <c r="Y21" s="300"/>
    </row>
    <row r="22" spans="1:25" ht="15.75" customHeight="1" x14ac:dyDescent="0.2">
      <c r="Y22" s="301"/>
    </row>
    <row r="23" spans="1:25" ht="15.75" customHeight="1" x14ac:dyDescent="0.25">
      <c r="A23" s="345"/>
      <c r="B23" s="297"/>
      <c r="C23" s="297"/>
      <c r="D23" s="297"/>
      <c r="E23" s="297"/>
      <c r="F23" s="297"/>
      <c r="G23" s="297"/>
      <c r="H23" s="297"/>
      <c r="I23" s="297"/>
      <c r="J23" s="297"/>
      <c r="K23" s="297"/>
      <c r="L23" s="297"/>
      <c r="M23" s="297"/>
      <c r="N23" s="297"/>
      <c r="O23" s="297"/>
      <c r="P23" s="297"/>
      <c r="Q23" s="297"/>
      <c r="R23" s="297"/>
      <c r="S23" s="297"/>
      <c r="T23" s="297"/>
      <c r="U23" s="297"/>
      <c r="V23" s="297"/>
      <c r="W23" s="297"/>
      <c r="X23" s="297"/>
      <c r="Y23" s="298"/>
    </row>
    <row r="24" spans="1:25" ht="15.75" customHeight="1" x14ac:dyDescent="0.2"/>
    <row r="25" spans="1:25" ht="15.75" customHeight="1" x14ac:dyDescent="0.2"/>
    <row r="26" spans="1:25" ht="15.75" customHeight="1" x14ac:dyDescent="0.2"/>
    <row r="27" spans="1:25" ht="15.75" customHeight="1" x14ac:dyDescent="0.2"/>
    <row r="28" spans="1:25" ht="15.75" customHeight="1" x14ac:dyDescent="0.2"/>
    <row r="29" spans="1:25" ht="15.75" customHeight="1" x14ac:dyDescent="0.2"/>
    <row r="30" spans="1:25" ht="15.75" customHeight="1" x14ac:dyDescent="0.2"/>
    <row r="31" spans="1:25" ht="15.75" customHeight="1" x14ac:dyDescent="0.2"/>
    <row r="32" spans="1:2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3">
    <mergeCell ref="A23:Y23"/>
    <mergeCell ref="Y1:Y22"/>
    <mergeCell ref="L3:Q3"/>
    <mergeCell ref="S3:W3"/>
    <mergeCell ref="G4:J4"/>
    <mergeCell ref="L4:Q5"/>
    <mergeCell ref="A5:E5"/>
    <mergeCell ref="A10:E10"/>
    <mergeCell ref="G5:J5"/>
    <mergeCell ref="G9:J9"/>
    <mergeCell ref="S4:W4"/>
    <mergeCell ref="S11:W13"/>
    <mergeCell ref="L13:Q14"/>
  </mergeCells>
  <pageMargins left="0.7" right="0.7" top="0.75" bottom="0.75" header="0" footer="0"/>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Z1000"/>
  <sheetViews>
    <sheetView workbookViewId="0"/>
  </sheetViews>
  <sheetFormatPr baseColWidth="10" defaultColWidth="12.625" defaultRowHeight="15" customHeight="1" x14ac:dyDescent="0.2"/>
  <cols>
    <col min="1" max="1" width="10" customWidth="1"/>
    <col min="2" max="2" width="12.875" customWidth="1"/>
    <col min="3" max="3" width="12.5" customWidth="1"/>
    <col min="4" max="26" width="10" customWidth="1"/>
  </cols>
  <sheetData>
    <row r="1" spans="1:26" x14ac:dyDescent="0.25">
      <c r="A1" s="345"/>
      <c r="B1" s="297"/>
      <c r="C1" s="297"/>
      <c r="D1" s="297"/>
      <c r="E1" s="297"/>
      <c r="F1" s="297"/>
      <c r="G1" s="297"/>
      <c r="H1" s="297"/>
      <c r="I1" s="297"/>
      <c r="J1" s="297"/>
      <c r="K1" s="297"/>
      <c r="L1" s="297"/>
      <c r="M1" s="297"/>
      <c r="N1" s="297"/>
      <c r="O1" s="297"/>
      <c r="P1" s="297"/>
      <c r="Q1" s="297"/>
      <c r="R1" s="297"/>
      <c r="S1" s="297"/>
      <c r="T1" s="297"/>
      <c r="U1" s="297"/>
      <c r="V1" s="297"/>
      <c r="W1" s="297"/>
      <c r="X1" s="297"/>
      <c r="Y1" s="297"/>
      <c r="Z1" s="298"/>
    </row>
    <row r="2" spans="1:26" ht="14.25" x14ac:dyDescent="0.2">
      <c r="Z2" s="346"/>
    </row>
    <row r="3" spans="1:26" ht="14.25" x14ac:dyDescent="0.2">
      <c r="Z3" s="300"/>
    </row>
    <row r="4" spans="1:26" ht="18.75" x14ac:dyDescent="0.3">
      <c r="B4" s="161" t="s">
        <v>353</v>
      </c>
      <c r="C4" s="163" t="s">
        <v>1442</v>
      </c>
      <c r="Z4" s="300"/>
    </row>
    <row r="5" spans="1:26" ht="18.75" x14ac:dyDescent="0.3">
      <c r="B5" s="164" t="s">
        <v>360</v>
      </c>
      <c r="C5" s="165">
        <v>43129</v>
      </c>
      <c r="Z5" s="300"/>
    </row>
    <row r="6" spans="1:26" ht="18.75" x14ac:dyDescent="0.3">
      <c r="M6" s="320" t="s">
        <v>153</v>
      </c>
      <c r="N6" s="297"/>
      <c r="O6" s="297"/>
      <c r="P6" s="297"/>
      <c r="Q6" s="297"/>
      <c r="R6" s="298"/>
      <c r="T6" s="321" t="s">
        <v>154</v>
      </c>
      <c r="U6" s="322"/>
      <c r="V6" s="322"/>
      <c r="W6" s="322"/>
      <c r="X6" s="323"/>
      <c r="Z6" s="300"/>
    </row>
    <row r="7" spans="1:26" ht="36" x14ac:dyDescent="0.2">
      <c r="B7" s="156" t="s">
        <v>0</v>
      </c>
      <c r="C7" s="157" t="s">
        <v>1</v>
      </c>
      <c r="D7" s="157" t="s">
        <v>42</v>
      </c>
      <c r="E7" s="157" t="s">
        <v>43</v>
      </c>
      <c r="F7" s="157" t="s">
        <v>44</v>
      </c>
      <c r="H7" s="296" t="s">
        <v>45</v>
      </c>
      <c r="I7" s="297"/>
      <c r="J7" s="297"/>
      <c r="K7" s="298"/>
      <c r="M7" s="311" t="s">
        <v>157</v>
      </c>
      <c r="N7" s="312"/>
      <c r="O7" s="312"/>
      <c r="P7" s="312"/>
      <c r="Q7" s="312"/>
      <c r="R7" s="313"/>
      <c r="T7" s="325" t="s">
        <v>157</v>
      </c>
      <c r="U7" s="297"/>
      <c r="V7" s="297"/>
      <c r="W7" s="297"/>
      <c r="X7" s="298"/>
      <c r="Z7" s="300"/>
    </row>
    <row r="8" spans="1:26" ht="45" x14ac:dyDescent="0.2">
      <c r="B8" s="310" t="s">
        <v>8</v>
      </c>
      <c r="C8" s="297"/>
      <c r="D8" s="297"/>
      <c r="E8" s="297"/>
      <c r="F8" s="298"/>
      <c r="H8" s="305" t="s">
        <v>10</v>
      </c>
      <c r="I8" s="297"/>
      <c r="J8" s="297"/>
      <c r="K8" s="298"/>
      <c r="M8" s="317"/>
      <c r="N8" s="318"/>
      <c r="O8" s="318"/>
      <c r="P8" s="318"/>
      <c r="Q8" s="318"/>
      <c r="R8" s="319"/>
      <c r="T8" s="58" t="s">
        <v>160</v>
      </c>
      <c r="U8" s="59" t="s">
        <v>161</v>
      </c>
      <c r="V8" s="59" t="s">
        <v>162</v>
      </c>
      <c r="W8" s="61" t="s">
        <v>163</v>
      </c>
      <c r="X8" s="62" t="s">
        <v>165</v>
      </c>
      <c r="Z8" s="300"/>
    </row>
    <row r="9" spans="1:26" x14ac:dyDescent="0.25">
      <c r="B9" s="9" t="s">
        <v>11</v>
      </c>
      <c r="C9" s="9" t="s">
        <v>12</v>
      </c>
      <c r="D9" s="22">
        <v>860</v>
      </c>
      <c r="E9" s="22">
        <v>860</v>
      </c>
      <c r="F9" s="11">
        <v>517</v>
      </c>
      <c r="H9" s="12"/>
      <c r="I9" s="12" t="s">
        <v>52</v>
      </c>
      <c r="J9" s="12" t="s">
        <v>53</v>
      </c>
      <c r="K9" s="12"/>
      <c r="M9" s="63" t="s">
        <v>168</v>
      </c>
      <c r="N9" s="64" t="s">
        <v>169</v>
      </c>
      <c r="O9" s="64" t="s">
        <v>171</v>
      </c>
      <c r="P9" s="64" t="s">
        <v>172</v>
      </c>
      <c r="Q9" s="65" t="s">
        <v>173</v>
      </c>
      <c r="R9" s="66" t="s">
        <v>175</v>
      </c>
      <c r="T9" s="63" t="s">
        <v>176</v>
      </c>
      <c r="U9" s="67">
        <v>0.68600000000000005</v>
      </c>
      <c r="V9" s="68">
        <v>1.9430000000000001</v>
      </c>
      <c r="W9" s="70">
        <f t="shared" ref="W9:W13" si="0">+V9/U9</f>
        <v>2.8323615160349851</v>
      </c>
      <c r="X9" s="72"/>
      <c r="Z9" s="300"/>
    </row>
    <row r="10" spans="1:26" ht="15.75" x14ac:dyDescent="0.25">
      <c r="B10" s="9" t="s">
        <v>11</v>
      </c>
      <c r="C10" s="12" t="s">
        <v>18</v>
      </c>
      <c r="D10" s="22">
        <v>0</v>
      </c>
      <c r="E10" s="22">
        <v>0</v>
      </c>
      <c r="F10" s="11">
        <v>0</v>
      </c>
      <c r="H10" s="12" t="s">
        <v>12</v>
      </c>
      <c r="I10" s="177">
        <v>860</v>
      </c>
      <c r="J10" s="178">
        <v>516</v>
      </c>
      <c r="K10" s="17" t="s">
        <v>1447</v>
      </c>
      <c r="M10" s="73">
        <v>440</v>
      </c>
      <c r="N10" s="74">
        <v>20</v>
      </c>
      <c r="O10" s="74">
        <f>+V9</f>
        <v>1.9430000000000001</v>
      </c>
      <c r="P10" s="76">
        <f>+V12</f>
        <v>1.56</v>
      </c>
      <c r="Q10" s="77">
        <f>+V10</f>
        <v>1.9590000000000001</v>
      </c>
      <c r="R10" s="78">
        <f>(M10-N10)*(O10-P10)/(Q10-P10)+N10</f>
        <v>423.15789473684214</v>
      </c>
      <c r="T10" s="80" t="s">
        <v>188</v>
      </c>
      <c r="U10" s="74">
        <v>0.68200000000000005</v>
      </c>
      <c r="V10" s="82">
        <v>1.9590000000000001</v>
      </c>
      <c r="W10" s="84">
        <f t="shared" si="0"/>
        <v>2.872434017595308</v>
      </c>
      <c r="X10" s="86">
        <f>(V10-V12)/(V9-V12)</f>
        <v>1.04177545691906</v>
      </c>
      <c r="Z10" s="300"/>
    </row>
    <row r="11" spans="1:26" x14ac:dyDescent="0.25">
      <c r="B11" s="9" t="s">
        <v>21</v>
      </c>
      <c r="C11" s="12" t="s">
        <v>59</v>
      </c>
      <c r="D11" s="22">
        <v>440</v>
      </c>
      <c r="E11" s="22">
        <v>428</v>
      </c>
      <c r="F11" s="11">
        <v>441</v>
      </c>
      <c r="H11" s="12" t="s">
        <v>18</v>
      </c>
      <c r="I11" s="177">
        <v>0</v>
      </c>
      <c r="J11" s="178">
        <v>0</v>
      </c>
      <c r="K11" s="17" t="s">
        <v>1450</v>
      </c>
      <c r="M11" s="73" t="s">
        <v>168</v>
      </c>
      <c r="N11" s="74" t="s">
        <v>171</v>
      </c>
      <c r="O11" s="74" t="s">
        <v>190</v>
      </c>
      <c r="P11" s="74" t="s">
        <v>191</v>
      </c>
      <c r="Q11" s="77" t="s">
        <v>173</v>
      </c>
      <c r="R11" s="87" t="s">
        <v>192</v>
      </c>
      <c r="T11" s="80" t="s">
        <v>193</v>
      </c>
      <c r="U11" s="74">
        <v>0.67700000000000005</v>
      </c>
      <c r="V11" s="82">
        <v>1.859</v>
      </c>
      <c r="W11" s="84">
        <f t="shared" si="0"/>
        <v>2.7459379615952733</v>
      </c>
      <c r="X11" s="86">
        <f>(V11-V12)/(V9-V12)</f>
        <v>0.78067885117493452</v>
      </c>
      <c r="Z11" s="300"/>
    </row>
    <row r="12" spans="1:26" x14ac:dyDescent="0.25">
      <c r="B12" s="49" t="s">
        <v>21</v>
      </c>
      <c r="C12" s="10" t="s">
        <v>63</v>
      </c>
      <c r="D12" s="169">
        <v>160</v>
      </c>
      <c r="E12" s="169">
        <v>156</v>
      </c>
      <c r="F12" s="51">
        <v>157</v>
      </c>
      <c r="H12" s="305" t="s">
        <v>23</v>
      </c>
      <c r="I12" s="297"/>
      <c r="J12" s="297"/>
      <c r="K12" s="298"/>
      <c r="M12" s="73">
        <v>160</v>
      </c>
      <c r="N12" s="74">
        <f>+V9</f>
        <v>1.9430000000000001</v>
      </c>
      <c r="O12" s="76">
        <f>+V12</f>
        <v>1.56</v>
      </c>
      <c r="P12" s="89">
        <f>+R10</f>
        <v>423.15789473684214</v>
      </c>
      <c r="Q12" s="77">
        <f>+V11</f>
        <v>1.859</v>
      </c>
      <c r="R12" s="90">
        <f>(M12*(N12-O12)-P12*(Q12-O12))/(N12-Q12)</f>
        <v>-776.71679197994888</v>
      </c>
      <c r="T12" s="80" t="s">
        <v>194</v>
      </c>
      <c r="U12" s="74">
        <v>0.66500000000000004</v>
      </c>
      <c r="V12" s="91">
        <v>1.56</v>
      </c>
      <c r="W12" s="84">
        <f t="shared" si="0"/>
        <v>2.3458646616541352</v>
      </c>
      <c r="X12" s="86"/>
      <c r="Z12" s="300"/>
    </row>
    <row r="13" spans="1:26" x14ac:dyDescent="0.25">
      <c r="B13" s="310" t="s">
        <v>29</v>
      </c>
      <c r="C13" s="297"/>
      <c r="D13" s="297"/>
      <c r="E13" s="297"/>
      <c r="F13" s="298"/>
      <c r="H13" s="12" t="s">
        <v>12</v>
      </c>
      <c r="I13" s="177">
        <v>830</v>
      </c>
      <c r="J13" s="22">
        <v>486</v>
      </c>
      <c r="K13" s="17" t="s">
        <v>1457</v>
      </c>
      <c r="M13" s="80" t="s">
        <v>196</v>
      </c>
      <c r="N13" s="93"/>
      <c r="O13" s="93"/>
      <c r="P13" s="93"/>
      <c r="Q13" s="94"/>
      <c r="R13" s="95"/>
      <c r="T13" s="96" t="s">
        <v>197</v>
      </c>
      <c r="U13" s="97">
        <v>0.66700000000000004</v>
      </c>
      <c r="V13" s="99">
        <v>1.56</v>
      </c>
      <c r="W13" s="100">
        <f t="shared" si="0"/>
        <v>2.338830584707646</v>
      </c>
      <c r="X13" s="101">
        <f>+(V13-V12)/(V9-V12)</f>
        <v>0</v>
      </c>
      <c r="Z13" s="300"/>
    </row>
    <row r="14" spans="1:26" x14ac:dyDescent="0.2">
      <c r="B14" s="9" t="s">
        <v>11</v>
      </c>
      <c r="C14" s="9" t="s">
        <v>12</v>
      </c>
      <c r="D14" s="22">
        <v>830</v>
      </c>
      <c r="E14" s="22">
        <v>830</v>
      </c>
      <c r="F14" s="22">
        <v>491</v>
      </c>
      <c r="H14" s="12" t="s">
        <v>18</v>
      </c>
      <c r="I14" s="177">
        <v>0</v>
      </c>
      <c r="J14" s="22">
        <v>0</v>
      </c>
      <c r="K14" s="17" t="s">
        <v>1458</v>
      </c>
      <c r="M14" s="80" t="s">
        <v>199</v>
      </c>
      <c r="N14" s="93" t="s">
        <v>169</v>
      </c>
      <c r="O14" s="93" t="s">
        <v>200</v>
      </c>
      <c r="P14" s="93" t="s">
        <v>201</v>
      </c>
      <c r="Q14" s="94" t="s">
        <v>191</v>
      </c>
      <c r="R14" s="87" t="s">
        <v>202</v>
      </c>
      <c r="T14" s="311" t="s">
        <v>203</v>
      </c>
      <c r="U14" s="312"/>
      <c r="V14" s="312"/>
      <c r="W14" s="312"/>
      <c r="X14" s="313"/>
      <c r="Z14" s="300"/>
    </row>
    <row r="15" spans="1:26" x14ac:dyDescent="0.2">
      <c r="B15" s="9" t="s">
        <v>11</v>
      </c>
      <c r="C15" s="12" t="s">
        <v>18</v>
      </c>
      <c r="D15" s="22">
        <v>0</v>
      </c>
      <c r="E15" s="22">
        <v>0</v>
      </c>
      <c r="F15" s="22">
        <v>0</v>
      </c>
      <c r="M15" s="102">
        <f>+V13</f>
        <v>1.56</v>
      </c>
      <c r="N15" s="103">
        <f>+R12</f>
        <v>-776.71679197994888</v>
      </c>
      <c r="O15" s="97">
        <f>+V9</f>
        <v>1.9430000000000001</v>
      </c>
      <c r="P15" s="104">
        <f>+V12</f>
        <v>1.56</v>
      </c>
      <c r="Q15" s="105">
        <f>+R10</f>
        <v>423.15789473684214</v>
      </c>
      <c r="R15" s="106">
        <f>N15+(Q15-N15)*(M15-P15)/(O15-P15)</f>
        <v>-776.71679197994888</v>
      </c>
      <c r="T15" s="314"/>
      <c r="U15" s="315"/>
      <c r="V15" s="315"/>
      <c r="W15" s="315"/>
      <c r="X15" s="316"/>
      <c r="Z15" s="300"/>
    </row>
    <row r="16" spans="1:26" ht="14.25" x14ac:dyDescent="0.2">
      <c r="B16" s="9" t="s">
        <v>21</v>
      </c>
      <c r="C16" s="12" t="s">
        <v>59</v>
      </c>
      <c r="D16" s="22">
        <v>420</v>
      </c>
      <c r="E16" s="22">
        <v>415</v>
      </c>
      <c r="F16" s="22">
        <v>418</v>
      </c>
      <c r="M16" s="311" t="s">
        <v>204</v>
      </c>
      <c r="N16" s="312"/>
      <c r="O16" s="312"/>
      <c r="P16" s="312"/>
      <c r="Q16" s="312"/>
      <c r="R16" s="313"/>
      <c r="T16" s="317"/>
      <c r="U16" s="318"/>
      <c r="V16" s="318"/>
      <c r="W16" s="318"/>
      <c r="X16" s="319"/>
      <c r="Z16" s="300"/>
    </row>
    <row r="17" spans="2:26" ht="45" x14ac:dyDescent="0.2">
      <c r="B17" s="9" t="s">
        <v>21</v>
      </c>
      <c r="C17" s="12" t="s">
        <v>63</v>
      </c>
      <c r="D17" s="22">
        <v>150</v>
      </c>
      <c r="E17" s="22">
        <v>149</v>
      </c>
      <c r="F17" s="22">
        <v>140</v>
      </c>
      <c r="M17" s="317"/>
      <c r="N17" s="318"/>
      <c r="O17" s="318"/>
      <c r="P17" s="318"/>
      <c r="Q17" s="318"/>
      <c r="R17" s="319"/>
      <c r="T17" s="58" t="s">
        <v>160</v>
      </c>
      <c r="U17" s="59" t="s">
        <v>161</v>
      </c>
      <c r="V17" s="59" t="s">
        <v>162</v>
      </c>
      <c r="W17" s="61" t="s">
        <v>163</v>
      </c>
      <c r="X17" s="62" t="s">
        <v>165</v>
      </c>
      <c r="Z17" s="300"/>
    </row>
    <row r="18" spans="2:26" x14ac:dyDescent="0.25">
      <c r="M18" s="63" t="s">
        <v>168</v>
      </c>
      <c r="N18" s="64" t="s">
        <v>169</v>
      </c>
      <c r="O18" s="64" t="s">
        <v>171</v>
      </c>
      <c r="P18" s="64" t="s">
        <v>172</v>
      </c>
      <c r="Q18" s="65" t="s">
        <v>173</v>
      </c>
      <c r="R18" s="66" t="s">
        <v>175</v>
      </c>
      <c r="T18" s="63" t="s">
        <v>176</v>
      </c>
      <c r="U18" s="67">
        <v>0.70699999999999996</v>
      </c>
      <c r="V18" s="68">
        <v>2.5510000000000002</v>
      </c>
      <c r="W18" s="70">
        <f t="shared" ref="W18:W22" si="1">+V18/U18</f>
        <v>3.6082036775106086</v>
      </c>
      <c r="X18" s="107"/>
      <c r="Z18" s="300"/>
    </row>
    <row r="19" spans="2:26" ht="15.75" x14ac:dyDescent="0.25">
      <c r="M19" s="73">
        <v>420</v>
      </c>
      <c r="N19" s="74">
        <v>20</v>
      </c>
      <c r="O19" s="74">
        <f>+V18</f>
        <v>2.5510000000000002</v>
      </c>
      <c r="P19" s="76">
        <f>+V21</f>
        <v>1.0999999999999999E-2</v>
      </c>
      <c r="Q19" s="77">
        <f>+V19</f>
        <v>2.1909999999999998</v>
      </c>
      <c r="R19" s="108">
        <f>(M19-N19)*(O19-P19)/(Q19-P19)+N19</f>
        <v>486.05504587155968</v>
      </c>
      <c r="T19" s="80" t="s">
        <v>188</v>
      </c>
      <c r="U19" s="74">
        <v>0.68899999999999995</v>
      </c>
      <c r="V19" s="82">
        <v>2.1909999999999998</v>
      </c>
      <c r="W19" s="84">
        <f t="shared" si="1"/>
        <v>3.1799709724238028</v>
      </c>
      <c r="X19" s="86">
        <f>(V19-V21)/(V18-V21)</f>
        <v>0.85826771653543299</v>
      </c>
      <c r="Z19" s="300"/>
    </row>
    <row r="20" spans="2:26" x14ac:dyDescent="0.25">
      <c r="M20" s="73" t="s">
        <v>168</v>
      </c>
      <c r="N20" s="74" t="s">
        <v>171</v>
      </c>
      <c r="O20" s="74" t="s">
        <v>190</v>
      </c>
      <c r="P20" s="74" t="s">
        <v>191</v>
      </c>
      <c r="Q20" s="77" t="s">
        <v>173</v>
      </c>
      <c r="R20" s="87" t="s">
        <v>192</v>
      </c>
      <c r="T20" s="80" t="s">
        <v>193</v>
      </c>
      <c r="U20" s="74">
        <v>0.628</v>
      </c>
      <c r="V20" s="91">
        <v>0.503</v>
      </c>
      <c r="W20" s="84">
        <f t="shared" si="1"/>
        <v>0.80095541401273884</v>
      </c>
      <c r="X20" s="86">
        <f>(V20-V21)/(V18-V21)</f>
        <v>0.19370078740157479</v>
      </c>
      <c r="Z20" s="300"/>
    </row>
    <row r="21" spans="2:26" ht="15.75" customHeight="1" x14ac:dyDescent="0.25">
      <c r="M21" s="73">
        <v>140</v>
      </c>
      <c r="N21" s="74">
        <f>+V18</f>
        <v>2.5510000000000002</v>
      </c>
      <c r="O21" s="76">
        <f>+V21</f>
        <v>1.0999999999999999E-2</v>
      </c>
      <c r="P21" s="74">
        <f>+R19</f>
        <v>486.05504587155968</v>
      </c>
      <c r="Q21" s="109">
        <f>+V20</f>
        <v>0.503</v>
      </c>
      <c r="R21" s="78">
        <f>(M21*(N21-O21)-P21*(Q21-O21))/(N21-Q21)</f>
        <v>56.865682339449535</v>
      </c>
      <c r="T21" s="80" t="s">
        <v>194</v>
      </c>
      <c r="U21" s="74">
        <v>0.6</v>
      </c>
      <c r="V21" s="91">
        <v>1.0999999999999999E-2</v>
      </c>
      <c r="W21" s="84">
        <f t="shared" si="1"/>
        <v>1.8333333333333333E-2</v>
      </c>
      <c r="X21" s="86"/>
      <c r="Z21" s="300"/>
    </row>
    <row r="22" spans="2:26" ht="15.75" customHeight="1" x14ac:dyDescent="0.25">
      <c r="M22" s="80" t="s">
        <v>196</v>
      </c>
      <c r="N22" s="93"/>
      <c r="O22" s="93"/>
      <c r="P22" s="93"/>
      <c r="Q22" s="94"/>
      <c r="R22" s="95"/>
      <c r="T22" s="111" t="s">
        <v>197</v>
      </c>
      <c r="U22" s="112">
        <v>0.60199999999999998</v>
      </c>
      <c r="V22" s="113">
        <v>1.2E-2</v>
      </c>
      <c r="W22" s="114">
        <f t="shared" si="1"/>
        <v>1.993355481727575E-2</v>
      </c>
      <c r="X22" s="115">
        <f>+(V22-V21)/(V18-V21)</f>
        <v>3.9370078740157512E-4</v>
      </c>
      <c r="Z22" s="300"/>
    </row>
    <row r="23" spans="2:26" ht="15.75" customHeight="1" x14ac:dyDescent="0.2">
      <c r="M23" s="80" t="s">
        <v>199</v>
      </c>
      <c r="N23" s="93" t="s">
        <v>169</v>
      </c>
      <c r="O23" s="93" t="s">
        <v>200</v>
      </c>
      <c r="P23" s="93" t="s">
        <v>201</v>
      </c>
      <c r="Q23" s="94" t="s">
        <v>191</v>
      </c>
      <c r="R23" s="87" t="s">
        <v>202</v>
      </c>
      <c r="Z23" s="300"/>
    </row>
    <row r="24" spans="2:26" ht="15.75" customHeight="1" x14ac:dyDescent="0.2">
      <c r="M24" s="116">
        <f>+V22</f>
        <v>1.2E-2</v>
      </c>
      <c r="N24" s="117">
        <f>+R21</f>
        <v>56.865682339449535</v>
      </c>
      <c r="O24" s="112">
        <f>+V18</f>
        <v>2.5510000000000002</v>
      </c>
      <c r="P24" s="118">
        <f>+V21</f>
        <v>1.0999999999999999E-2</v>
      </c>
      <c r="Q24" s="119">
        <f>+R19</f>
        <v>486.05504587155968</v>
      </c>
      <c r="R24" s="78">
        <f>N24+(Q24-N24)*(M24-P24)/(O24-P24)</f>
        <v>57.034654529816507</v>
      </c>
      <c r="U24" s="121"/>
      <c r="Z24" s="300"/>
    </row>
    <row r="25" spans="2:26" ht="15.75" customHeight="1" x14ac:dyDescent="0.2">
      <c r="Z25" s="301"/>
    </row>
    <row r="26" spans="2:26" ht="15.75" customHeight="1" x14ac:dyDescent="0.3">
      <c r="M26" s="320" t="s">
        <v>153</v>
      </c>
      <c r="N26" s="297"/>
      <c r="O26" s="297"/>
      <c r="P26" s="297"/>
      <c r="Q26" s="297"/>
      <c r="R26" s="298"/>
      <c r="T26" s="321" t="s">
        <v>154</v>
      </c>
      <c r="U26" s="322"/>
      <c r="V26" s="322"/>
      <c r="W26" s="322"/>
      <c r="X26" s="323"/>
    </row>
    <row r="27" spans="2:26" ht="15.75" customHeight="1" x14ac:dyDescent="0.2">
      <c r="M27" s="311" t="s">
        <v>157</v>
      </c>
      <c r="N27" s="312"/>
      <c r="O27" s="312"/>
      <c r="P27" s="312"/>
      <c r="Q27" s="312"/>
      <c r="R27" s="313"/>
      <c r="T27" s="325" t="s">
        <v>157</v>
      </c>
      <c r="U27" s="297"/>
      <c r="V27" s="297"/>
      <c r="W27" s="297"/>
      <c r="X27" s="298"/>
    </row>
    <row r="28" spans="2:26" ht="15.75" customHeight="1" x14ac:dyDescent="0.2">
      <c r="M28" s="317"/>
      <c r="N28" s="318"/>
      <c r="O28" s="318"/>
      <c r="P28" s="318"/>
      <c r="Q28" s="318"/>
      <c r="R28" s="319"/>
      <c r="T28" s="58" t="s">
        <v>160</v>
      </c>
      <c r="U28" s="59" t="s">
        <v>161</v>
      </c>
      <c r="V28" s="59" t="s">
        <v>162</v>
      </c>
      <c r="W28" s="61" t="s">
        <v>163</v>
      </c>
      <c r="X28" s="62" t="s">
        <v>165</v>
      </c>
    </row>
    <row r="29" spans="2:26" ht="15.75" customHeight="1" x14ac:dyDescent="0.25">
      <c r="M29" s="63" t="s">
        <v>168</v>
      </c>
      <c r="N29" s="64" t="s">
        <v>169</v>
      </c>
      <c r="O29" s="64" t="s">
        <v>171</v>
      </c>
      <c r="P29" s="64" t="s">
        <v>172</v>
      </c>
      <c r="Q29" s="65" t="s">
        <v>173</v>
      </c>
      <c r="R29" s="66" t="s">
        <v>175</v>
      </c>
      <c r="T29" s="63" t="s">
        <v>176</v>
      </c>
      <c r="U29" s="67">
        <v>0.69199999999999995</v>
      </c>
      <c r="V29" s="68">
        <v>1.9430000000000001</v>
      </c>
      <c r="W29" s="70">
        <f t="shared" ref="W29:W33" si="2">+V29/U29</f>
        <v>2.8078034682080926</v>
      </c>
      <c r="X29" s="72"/>
    </row>
    <row r="30" spans="2:26" ht="15.75" customHeight="1" x14ac:dyDescent="0.25">
      <c r="M30" s="73">
        <v>440</v>
      </c>
      <c r="N30" s="74">
        <v>20</v>
      </c>
      <c r="O30" s="74">
        <f>+V29</f>
        <v>1.9430000000000001</v>
      </c>
      <c r="P30" s="76">
        <f>+V32</f>
        <v>1.56</v>
      </c>
      <c r="Q30" s="77">
        <f>+V30</f>
        <v>1.9590000000000001</v>
      </c>
      <c r="R30" s="78">
        <f>(M30-N30)*(O30-P30)/(Q30-P30)+N30</f>
        <v>423.15789473684214</v>
      </c>
      <c r="T30" s="80" t="s">
        <v>188</v>
      </c>
      <c r="U30" s="74">
        <v>0.69299999999999995</v>
      </c>
      <c r="V30" s="82">
        <v>1.9590000000000001</v>
      </c>
      <c r="W30" s="84">
        <f t="shared" si="2"/>
        <v>2.8268398268398274</v>
      </c>
      <c r="X30" s="86">
        <f>(V30-V32)/(V29-V32)</f>
        <v>1.04177545691906</v>
      </c>
    </row>
    <row r="31" spans="2:26" ht="15.75" customHeight="1" x14ac:dyDescent="0.25">
      <c r="L31" s="21" t="s">
        <v>1462</v>
      </c>
      <c r="M31" s="73" t="s">
        <v>168</v>
      </c>
      <c r="N31" s="74" t="s">
        <v>171</v>
      </c>
      <c r="O31" s="74" t="s">
        <v>190</v>
      </c>
      <c r="P31" s="74" t="s">
        <v>191</v>
      </c>
      <c r="Q31" s="77" t="s">
        <v>173</v>
      </c>
      <c r="R31" s="87" t="s">
        <v>192</v>
      </c>
      <c r="T31" s="80" t="s">
        <v>193</v>
      </c>
      <c r="U31" s="74">
        <v>0.68300000000000005</v>
      </c>
      <c r="V31" s="82">
        <v>1.859</v>
      </c>
      <c r="W31" s="84">
        <f t="shared" si="2"/>
        <v>2.7218155197657392</v>
      </c>
      <c r="X31" s="86">
        <f>(V31-V32)/(V29-V32)</f>
        <v>0.78067885117493452</v>
      </c>
    </row>
    <row r="32" spans="2:26" ht="15.75" customHeight="1" x14ac:dyDescent="0.25">
      <c r="M32" s="73">
        <v>160</v>
      </c>
      <c r="N32" s="74">
        <f>+V29</f>
        <v>1.9430000000000001</v>
      </c>
      <c r="O32" s="76">
        <f>+V32</f>
        <v>1.56</v>
      </c>
      <c r="P32" s="89">
        <f>+R30</f>
        <v>423.15789473684214</v>
      </c>
      <c r="Q32" s="77">
        <f>+V31</f>
        <v>1.859</v>
      </c>
      <c r="R32" s="90">
        <f>(M32*(N32-O32)-P32*(Q32-O32))/(N32-Q32)</f>
        <v>-776.71679197994888</v>
      </c>
      <c r="T32" s="80" t="s">
        <v>194</v>
      </c>
      <c r="U32" s="74">
        <v>0.67600000000000005</v>
      </c>
      <c r="V32" s="91">
        <v>1.56</v>
      </c>
      <c r="W32" s="84">
        <f t="shared" si="2"/>
        <v>2.3076923076923075</v>
      </c>
      <c r="X32" s="86"/>
    </row>
    <row r="33" spans="13:24" ht="15.75" customHeight="1" x14ac:dyDescent="0.25">
      <c r="M33" s="80" t="s">
        <v>196</v>
      </c>
      <c r="N33" s="93"/>
      <c r="O33" s="93"/>
      <c r="P33" s="93"/>
      <c r="Q33" s="94"/>
      <c r="R33" s="95"/>
      <c r="T33" s="96" t="s">
        <v>197</v>
      </c>
      <c r="U33" s="97">
        <v>0.67800000000000005</v>
      </c>
      <c r="V33" s="99">
        <v>1.56</v>
      </c>
      <c r="W33" s="100">
        <f t="shared" si="2"/>
        <v>2.3008849557522124</v>
      </c>
      <c r="X33" s="101">
        <f>+(V33-V32)/(V29-V32)</f>
        <v>0</v>
      </c>
    </row>
    <row r="34" spans="13:24" ht="15.75" customHeight="1" x14ac:dyDescent="0.2">
      <c r="M34" s="80" t="s">
        <v>199</v>
      </c>
      <c r="N34" s="93" t="s">
        <v>169</v>
      </c>
      <c r="O34" s="93" t="s">
        <v>200</v>
      </c>
      <c r="P34" s="93" t="s">
        <v>201</v>
      </c>
      <c r="Q34" s="94" t="s">
        <v>191</v>
      </c>
      <c r="R34" s="87" t="s">
        <v>202</v>
      </c>
      <c r="T34" s="311" t="s">
        <v>203</v>
      </c>
      <c r="U34" s="312"/>
      <c r="V34" s="312"/>
      <c r="W34" s="312"/>
      <c r="X34" s="313"/>
    </row>
    <row r="35" spans="13:24" ht="15.75" customHeight="1" x14ac:dyDescent="0.2">
      <c r="M35" s="102">
        <f>+V33</f>
        <v>1.56</v>
      </c>
      <c r="N35" s="103">
        <f>+R32</f>
        <v>-776.71679197994888</v>
      </c>
      <c r="O35" s="97">
        <f>+V29</f>
        <v>1.9430000000000001</v>
      </c>
      <c r="P35" s="104">
        <f>+V32</f>
        <v>1.56</v>
      </c>
      <c r="Q35" s="105">
        <f>+R30</f>
        <v>423.15789473684214</v>
      </c>
      <c r="R35" s="106">
        <f>N35+(Q35-N35)*(M35-P35)/(O35-P35)</f>
        <v>-776.71679197994888</v>
      </c>
      <c r="T35" s="314"/>
      <c r="U35" s="315"/>
      <c r="V35" s="315"/>
      <c r="W35" s="315"/>
      <c r="X35" s="316"/>
    </row>
    <row r="36" spans="13:24" ht="15.75" customHeight="1" x14ac:dyDescent="0.2">
      <c r="M36" s="311" t="s">
        <v>204</v>
      </c>
      <c r="N36" s="312"/>
      <c r="O36" s="312"/>
      <c r="P36" s="312"/>
      <c r="Q36" s="312"/>
      <c r="R36" s="313"/>
      <c r="T36" s="317"/>
      <c r="U36" s="318"/>
      <c r="V36" s="318"/>
      <c r="W36" s="318"/>
      <c r="X36" s="319"/>
    </row>
    <row r="37" spans="13:24" ht="15.75" customHeight="1" x14ac:dyDescent="0.2">
      <c r="M37" s="317"/>
      <c r="N37" s="318"/>
      <c r="O37" s="318"/>
      <c r="P37" s="318"/>
      <c r="Q37" s="318"/>
      <c r="R37" s="319"/>
      <c r="T37" s="58" t="s">
        <v>160</v>
      </c>
      <c r="U37" s="59" t="s">
        <v>161</v>
      </c>
      <c r="V37" s="59" t="s">
        <v>162</v>
      </c>
      <c r="W37" s="61" t="s">
        <v>163</v>
      </c>
      <c r="X37" s="62" t="s">
        <v>165</v>
      </c>
    </row>
    <row r="38" spans="13:24" ht="15.75" customHeight="1" x14ac:dyDescent="0.25">
      <c r="M38" s="63" t="s">
        <v>168</v>
      </c>
      <c r="N38" s="64" t="s">
        <v>169</v>
      </c>
      <c r="O38" s="64" t="s">
        <v>171</v>
      </c>
      <c r="P38" s="64" t="s">
        <v>172</v>
      </c>
      <c r="Q38" s="65" t="s">
        <v>173</v>
      </c>
      <c r="R38" s="66" t="s">
        <v>175</v>
      </c>
      <c r="T38" s="63" t="s">
        <v>176</v>
      </c>
      <c r="U38" s="67">
        <v>0.72</v>
      </c>
      <c r="V38" s="68">
        <v>2.9769999999999999</v>
      </c>
      <c r="W38" s="70">
        <f t="shared" ref="W38:W42" si="3">+V38/U38</f>
        <v>4.134722222222222</v>
      </c>
      <c r="X38" s="107"/>
    </row>
    <row r="39" spans="13:24" ht="15.75" customHeight="1" x14ac:dyDescent="0.25">
      <c r="M39" s="73">
        <v>420</v>
      </c>
      <c r="N39" s="74">
        <v>20</v>
      </c>
      <c r="O39" s="74">
        <f>+V38</f>
        <v>2.9769999999999999</v>
      </c>
      <c r="P39" s="76">
        <f>+V41</f>
        <v>5.8999999999999997E-2</v>
      </c>
      <c r="Q39" s="77">
        <f>+V39</f>
        <v>2.4359999999999999</v>
      </c>
      <c r="R39" s="108">
        <f>(M39-N39)*(O39-P39)/(Q39-P39)+N39</f>
        <v>511.03912494741269</v>
      </c>
      <c r="T39" s="80" t="s">
        <v>188</v>
      </c>
      <c r="U39" s="74">
        <v>0.69599999999999995</v>
      </c>
      <c r="V39" s="82">
        <v>2.4359999999999999</v>
      </c>
      <c r="W39" s="84">
        <f t="shared" si="3"/>
        <v>3.5</v>
      </c>
      <c r="X39" s="86">
        <f>(V39-V41)/(V38-V41)</f>
        <v>0.81459904043865661</v>
      </c>
    </row>
    <row r="40" spans="13:24" ht="15.75" customHeight="1" x14ac:dyDescent="0.25">
      <c r="M40" s="73" t="s">
        <v>168</v>
      </c>
      <c r="N40" s="74" t="s">
        <v>171</v>
      </c>
      <c r="O40" s="74" t="s">
        <v>190</v>
      </c>
      <c r="P40" s="74" t="s">
        <v>191</v>
      </c>
      <c r="Q40" s="77" t="s">
        <v>173</v>
      </c>
      <c r="R40" s="87" t="s">
        <v>192</v>
      </c>
      <c r="T40" s="80" t="s">
        <v>193</v>
      </c>
      <c r="U40" s="74">
        <v>0.63200000000000001</v>
      </c>
      <c r="V40" s="91">
        <v>0.71899999999999997</v>
      </c>
      <c r="W40" s="84">
        <f t="shared" si="3"/>
        <v>1.1376582278481011</v>
      </c>
      <c r="X40" s="86">
        <f>(V40-V41)/(V38-V41)</f>
        <v>0.22618231665524333</v>
      </c>
    </row>
    <row r="41" spans="13:24" ht="15.75" customHeight="1" x14ac:dyDescent="0.25">
      <c r="M41" s="73">
        <v>140</v>
      </c>
      <c r="N41" s="74">
        <f>+V38</f>
        <v>2.9769999999999999</v>
      </c>
      <c r="O41" s="76">
        <f>+V41</f>
        <v>5.8999999999999997E-2</v>
      </c>
      <c r="P41" s="74">
        <f>+R39</f>
        <v>511.03912494741269</v>
      </c>
      <c r="Q41" s="109">
        <f>+V40</f>
        <v>0.71899999999999997</v>
      </c>
      <c r="R41" s="78">
        <f>(M41*(N41-O41)-P41*(Q41-O41))/(N41-Q41)</f>
        <v>31.547465692961765</v>
      </c>
      <c r="T41" s="80" t="s">
        <v>194</v>
      </c>
      <c r="U41" s="74">
        <v>0.60899999999999999</v>
      </c>
      <c r="V41" s="91">
        <v>5.8999999999999997E-2</v>
      </c>
      <c r="W41" s="84">
        <f t="shared" si="3"/>
        <v>9.6880131362889976E-2</v>
      </c>
      <c r="X41" s="86"/>
    </row>
    <row r="42" spans="13:24" ht="15.75" customHeight="1" x14ac:dyDescent="0.25">
      <c r="M42" s="80" t="s">
        <v>196</v>
      </c>
      <c r="N42" s="93"/>
      <c r="O42" s="93"/>
      <c r="P42" s="93"/>
      <c r="Q42" s="94"/>
      <c r="R42" s="95"/>
      <c r="T42" s="111" t="s">
        <v>197</v>
      </c>
      <c r="U42" s="112">
        <v>0.61099999999999999</v>
      </c>
      <c r="V42" s="113">
        <v>0.311</v>
      </c>
      <c r="W42" s="114">
        <f t="shared" si="3"/>
        <v>0.50900163666121112</v>
      </c>
      <c r="X42" s="115">
        <f>+(V42-V41)/(V38-V41)</f>
        <v>8.6360520904729274E-2</v>
      </c>
    </row>
    <row r="43" spans="13:24" ht="15.75" customHeight="1" x14ac:dyDescent="0.2">
      <c r="M43" s="80" t="s">
        <v>199</v>
      </c>
      <c r="N43" s="93" t="s">
        <v>169</v>
      </c>
      <c r="O43" s="93" t="s">
        <v>200</v>
      </c>
      <c r="P43" s="93" t="s">
        <v>201</v>
      </c>
      <c r="Q43" s="94" t="s">
        <v>191</v>
      </c>
      <c r="R43" s="87" t="s">
        <v>202</v>
      </c>
    </row>
    <row r="44" spans="13:24" ht="15.75" customHeight="1" x14ac:dyDescent="0.2">
      <c r="M44" s="116">
        <f>+V42</f>
        <v>0.311</v>
      </c>
      <c r="N44" s="117">
        <f>+R41</f>
        <v>31.547465692961765</v>
      </c>
      <c r="O44" s="112">
        <f>+V38</f>
        <v>2.9769999999999999</v>
      </c>
      <c r="P44" s="118">
        <f>+V41</f>
        <v>5.8999999999999997E-2</v>
      </c>
      <c r="Q44" s="119">
        <f>+R39</f>
        <v>511.03912494741269</v>
      </c>
      <c r="R44" s="78">
        <f>N44+(Q44-N44)*(M44-P44)/(O44-P44)</f>
        <v>72.956615155649104</v>
      </c>
      <c r="U44" s="121"/>
    </row>
    <row r="45" spans="13:24" ht="15.75" customHeight="1" x14ac:dyDescent="0.2"/>
    <row r="46" spans="13:24" ht="15.75" customHeight="1" x14ac:dyDescent="0.3">
      <c r="M46" s="320" t="s">
        <v>153</v>
      </c>
      <c r="N46" s="297"/>
      <c r="O46" s="297"/>
      <c r="P46" s="297"/>
      <c r="Q46" s="297"/>
      <c r="R46" s="298"/>
      <c r="T46" s="321" t="s">
        <v>154</v>
      </c>
      <c r="U46" s="322"/>
      <c r="V46" s="322"/>
      <c r="W46" s="322"/>
      <c r="X46" s="323"/>
    </row>
    <row r="47" spans="13:24" ht="15.75" customHeight="1" x14ac:dyDescent="0.2">
      <c r="M47" s="311" t="s">
        <v>157</v>
      </c>
      <c r="N47" s="312"/>
      <c r="O47" s="312"/>
      <c r="P47" s="312"/>
      <c r="Q47" s="312"/>
      <c r="R47" s="313"/>
      <c r="T47" s="325" t="s">
        <v>157</v>
      </c>
      <c r="U47" s="297"/>
      <c r="V47" s="297"/>
      <c r="W47" s="297"/>
      <c r="X47" s="298"/>
    </row>
    <row r="48" spans="13:24" ht="15.75" customHeight="1" x14ac:dyDescent="0.2">
      <c r="M48" s="317"/>
      <c r="N48" s="318"/>
      <c r="O48" s="318"/>
      <c r="P48" s="318"/>
      <c r="Q48" s="318"/>
      <c r="R48" s="319"/>
      <c r="T48" s="58" t="s">
        <v>160</v>
      </c>
      <c r="U48" s="59" t="s">
        <v>161</v>
      </c>
      <c r="V48" s="59" t="s">
        <v>162</v>
      </c>
      <c r="W48" s="61" t="s">
        <v>163</v>
      </c>
      <c r="X48" s="62" t="s">
        <v>165</v>
      </c>
    </row>
    <row r="49" spans="13:24" ht="15.75" customHeight="1" x14ac:dyDescent="0.25">
      <c r="M49" s="63" t="s">
        <v>168</v>
      </c>
      <c r="N49" s="64" t="s">
        <v>169</v>
      </c>
      <c r="O49" s="64" t="s">
        <v>171</v>
      </c>
      <c r="P49" s="64" t="s">
        <v>172</v>
      </c>
      <c r="Q49" s="65" t="s">
        <v>173</v>
      </c>
      <c r="R49" s="66" t="s">
        <v>175</v>
      </c>
      <c r="T49" s="63" t="s">
        <v>176</v>
      </c>
      <c r="U49" s="67">
        <v>0.69199999999999995</v>
      </c>
      <c r="V49" s="68">
        <v>1.95</v>
      </c>
      <c r="W49" s="70">
        <f t="shared" ref="W49:W53" si="4">+V49/U49</f>
        <v>2.8179190751445087</v>
      </c>
      <c r="X49" s="72"/>
    </row>
    <row r="50" spans="13:24" ht="15.75" customHeight="1" x14ac:dyDescent="0.25">
      <c r="M50" s="73">
        <v>440</v>
      </c>
      <c r="N50" s="74">
        <v>20</v>
      </c>
      <c r="O50" s="74">
        <f>+V49</f>
        <v>1.95</v>
      </c>
      <c r="P50" s="76">
        <f>+V52</f>
        <v>1.5680000000000001</v>
      </c>
      <c r="Q50" s="77">
        <f>+V50</f>
        <v>1.98</v>
      </c>
      <c r="R50" s="78">
        <f>(M50-N50)*(O50-P50)/(Q50-P50)+N50</f>
        <v>409.41747572815535</v>
      </c>
      <c r="T50" s="80" t="s">
        <v>188</v>
      </c>
      <c r="U50" s="74">
        <v>0.69299999999999995</v>
      </c>
      <c r="V50" s="82">
        <v>1.98</v>
      </c>
      <c r="W50" s="84">
        <f t="shared" si="4"/>
        <v>2.8571428571428572</v>
      </c>
      <c r="X50" s="86">
        <f>(V50-V52)/(V49-V52)</f>
        <v>1.0785340314136127</v>
      </c>
    </row>
    <row r="51" spans="13:24" ht="15.75" customHeight="1" x14ac:dyDescent="0.25">
      <c r="M51" s="73" t="s">
        <v>168</v>
      </c>
      <c r="N51" s="74" t="s">
        <v>171</v>
      </c>
      <c r="O51" s="74" t="s">
        <v>190</v>
      </c>
      <c r="P51" s="74" t="s">
        <v>191</v>
      </c>
      <c r="Q51" s="77" t="s">
        <v>173</v>
      </c>
      <c r="R51" s="87" t="s">
        <v>192</v>
      </c>
      <c r="T51" s="80" t="s">
        <v>193</v>
      </c>
      <c r="U51" s="74">
        <v>0.68300000000000005</v>
      </c>
      <c r="V51" s="82">
        <v>1.823</v>
      </c>
      <c r="W51" s="84">
        <f t="shared" si="4"/>
        <v>2.6691068814055634</v>
      </c>
      <c r="X51" s="86">
        <f>(V51-V52)/(V49-V52)</f>
        <v>0.66753926701570676</v>
      </c>
    </row>
    <row r="52" spans="13:24" ht="15.75" customHeight="1" x14ac:dyDescent="0.25">
      <c r="M52" s="73">
        <v>160</v>
      </c>
      <c r="N52" s="74">
        <f>+V49</f>
        <v>1.95</v>
      </c>
      <c r="O52" s="76">
        <f>+V52</f>
        <v>1.5680000000000001</v>
      </c>
      <c r="P52" s="89">
        <f>+R50</f>
        <v>409.41747572815535</v>
      </c>
      <c r="Q52" s="77">
        <f>+V51</f>
        <v>1.823</v>
      </c>
      <c r="R52" s="90">
        <f>(M52*(N52-O52)-P52*(Q52-O52))/(N52-Q52)</f>
        <v>-340.79886858802831</v>
      </c>
      <c r="T52" s="80" t="s">
        <v>194</v>
      </c>
      <c r="U52" s="74">
        <v>0.67600000000000005</v>
      </c>
      <c r="V52" s="91">
        <v>1.5680000000000001</v>
      </c>
      <c r="W52" s="84">
        <f t="shared" si="4"/>
        <v>2.3195266272189348</v>
      </c>
      <c r="X52" s="86"/>
    </row>
    <row r="53" spans="13:24" ht="15.75" customHeight="1" x14ac:dyDescent="0.25">
      <c r="M53" s="80" t="s">
        <v>196</v>
      </c>
      <c r="N53" s="93"/>
      <c r="O53" s="93"/>
      <c r="P53" s="93"/>
      <c r="Q53" s="94"/>
      <c r="R53" s="95"/>
      <c r="T53" s="96" t="s">
        <v>197</v>
      </c>
      <c r="U53" s="97">
        <v>0.67800000000000005</v>
      </c>
      <c r="V53" s="99">
        <v>1.57</v>
      </c>
      <c r="W53" s="100">
        <f t="shared" si="4"/>
        <v>2.3156342182890857</v>
      </c>
      <c r="X53" s="101">
        <f>+(V53-V52)/(V49-V52)</f>
        <v>5.2356020942408441E-3</v>
      </c>
    </row>
    <row r="54" spans="13:24" ht="15.75" customHeight="1" x14ac:dyDescent="0.2">
      <c r="M54" s="80" t="s">
        <v>199</v>
      </c>
      <c r="N54" s="93" t="s">
        <v>169</v>
      </c>
      <c r="O54" s="93" t="s">
        <v>200</v>
      </c>
      <c r="P54" s="93" t="s">
        <v>201</v>
      </c>
      <c r="Q54" s="94" t="s">
        <v>191</v>
      </c>
      <c r="R54" s="87" t="s">
        <v>202</v>
      </c>
      <c r="T54" s="311" t="s">
        <v>203</v>
      </c>
      <c r="U54" s="312"/>
      <c r="V54" s="312"/>
      <c r="W54" s="312"/>
      <c r="X54" s="313"/>
    </row>
    <row r="55" spans="13:24" ht="15.75" customHeight="1" x14ac:dyDescent="0.2">
      <c r="M55" s="102">
        <f>+V53</f>
        <v>1.57</v>
      </c>
      <c r="N55" s="103">
        <f>+R52</f>
        <v>-340.79886858802831</v>
      </c>
      <c r="O55" s="97">
        <f>+V49</f>
        <v>1.95</v>
      </c>
      <c r="P55" s="104">
        <f>+V52</f>
        <v>1.5680000000000001</v>
      </c>
      <c r="Q55" s="105">
        <f>+R50</f>
        <v>409.41747572815535</v>
      </c>
      <c r="R55" s="106">
        <f>N55+(Q55-N55)*(M55-P55)/(O55-P55)</f>
        <v>-336.87103432459281</v>
      </c>
      <c r="T55" s="314"/>
      <c r="U55" s="315"/>
      <c r="V55" s="315"/>
      <c r="W55" s="315"/>
      <c r="X55" s="316"/>
    </row>
    <row r="56" spans="13:24" ht="15.75" customHeight="1" x14ac:dyDescent="0.2">
      <c r="M56" s="311" t="s">
        <v>204</v>
      </c>
      <c r="N56" s="312"/>
      <c r="O56" s="312"/>
      <c r="P56" s="312"/>
      <c r="Q56" s="312"/>
      <c r="R56" s="313"/>
      <c r="T56" s="317"/>
      <c r="U56" s="318"/>
      <c r="V56" s="318"/>
      <c r="W56" s="318"/>
      <c r="X56" s="319"/>
    </row>
    <row r="57" spans="13:24" ht="15.75" customHeight="1" x14ac:dyDescent="0.2">
      <c r="M57" s="317"/>
      <c r="N57" s="318"/>
      <c r="O57" s="318"/>
      <c r="P57" s="318"/>
      <c r="Q57" s="318"/>
      <c r="R57" s="319"/>
      <c r="T57" s="58" t="s">
        <v>160</v>
      </c>
      <c r="U57" s="59" t="s">
        <v>161</v>
      </c>
      <c r="V57" s="59" t="s">
        <v>162</v>
      </c>
      <c r="W57" s="61" t="s">
        <v>163</v>
      </c>
      <c r="X57" s="62" t="s">
        <v>165</v>
      </c>
    </row>
    <row r="58" spans="13:24" ht="15.75" customHeight="1" x14ac:dyDescent="0.25">
      <c r="M58" s="63" t="s">
        <v>168</v>
      </c>
      <c r="N58" s="64" t="s">
        <v>169</v>
      </c>
      <c r="O58" s="64" t="s">
        <v>171</v>
      </c>
      <c r="P58" s="64" t="s">
        <v>172</v>
      </c>
      <c r="Q58" s="65" t="s">
        <v>173</v>
      </c>
      <c r="R58" s="66" t="s">
        <v>175</v>
      </c>
      <c r="T58" s="63" t="s">
        <v>176</v>
      </c>
      <c r="U58" s="67">
        <v>0.72</v>
      </c>
      <c r="V58" s="68">
        <v>2.681</v>
      </c>
      <c r="W58" s="70">
        <f t="shared" ref="W58:W62" si="5">+V58/U58</f>
        <v>3.7236111111111114</v>
      </c>
      <c r="X58" s="107"/>
    </row>
    <row r="59" spans="13:24" ht="15.75" customHeight="1" x14ac:dyDescent="0.25">
      <c r="M59" s="73">
        <v>420</v>
      </c>
      <c r="N59" s="74">
        <v>20</v>
      </c>
      <c r="O59" s="74">
        <f>+V58</f>
        <v>2.681</v>
      </c>
      <c r="P59" s="76">
        <f>+V61</f>
        <v>0</v>
      </c>
      <c r="Q59" s="77">
        <f>+V59</f>
        <v>2.1160000000000001</v>
      </c>
      <c r="R59" s="108">
        <f>(M59-N59)*(O59-P59)/(Q59-P59)+N59</f>
        <v>526.80529300567105</v>
      </c>
      <c r="T59" s="80" t="s">
        <v>188</v>
      </c>
      <c r="U59" s="74">
        <v>0.69599999999999995</v>
      </c>
      <c r="V59" s="82">
        <v>2.1160000000000001</v>
      </c>
      <c r="W59" s="84">
        <f t="shared" si="5"/>
        <v>3.0402298850574718</v>
      </c>
      <c r="X59" s="86">
        <f>(V59-V61)/(V58-V61)</f>
        <v>0.78925773964938462</v>
      </c>
    </row>
    <row r="60" spans="13:24" ht="15.75" customHeight="1" x14ac:dyDescent="0.25">
      <c r="M60" s="73" t="s">
        <v>168</v>
      </c>
      <c r="N60" s="74" t="s">
        <v>171</v>
      </c>
      <c r="O60" s="74" t="s">
        <v>190</v>
      </c>
      <c r="P60" s="74" t="s">
        <v>191</v>
      </c>
      <c r="Q60" s="77" t="s">
        <v>173</v>
      </c>
      <c r="R60" s="87" t="s">
        <v>192</v>
      </c>
      <c r="T60" s="80" t="s">
        <v>193</v>
      </c>
      <c r="U60" s="74">
        <v>0.63200000000000001</v>
      </c>
      <c r="V60" s="91">
        <v>0.51300000000000001</v>
      </c>
      <c r="W60" s="84">
        <f t="shared" si="5"/>
        <v>0.81170886075949367</v>
      </c>
      <c r="X60" s="86">
        <f>(V60-V61)/(V58-V61)</f>
        <v>0.19134651249533757</v>
      </c>
    </row>
    <row r="61" spans="13:24" ht="15.75" customHeight="1" x14ac:dyDescent="0.25">
      <c r="M61" s="73">
        <v>140</v>
      </c>
      <c r="N61" s="74">
        <f>+V58</f>
        <v>2.681</v>
      </c>
      <c r="O61" s="76">
        <f>+V61</f>
        <v>0</v>
      </c>
      <c r="P61" s="74">
        <f>+R59</f>
        <v>526.80529300567105</v>
      </c>
      <c r="Q61" s="109">
        <f>+V60</f>
        <v>0.51300000000000001</v>
      </c>
      <c r="R61" s="78">
        <f>(M61*(N61-O61)-P61*(Q61-O61))/(N61-Q61)</f>
        <v>48.472732789709767</v>
      </c>
      <c r="T61" s="80" t="s">
        <v>194</v>
      </c>
      <c r="U61" s="74">
        <v>0.60899999999999999</v>
      </c>
      <c r="V61" s="91">
        <v>0</v>
      </c>
      <c r="W61" s="84">
        <f t="shared" si="5"/>
        <v>0</v>
      </c>
      <c r="X61" s="86"/>
    </row>
    <row r="62" spans="13:24" ht="15.75" customHeight="1" x14ac:dyDescent="0.25">
      <c r="M62" s="80" t="s">
        <v>196</v>
      </c>
      <c r="N62" s="93"/>
      <c r="O62" s="93"/>
      <c r="P62" s="93"/>
      <c r="Q62" s="94"/>
      <c r="R62" s="95"/>
      <c r="T62" s="111" t="s">
        <v>197</v>
      </c>
      <c r="U62" s="112">
        <v>0.61099999999999999</v>
      </c>
      <c r="V62" s="113">
        <v>0.1</v>
      </c>
      <c r="W62" s="114">
        <f t="shared" si="5"/>
        <v>0.16366612111292964</v>
      </c>
      <c r="X62" s="115">
        <f>+(V62-V61)/(V58-V61)</f>
        <v>3.7299515106303617E-2</v>
      </c>
    </row>
    <row r="63" spans="13:24" ht="15.75" customHeight="1" x14ac:dyDescent="0.2">
      <c r="M63" s="80" t="s">
        <v>199</v>
      </c>
      <c r="N63" s="93" t="s">
        <v>169</v>
      </c>
      <c r="O63" s="93" t="s">
        <v>200</v>
      </c>
      <c r="P63" s="93" t="s">
        <v>201</v>
      </c>
      <c r="Q63" s="94" t="s">
        <v>191</v>
      </c>
      <c r="R63" s="87" t="s">
        <v>202</v>
      </c>
    </row>
    <row r="64" spans="13:24" ht="15.75" customHeight="1" x14ac:dyDescent="0.2">
      <c r="M64" s="116">
        <f>+V62</f>
        <v>0.1</v>
      </c>
      <c r="N64" s="117">
        <f>+R61</f>
        <v>48.472732789709767</v>
      </c>
      <c r="O64" s="112">
        <f>+V58</f>
        <v>2.681</v>
      </c>
      <c r="P64" s="118">
        <f>+V61</f>
        <v>0</v>
      </c>
      <c r="Q64" s="119">
        <f>+R59</f>
        <v>526.80529300567105</v>
      </c>
      <c r="R64" s="78">
        <f>N64+(Q64-N64)*(M64-P64)/(O64-P64)</f>
        <v>66.314305345321898</v>
      </c>
      <c r="U64" s="121"/>
    </row>
    <row r="65" spans="13:24" ht="15.75" customHeight="1" x14ac:dyDescent="0.2"/>
    <row r="66" spans="13:24" ht="15.75" customHeight="1" x14ac:dyDescent="0.3">
      <c r="M66" s="320" t="s">
        <v>153</v>
      </c>
      <c r="N66" s="297"/>
      <c r="O66" s="297"/>
      <c r="P66" s="297"/>
      <c r="Q66" s="297"/>
      <c r="R66" s="298"/>
      <c r="T66" s="321" t="s">
        <v>154</v>
      </c>
      <c r="U66" s="322"/>
      <c r="V66" s="322"/>
      <c r="W66" s="322"/>
      <c r="X66" s="323"/>
    </row>
    <row r="67" spans="13:24" ht="15.75" customHeight="1" x14ac:dyDescent="0.2">
      <c r="M67" s="311" t="s">
        <v>157</v>
      </c>
      <c r="N67" s="312"/>
      <c r="O67" s="312"/>
      <c r="P67" s="312"/>
      <c r="Q67" s="312"/>
      <c r="R67" s="313"/>
      <c r="T67" s="325" t="s">
        <v>157</v>
      </c>
      <c r="U67" s="297"/>
      <c r="V67" s="297"/>
      <c r="W67" s="297"/>
      <c r="X67" s="298"/>
    </row>
    <row r="68" spans="13:24" ht="15.75" customHeight="1" x14ac:dyDescent="0.2">
      <c r="M68" s="317"/>
      <c r="N68" s="318"/>
      <c r="O68" s="318"/>
      <c r="P68" s="318"/>
      <c r="Q68" s="318"/>
      <c r="R68" s="319"/>
      <c r="T68" s="58" t="s">
        <v>160</v>
      </c>
      <c r="U68" s="59" t="s">
        <v>161</v>
      </c>
      <c r="V68" s="59" t="s">
        <v>162</v>
      </c>
      <c r="W68" s="61" t="s">
        <v>163</v>
      </c>
      <c r="X68" s="62" t="s">
        <v>165</v>
      </c>
    </row>
    <row r="69" spans="13:24" ht="15.75" customHeight="1" x14ac:dyDescent="0.25">
      <c r="M69" s="63" t="s">
        <v>168</v>
      </c>
      <c r="N69" s="64" t="s">
        <v>169</v>
      </c>
      <c r="O69" s="64" t="s">
        <v>171</v>
      </c>
      <c r="P69" s="64" t="s">
        <v>172</v>
      </c>
      <c r="Q69" s="65" t="s">
        <v>173</v>
      </c>
      <c r="R69" s="66" t="s">
        <v>175</v>
      </c>
      <c r="T69" s="63" t="s">
        <v>176</v>
      </c>
      <c r="U69" s="67">
        <v>0.5</v>
      </c>
      <c r="V69" s="68">
        <v>2.6720000000000002</v>
      </c>
      <c r="W69" s="70">
        <f t="shared" ref="W69:W73" si="6">+V69/U69</f>
        <v>5.3440000000000003</v>
      </c>
      <c r="X69" s="72"/>
    </row>
    <row r="70" spans="13:24" ht="15.75" customHeight="1" x14ac:dyDescent="0.25">
      <c r="M70" s="73">
        <v>440</v>
      </c>
      <c r="N70" s="74">
        <v>20</v>
      </c>
      <c r="O70" s="74">
        <f>+V69</f>
        <v>2.6720000000000002</v>
      </c>
      <c r="P70" s="76">
        <f>+V72</f>
        <v>0</v>
      </c>
      <c r="Q70" s="77">
        <f>+V70</f>
        <v>1.9279999999999999</v>
      </c>
      <c r="R70" s="78">
        <f>(M70-N70)*(O70-P70)/(Q70-P70)+N70</f>
        <v>602.07468879668056</v>
      </c>
      <c r="T70" s="80" t="s">
        <v>188</v>
      </c>
      <c r="U70" s="74">
        <v>0.69299999999999995</v>
      </c>
      <c r="V70" s="82">
        <v>1.9279999999999999</v>
      </c>
      <c r="W70" s="84">
        <f t="shared" si="6"/>
        <v>2.7821067821067822</v>
      </c>
      <c r="X70" s="86">
        <f>(V70-V72)/(V69-V72)</f>
        <v>0.72155688622754488</v>
      </c>
    </row>
    <row r="71" spans="13:24" ht="15.75" customHeight="1" x14ac:dyDescent="0.25">
      <c r="M71" s="73" t="s">
        <v>168</v>
      </c>
      <c r="N71" s="74" t="s">
        <v>171</v>
      </c>
      <c r="O71" s="74" t="s">
        <v>190</v>
      </c>
      <c r="P71" s="74" t="s">
        <v>191</v>
      </c>
      <c r="Q71" s="77" t="s">
        <v>173</v>
      </c>
      <c r="R71" s="87" t="s">
        <v>192</v>
      </c>
      <c r="T71" s="80" t="s">
        <v>193</v>
      </c>
      <c r="U71" s="74">
        <v>0.68300000000000005</v>
      </c>
      <c r="V71" s="82">
        <v>0.44</v>
      </c>
      <c r="W71" s="84">
        <f t="shared" si="6"/>
        <v>0.64421669106881396</v>
      </c>
      <c r="X71" s="86">
        <f>(V71-V72)/(V69-V72)</f>
        <v>0.16467065868263472</v>
      </c>
    </row>
    <row r="72" spans="13:24" ht="15.75" customHeight="1" x14ac:dyDescent="0.25">
      <c r="M72" s="73">
        <v>160</v>
      </c>
      <c r="N72" s="74">
        <f>+V69</f>
        <v>2.6720000000000002</v>
      </c>
      <c r="O72" s="76">
        <f>+V72</f>
        <v>0</v>
      </c>
      <c r="P72" s="89">
        <f>+R70</f>
        <v>602.07468879668056</v>
      </c>
      <c r="Q72" s="77">
        <f>+V71</f>
        <v>0.44</v>
      </c>
      <c r="R72" s="90">
        <f>(M72*(N72-O72)-P72*(Q72-O72))/(N72-Q72)</f>
        <v>72.852659914632866</v>
      </c>
      <c r="T72" s="80" t="s">
        <v>194</v>
      </c>
      <c r="U72" s="74">
        <v>0.24099999999999999</v>
      </c>
      <c r="V72" s="91">
        <v>0</v>
      </c>
      <c r="W72" s="84">
        <f t="shared" si="6"/>
        <v>0</v>
      </c>
      <c r="X72" s="86"/>
    </row>
    <row r="73" spans="13:24" ht="15.75" customHeight="1" x14ac:dyDescent="0.25">
      <c r="M73" s="80" t="s">
        <v>196</v>
      </c>
      <c r="N73" s="93"/>
      <c r="O73" s="93"/>
      <c r="P73" s="93"/>
      <c r="Q73" s="94"/>
      <c r="R73" s="95"/>
      <c r="T73" s="96" t="s">
        <v>197</v>
      </c>
      <c r="U73" s="97">
        <v>0.67800000000000005</v>
      </c>
      <c r="V73" s="99">
        <v>0.3</v>
      </c>
      <c r="W73" s="100">
        <f t="shared" si="6"/>
        <v>0.44247787610619466</v>
      </c>
      <c r="X73" s="101">
        <f>+(V73-V72)/(V69-V72)</f>
        <v>0.11227544910179639</v>
      </c>
    </row>
    <row r="74" spans="13:24" ht="15.75" customHeight="1" x14ac:dyDescent="0.2">
      <c r="M74" s="80" t="s">
        <v>199</v>
      </c>
      <c r="N74" s="93" t="s">
        <v>169</v>
      </c>
      <c r="O74" s="93" t="s">
        <v>200</v>
      </c>
      <c r="P74" s="93" t="s">
        <v>201</v>
      </c>
      <c r="Q74" s="94" t="s">
        <v>191</v>
      </c>
      <c r="R74" s="87" t="s">
        <v>202</v>
      </c>
      <c r="T74" s="311" t="s">
        <v>203</v>
      </c>
      <c r="U74" s="312"/>
      <c r="V74" s="312"/>
      <c r="W74" s="312"/>
      <c r="X74" s="313"/>
    </row>
    <row r="75" spans="13:24" ht="15.75" customHeight="1" x14ac:dyDescent="0.2">
      <c r="M75" s="102">
        <f>+V73</f>
        <v>0.3</v>
      </c>
      <c r="N75" s="103">
        <f>+R72</f>
        <v>72.852659914632866</v>
      </c>
      <c r="O75" s="97">
        <f>+V69</f>
        <v>2.6720000000000002</v>
      </c>
      <c r="P75" s="104">
        <f>+V72</f>
        <v>0</v>
      </c>
      <c r="Q75" s="105">
        <f>+R70</f>
        <v>602.07468879668056</v>
      </c>
      <c r="R75" s="106">
        <f>N75+(Q75-N75)*(M75-P75)/(O75-P75)</f>
        <v>132.27130088192862</v>
      </c>
      <c r="T75" s="314"/>
      <c r="U75" s="315"/>
      <c r="V75" s="315"/>
      <c r="W75" s="315"/>
      <c r="X75" s="316"/>
    </row>
    <row r="76" spans="13:24" ht="15.75" customHeight="1" x14ac:dyDescent="0.2">
      <c r="M76" s="311" t="s">
        <v>204</v>
      </c>
      <c r="N76" s="312"/>
      <c r="O76" s="312"/>
      <c r="P76" s="312"/>
      <c r="Q76" s="312"/>
      <c r="R76" s="313"/>
      <c r="T76" s="317"/>
      <c r="U76" s="318"/>
      <c r="V76" s="318"/>
      <c r="W76" s="318"/>
      <c r="X76" s="319"/>
    </row>
    <row r="77" spans="13:24" ht="15.75" customHeight="1" x14ac:dyDescent="0.2">
      <c r="M77" s="317"/>
      <c r="N77" s="318"/>
      <c r="O77" s="318"/>
      <c r="P77" s="318"/>
      <c r="Q77" s="318"/>
      <c r="R77" s="319"/>
      <c r="T77" s="58" t="s">
        <v>160</v>
      </c>
      <c r="U77" s="59" t="s">
        <v>161</v>
      </c>
      <c r="V77" s="59" t="s">
        <v>162</v>
      </c>
      <c r="W77" s="61" t="s">
        <v>163</v>
      </c>
      <c r="X77" s="62" t="s">
        <v>165</v>
      </c>
    </row>
    <row r="78" spans="13:24" ht="15.75" customHeight="1" x14ac:dyDescent="0.25">
      <c r="M78" s="63" t="s">
        <v>168</v>
      </c>
      <c r="N78" s="64" t="s">
        <v>169</v>
      </c>
      <c r="O78" s="64" t="s">
        <v>171</v>
      </c>
      <c r="P78" s="64" t="s">
        <v>172</v>
      </c>
      <c r="Q78" s="65" t="s">
        <v>173</v>
      </c>
      <c r="R78" s="66" t="s">
        <v>175</v>
      </c>
      <c r="T78" s="63" t="s">
        <v>176</v>
      </c>
      <c r="U78" s="67">
        <v>0.72</v>
      </c>
      <c r="V78" s="68">
        <v>2.3159999999999998</v>
      </c>
      <c r="W78" s="70">
        <f t="shared" ref="W78:W82" si="7">+V78/U78</f>
        <v>3.2166666666666663</v>
      </c>
      <c r="X78" s="107"/>
    </row>
    <row r="79" spans="13:24" ht="15.75" customHeight="1" x14ac:dyDescent="0.25">
      <c r="M79" s="73">
        <v>420</v>
      </c>
      <c r="N79" s="74">
        <v>20</v>
      </c>
      <c r="O79" s="74">
        <f>+V78</f>
        <v>2.3159999999999998</v>
      </c>
      <c r="P79" s="76">
        <f>+V81</f>
        <v>1.111</v>
      </c>
      <c r="Q79" s="77">
        <f>+V79</f>
        <v>2.0680000000000001</v>
      </c>
      <c r="R79" s="108">
        <f>(M79-N79)*(O79-P79)/(Q79-P79)+N79</f>
        <v>523.65726227795176</v>
      </c>
      <c r="T79" s="80" t="s">
        <v>188</v>
      </c>
      <c r="U79" s="74">
        <v>0.69599999999999995</v>
      </c>
      <c r="V79" s="82">
        <v>2.0680000000000001</v>
      </c>
      <c r="W79" s="84">
        <f t="shared" si="7"/>
        <v>2.9712643678160924</v>
      </c>
      <c r="X79" s="86">
        <f>(V79-V81)/(V78-V81)</f>
        <v>0.79419087136929478</v>
      </c>
    </row>
    <row r="80" spans="13:24" ht="15.75" customHeight="1" x14ac:dyDescent="0.25">
      <c r="M80" s="73" t="s">
        <v>168</v>
      </c>
      <c r="N80" s="74" t="s">
        <v>171</v>
      </c>
      <c r="O80" s="74" t="s">
        <v>190</v>
      </c>
      <c r="P80" s="74" t="s">
        <v>191</v>
      </c>
      <c r="Q80" s="77" t="s">
        <v>173</v>
      </c>
      <c r="R80" s="87" t="s">
        <v>192</v>
      </c>
      <c r="T80" s="80" t="s">
        <v>193</v>
      </c>
      <c r="U80" s="74">
        <v>0.63200000000000001</v>
      </c>
      <c r="V80" s="91">
        <v>1.4550000000000001</v>
      </c>
      <c r="W80" s="84">
        <f t="shared" si="7"/>
        <v>2.3022151898734178</v>
      </c>
      <c r="X80" s="86">
        <f>(V80-V81)/(V78-V81)</f>
        <v>0.28547717842323661</v>
      </c>
    </row>
    <row r="81" spans="1:25" ht="15.75" customHeight="1" x14ac:dyDescent="0.25">
      <c r="M81" s="73">
        <v>140</v>
      </c>
      <c r="N81" s="74">
        <f>+V78</f>
        <v>2.3159999999999998</v>
      </c>
      <c r="O81" s="76">
        <f>+V81</f>
        <v>1.111</v>
      </c>
      <c r="P81" s="74">
        <f>+R79</f>
        <v>523.65726227795176</v>
      </c>
      <c r="Q81" s="109">
        <f>+V80</f>
        <v>1.4550000000000001</v>
      </c>
      <c r="R81" s="78">
        <f>(M81*(N81-O81)-P81*(Q81-O81))/(N81-Q81)</f>
        <v>-13.284666926382663</v>
      </c>
      <c r="T81" s="80" t="s">
        <v>194</v>
      </c>
      <c r="U81" s="74">
        <v>0.60899999999999999</v>
      </c>
      <c r="V81" s="91">
        <v>1.111</v>
      </c>
      <c r="W81" s="84">
        <f t="shared" si="7"/>
        <v>1.8243021346469623</v>
      </c>
      <c r="X81" s="86"/>
    </row>
    <row r="82" spans="1:25" ht="15.75" customHeight="1" x14ac:dyDescent="0.25">
      <c r="M82" s="80" t="s">
        <v>196</v>
      </c>
      <c r="N82" s="93"/>
      <c r="O82" s="93"/>
      <c r="P82" s="93"/>
      <c r="Q82" s="94"/>
      <c r="R82" s="95"/>
      <c r="T82" s="111" t="s">
        <v>197</v>
      </c>
      <c r="U82" s="112">
        <v>0.61099999999999999</v>
      </c>
      <c r="V82" s="113">
        <v>0.9</v>
      </c>
      <c r="W82" s="114">
        <f t="shared" si="7"/>
        <v>1.4729950900163666</v>
      </c>
      <c r="X82" s="115">
        <f>+(V82-V81)/(V78-V81)</f>
        <v>-0.17510373443983401</v>
      </c>
    </row>
    <row r="83" spans="1:25" ht="15.75" customHeight="1" x14ac:dyDescent="0.2">
      <c r="M83" s="80" t="s">
        <v>199</v>
      </c>
      <c r="N83" s="93" t="s">
        <v>169</v>
      </c>
      <c r="O83" s="93" t="s">
        <v>200</v>
      </c>
      <c r="P83" s="93" t="s">
        <v>201</v>
      </c>
      <c r="Q83" s="94" t="s">
        <v>191</v>
      </c>
      <c r="R83" s="87" t="s">
        <v>202</v>
      </c>
    </row>
    <row r="84" spans="1:25" ht="15.75" customHeight="1" x14ac:dyDescent="0.2">
      <c r="M84" s="116">
        <f>+V82</f>
        <v>0.9</v>
      </c>
      <c r="N84" s="117">
        <f>+R81</f>
        <v>-13.284666926382663</v>
      </c>
      <c r="O84" s="112">
        <f>+V78</f>
        <v>2.3159999999999998</v>
      </c>
      <c r="P84" s="118">
        <f>+V81</f>
        <v>1.111</v>
      </c>
      <c r="Q84" s="119">
        <f>+R79</f>
        <v>523.65726227795176</v>
      </c>
      <c r="R84" s="78">
        <f>N84+(Q84-N84)*(M84-P84)/(O84-P84)</f>
        <v>-107.30520390739059</v>
      </c>
      <c r="U84" s="121"/>
    </row>
    <row r="85" spans="1:25" ht="15.75" customHeight="1" x14ac:dyDescent="0.2"/>
    <row r="86" spans="1:25" ht="15.75" customHeight="1" x14ac:dyDescent="0.2"/>
    <row r="87" spans="1:25" ht="15.75" customHeight="1" x14ac:dyDescent="0.25">
      <c r="A87" s="345"/>
      <c r="B87" s="297"/>
      <c r="C87" s="297"/>
      <c r="D87" s="297"/>
      <c r="E87" s="297"/>
      <c r="F87" s="297"/>
      <c r="G87" s="297"/>
      <c r="H87" s="297"/>
      <c r="I87" s="297"/>
      <c r="J87" s="297"/>
      <c r="K87" s="297"/>
      <c r="L87" s="297"/>
      <c r="M87" s="297"/>
      <c r="N87" s="297"/>
      <c r="O87" s="297"/>
      <c r="P87" s="297"/>
      <c r="Q87" s="297"/>
      <c r="R87" s="297"/>
      <c r="S87" s="297"/>
      <c r="T87" s="297"/>
      <c r="U87" s="297"/>
      <c r="V87" s="297"/>
      <c r="W87" s="297"/>
      <c r="X87" s="297"/>
      <c r="Y87" s="298"/>
    </row>
    <row r="88" spans="1:25" ht="15.75" customHeight="1" x14ac:dyDescent="0.2"/>
    <row r="89" spans="1:25" ht="15.75" customHeight="1" x14ac:dyDescent="0.3">
      <c r="A89" s="161" t="s">
        <v>353</v>
      </c>
      <c r="B89" s="163" t="s">
        <v>1478</v>
      </c>
    </row>
    <row r="90" spans="1:25" ht="15.75" customHeight="1" x14ac:dyDescent="0.3">
      <c r="A90" s="164" t="s">
        <v>360</v>
      </c>
      <c r="B90" s="165">
        <v>43136</v>
      </c>
    </row>
    <row r="91" spans="1:25" ht="15.75" customHeight="1" x14ac:dyDescent="0.2"/>
    <row r="92" spans="1:25" ht="15.75" customHeight="1" x14ac:dyDescent="0.2"/>
    <row r="93" spans="1:25" ht="15.75" customHeight="1" x14ac:dyDescent="0.25">
      <c r="A93" s="304" t="s">
        <v>1479</v>
      </c>
      <c r="B93" s="297"/>
      <c r="C93" s="297"/>
      <c r="D93" s="297"/>
      <c r="E93" s="298"/>
      <c r="H93" s="3"/>
    </row>
    <row r="94" spans="1:25" ht="15.75" customHeight="1" x14ac:dyDescent="0.2">
      <c r="A94" s="4" t="s">
        <v>0</v>
      </c>
      <c r="B94" s="5" t="s">
        <v>1</v>
      </c>
      <c r="C94" s="5" t="s">
        <v>2</v>
      </c>
      <c r="D94" s="5" t="s">
        <v>43</v>
      </c>
      <c r="E94" s="45" t="s">
        <v>125</v>
      </c>
      <c r="G94" s="296" t="s">
        <v>6</v>
      </c>
      <c r="H94" s="297"/>
      <c r="I94" s="297"/>
      <c r="J94" s="297"/>
      <c r="K94" s="297"/>
      <c r="L94" s="298"/>
    </row>
    <row r="95" spans="1:25" ht="15.75" customHeight="1" x14ac:dyDescent="0.2">
      <c r="A95" s="9" t="s">
        <v>7</v>
      </c>
      <c r="B95" s="302" t="s">
        <v>9</v>
      </c>
      <c r="C95" s="47">
        <v>28.1</v>
      </c>
      <c r="D95" s="11">
        <v>14</v>
      </c>
      <c r="E95" s="11">
        <v>28</v>
      </c>
      <c r="G95" s="296" t="s">
        <v>106</v>
      </c>
      <c r="H95" s="297"/>
      <c r="I95" s="298"/>
      <c r="J95" s="296" t="s">
        <v>107</v>
      </c>
      <c r="K95" s="297"/>
      <c r="L95" s="298"/>
    </row>
    <row r="96" spans="1:25" ht="15.75" customHeight="1" x14ac:dyDescent="0.2">
      <c r="A96" s="9" t="s">
        <v>17</v>
      </c>
      <c r="B96" s="300"/>
      <c r="C96" s="47">
        <v>63.911000000000001</v>
      </c>
      <c r="D96" s="11">
        <v>52</v>
      </c>
      <c r="E96" s="11">
        <v>65</v>
      </c>
      <c r="G96" s="13" t="s">
        <v>13</v>
      </c>
      <c r="H96" s="39">
        <f>H98+H98*0.1</f>
        <v>707.3</v>
      </c>
      <c r="I96" s="17" t="s">
        <v>1480</v>
      </c>
      <c r="J96" s="13" t="s">
        <v>13</v>
      </c>
      <c r="K96" s="39">
        <f>K98+K98*0.1</f>
        <v>814</v>
      </c>
      <c r="L96" s="17" t="s">
        <v>1481</v>
      </c>
    </row>
    <row r="97" spans="1:12" ht="15.75" customHeight="1" x14ac:dyDescent="0.2">
      <c r="A97" s="9" t="s">
        <v>26</v>
      </c>
      <c r="B97" s="300"/>
      <c r="C97" s="47">
        <v>69.921999999999997</v>
      </c>
      <c r="D97" s="11">
        <v>60</v>
      </c>
      <c r="E97" s="11">
        <v>71</v>
      </c>
      <c r="G97" s="13" t="s">
        <v>19</v>
      </c>
      <c r="H97" s="40">
        <f>H98-H98*0.1</f>
        <v>578.70000000000005</v>
      </c>
      <c r="I97" s="17" t="s">
        <v>1482</v>
      </c>
      <c r="J97" s="13" t="s">
        <v>19</v>
      </c>
      <c r="K97" s="40">
        <f>K98-K98*0.1</f>
        <v>666</v>
      </c>
      <c r="L97" s="17" t="s">
        <v>1483</v>
      </c>
    </row>
    <row r="98" spans="1:12" ht="15.75" customHeight="1" x14ac:dyDescent="0.2">
      <c r="A98" s="9" t="s">
        <v>32</v>
      </c>
      <c r="B98" s="300"/>
      <c r="C98" s="47">
        <v>96.744</v>
      </c>
      <c r="D98" s="11">
        <v>83</v>
      </c>
      <c r="E98" s="11">
        <v>96</v>
      </c>
      <c r="G98" s="13" t="s">
        <v>27</v>
      </c>
      <c r="H98" s="20">
        <v>643</v>
      </c>
      <c r="I98" s="17" t="s">
        <v>1484</v>
      </c>
      <c r="J98" s="13" t="s">
        <v>27</v>
      </c>
      <c r="K98" s="20">
        <v>740</v>
      </c>
      <c r="L98" s="17" t="s">
        <v>1485</v>
      </c>
    </row>
    <row r="99" spans="1:12" ht="15.75" customHeight="1" x14ac:dyDescent="0.2">
      <c r="A99" s="9" t="s">
        <v>33</v>
      </c>
      <c r="B99" s="301"/>
      <c r="C99" s="47">
        <v>128.11000000000001</v>
      </c>
      <c r="D99" s="11">
        <v>101</v>
      </c>
      <c r="E99" s="11">
        <v>128</v>
      </c>
      <c r="G99" s="13" t="s">
        <v>121</v>
      </c>
      <c r="H99" s="20">
        <v>412</v>
      </c>
      <c r="I99" s="17" t="s">
        <v>1486</v>
      </c>
      <c r="J99" s="13" t="s">
        <v>121</v>
      </c>
      <c r="K99" s="20">
        <v>739</v>
      </c>
      <c r="L99" s="17" t="s">
        <v>1487</v>
      </c>
    </row>
    <row r="100" spans="1:12" ht="15.75" customHeight="1" x14ac:dyDescent="0.25">
      <c r="A100" s="41"/>
      <c r="B100" s="42"/>
      <c r="C100" s="69"/>
      <c r="D100" s="42"/>
      <c r="E100" s="11"/>
      <c r="H100" s="3"/>
    </row>
    <row r="101" spans="1:12" ht="15.75" customHeight="1" x14ac:dyDescent="0.25">
      <c r="A101" s="9" t="s">
        <v>35</v>
      </c>
      <c r="B101" s="302" t="s">
        <v>36</v>
      </c>
      <c r="C101" s="47">
        <v>207.78</v>
      </c>
      <c r="D101" s="11">
        <v>108</v>
      </c>
      <c r="E101" s="11">
        <v>207</v>
      </c>
      <c r="G101" s="31"/>
      <c r="H101" s="3"/>
    </row>
    <row r="102" spans="1:12" ht="15.75" customHeight="1" x14ac:dyDescent="0.25">
      <c r="A102" s="9" t="s">
        <v>37</v>
      </c>
      <c r="B102" s="300"/>
      <c r="C102" s="47">
        <v>444.11</v>
      </c>
      <c r="D102" s="11">
        <v>340</v>
      </c>
      <c r="E102" s="11">
        <v>445</v>
      </c>
      <c r="G102" s="31"/>
      <c r="H102" s="3"/>
    </row>
    <row r="103" spans="1:12" ht="15.75" customHeight="1" x14ac:dyDescent="0.25">
      <c r="A103" s="9" t="s">
        <v>38</v>
      </c>
      <c r="B103" s="300"/>
      <c r="C103" s="47">
        <v>579.55999999999995</v>
      </c>
      <c r="D103" s="11">
        <v>485</v>
      </c>
      <c r="E103" s="11">
        <v>576</v>
      </c>
      <c r="G103" s="31"/>
      <c r="H103" s="3"/>
    </row>
    <row r="104" spans="1:12" ht="15.75" customHeight="1" x14ac:dyDescent="0.25">
      <c r="A104" s="9" t="s">
        <v>39</v>
      </c>
      <c r="B104" s="300"/>
      <c r="C104" s="47">
        <v>746.22</v>
      </c>
      <c r="D104" s="11">
        <v>646</v>
      </c>
      <c r="E104" s="11">
        <v>769</v>
      </c>
      <c r="G104" s="31"/>
      <c r="H104" s="3"/>
    </row>
    <row r="105" spans="1:12" ht="15.75" customHeight="1" x14ac:dyDescent="0.25">
      <c r="A105" s="49" t="s">
        <v>41</v>
      </c>
      <c r="B105" s="300"/>
      <c r="C105" s="50">
        <v>869.5</v>
      </c>
      <c r="D105" s="51">
        <v>769</v>
      </c>
      <c r="E105" s="51">
        <v>835</v>
      </c>
      <c r="G105" s="31"/>
      <c r="H105" s="3"/>
    </row>
    <row r="106" spans="1:12" ht="15.75" customHeight="1" x14ac:dyDescent="0.25">
      <c r="A106" s="308"/>
      <c r="B106" s="297"/>
      <c r="C106" s="297"/>
      <c r="D106" s="297"/>
      <c r="E106" s="306"/>
      <c r="H106" s="3"/>
    </row>
    <row r="107" spans="1:12" ht="15.75" customHeight="1" x14ac:dyDescent="0.25">
      <c r="A107" s="9" t="s">
        <v>46</v>
      </c>
      <c r="B107" s="299" t="s">
        <v>47</v>
      </c>
      <c r="C107" s="47">
        <v>88.4</v>
      </c>
      <c r="D107" s="11">
        <v>75</v>
      </c>
      <c r="E107" s="11">
        <v>83</v>
      </c>
      <c r="H107" s="3"/>
    </row>
    <row r="108" spans="1:12" ht="15.75" customHeight="1" x14ac:dyDescent="0.25">
      <c r="A108" s="9" t="s">
        <v>48</v>
      </c>
      <c r="B108" s="300"/>
      <c r="C108" s="47">
        <v>94.6</v>
      </c>
      <c r="D108" s="11">
        <v>80</v>
      </c>
      <c r="E108" s="11">
        <v>92</v>
      </c>
      <c r="H108" s="3"/>
    </row>
    <row r="109" spans="1:12" ht="15.75" customHeight="1" x14ac:dyDescent="0.25">
      <c r="A109" s="41"/>
      <c r="B109" s="42"/>
      <c r="C109" s="69"/>
      <c r="D109" s="42"/>
      <c r="E109" s="11"/>
      <c r="H109" s="3"/>
    </row>
    <row r="110" spans="1:12" ht="15.75" customHeight="1" x14ac:dyDescent="0.25">
      <c r="A110" s="9" t="s">
        <v>50</v>
      </c>
      <c r="B110" s="302" t="s">
        <v>51</v>
      </c>
      <c r="C110" s="47">
        <v>271.44400000000002</v>
      </c>
      <c r="D110" s="11">
        <v>174</v>
      </c>
      <c r="E110" s="11">
        <v>268</v>
      </c>
      <c r="H110" s="3"/>
    </row>
    <row r="111" spans="1:12" ht="15.75" customHeight="1" x14ac:dyDescent="0.25">
      <c r="A111" s="9" t="s">
        <v>54</v>
      </c>
      <c r="B111" s="300"/>
      <c r="C111" s="47">
        <v>550.22199999999998</v>
      </c>
      <c r="D111" s="11">
        <v>465</v>
      </c>
      <c r="E111" s="11">
        <v>483</v>
      </c>
      <c r="H111" s="3"/>
    </row>
    <row r="112" spans="1:12" ht="15.75" customHeight="1" x14ac:dyDescent="0.25">
      <c r="A112" s="9" t="s">
        <v>55</v>
      </c>
      <c r="B112" s="300"/>
      <c r="C112" s="47">
        <v>609</v>
      </c>
      <c r="D112" s="11">
        <v>505</v>
      </c>
      <c r="E112" s="11">
        <v>591</v>
      </c>
      <c r="H112" s="3"/>
    </row>
    <row r="113" spans="1:8" ht="15.75" customHeight="1" x14ac:dyDescent="0.25">
      <c r="A113" s="9" t="s">
        <v>56</v>
      </c>
      <c r="B113" s="300"/>
      <c r="C113" s="47">
        <v>739.11099999999999</v>
      </c>
      <c r="D113" s="11">
        <v>625</v>
      </c>
      <c r="E113" s="11">
        <v>770</v>
      </c>
      <c r="H113" s="3"/>
    </row>
    <row r="114" spans="1:8" ht="15.75" customHeight="1" x14ac:dyDescent="0.25">
      <c r="A114" s="49" t="s">
        <v>57</v>
      </c>
      <c r="B114" s="300"/>
      <c r="C114" s="50">
        <v>746.88900000000001</v>
      </c>
      <c r="D114" s="51">
        <v>633</v>
      </c>
      <c r="E114" s="11">
        <v>757</v>
      </c>
      <c r="H114" s="3"/>
    </row>
    <row r="115" spans="1:8" ht="15.75" customHeight="1" x14ac:dyDescent="0.25">
      <c r="A115" s="308"/>
      <c r="B115" s="297"/>
      <c r="C115" s="297"/>
      <c r="D115" s="297"/>
      <c r="E115" s="306"/>
      <c r="H115" s="3"/>
    </row>
    <row r="116" spans="1:8" ht="15.75" customHeight="1" x14ac:dyDescent="0.25">
      <c r="A116" s="9" t="s">
        <v>60</v>
      </c>
      <c r="B116" s="299" t="s">
        <v>62</v>
      </c>
      <c r="C116" s="47">
        <v>19.741666666666667</v>
      </c>
      <c r="D116" s="11">
        <v>15</v>
      </c>
      <c r="E116" s="11">
        <v>20</v>
      </c>
      <c r="H116" s="3"/>
    </row>
    <row r="117" spans="1:8" ht="15.75" customHeight="1" x14ac:dyDescent="0.25">
      <c r="A117" s="9" t="s">
        <v>64</v>
      </c>
      <c r="B117" s="300"/>
      <c r="C117" s="47">
        <v>37.258333333333333</v>
      </c>
      <c r="D117" s="11">
        <v>22</v>
      </c>
      <c r="E117" s="11">
        <v>39</v>
      </c>
      <c r="H117" s="3"/>
    </row>
    <row r="118" spans="1:8" ht="15.75" customHeight="1" x14ac:dyDescent="0.25">
      <c r="A118" s="9" t="s">
        <v>65</v>
      </c>
      <c r="B118" s="301"/>
      <c r="C118" s="47">
        <v>36.975000000000001</v>
      </c>
      <c r="D118" s="11">
        <v>26</v>
      </c>
      <c r="E118" s="11">
        <v>37</v>
      </c>
      <c r="H118" s="3"/>
    </row>
    <row r="119" spans="1:8" ht="15.75" customHeight="1" x14ac:dyDescent="0.25">
      <c r="A119" s="41"/>
      <c r="B119" s="42"/>
      <c r="C119" s="69"/>
      <c r="D119" s="42"/>
      <c r="E119" s="11"/>
      <c r="H119" s="3"/>
    </row>
    <row r="120" spans="1:8" ht="15.75" customHeight="1" x14ac:dyDescent="0.25">
      <c r="A120" s="9" t="s">
        <v>66</v>
      </c>
      <c r="B120" s="302" t="s">
        <v>68</v>
      </c>
      <c r="C120" s="47">
        <v>204.5</v>
      </c>
      <c r="D120" s="11">
        <v>112</v>
      </c>
      <c r="E120" s="11">
        <v>204</v>
      </c>
      <c r="H120" s="3"/>
    </row>
    <row r="121" spans="1:8" ht="15.75" customHeight="1" x14ac:dyDescent="0.25">
      <c r="A121" s="49" t="s">
        <v>69</v>
      </c>
      <c r="B121" s="300"/>
      <c r="C121" s="50">
        <v>277.7</v>
      </c>
      <c r="D121" s="51">
        <v>169</v>
      </c>
      <c r="E121" s="51">
        <v>279</v>
      </c>
      <c r="H121" s="3"/>
    </row>
    <row r="122" spans="1:8" ht="15.75" customHeight="1" x14ac:dyDescent="0.25">
      <c r="A122" s="305"/>
      <c r="B122" s="297"/>
      <c r="C122" s="297"/>
      <c r="D122" s="297"/>
      <c r="E122" s="306"/>
      <c r="H122" s="3"/>
    </row>
    <row r="123" spans="1:8" ht="15.75" customHeight="1" x14ac:dyDescent="0.25">
      <c r="A123" s="9" t="s">
        <v>69</v>
      </c>
      <c r="B123" s="299" t="s">
        <v>71</v>
      </c>
      <c r="C123" s="47">
        <v>12</v>
      </c>
      <c r="D123" s="11">
        <v>6</v>
      </c>
      <c r="E123" s="11">
        <v>11</v>
      </c>
      <c r="H123" s="3"/>
    </row>
    <row r="124" spans="1:8" ht="15.75" customHeight="1" x14ac:dyDescent="0.25">
      <c r="A124" s="9" t="s">
        <v>72</v>
      </c>
      <c r="B124" s="300"/>
      <c r="C124" s="47">
        <v>10</v>
      </c>
      <c r="D124" s="11">
        <v>7</v>
      </c>
      <c r="E124" s="11">
        <v>10</v>
      </c>
      <c r="H124" s="3"/>
    </row>
    <row r="125" spans="1:8" ht="15.75" customHeight="1" x14ac:dyDescent="0.25">
      <c r="A125" s="9" t="s">
        <v>73</v>
      </c>
      <c r="B125" s="301"/>
      <c r="C125" s="47">
        <v>17.43333333333333</v>
      </c>
      <c r="D125" s="11">
        <v>9</v>
      </c>
      <c r="E125" s="11">
        <v>17</v>
      </c>
      <c r="H125" s="3"/>
    </row>
    <row r="126" spans="1:8" ht="15.75" customHeight="1" x14ac:dyDescent="0.25">
      <c r="A126" s="41"/>
      <c r="B126" s="42"/>
      <c r="C126" s="69"/>
      <c r="D126" s="42"/>
      <c r="E126" s="11"/>
      <c r="H126" s="3"/>
    </row>
    <row r="127" spans="1:8" ht="15.75" customHeight="1" x14ac:dyDescent="0.25">
      <c r="A127" s="9" t="s">
        <v>76</v>
      </c>
      <c r="B127" s="302" t="s">
        <v>77</v>
      </c>
      <c r="C127" s="47">
        <v>218</v>
      </c>
      <c r="D127" s="11">
        <v>108</v>
      </c>
      <c r="E127" s="11">
        <v>217</v>
      </c>
      <c r="H127" s="3"/>
    </row>
    <row r="128" spans="1:8" ht="15.75" customHeight="1" x14ac:dyDescent="0.25">
      <c r="A128" s="9" t="s">
        <v>78</v>
      </c>
      <c r="B128" s="300"/>
      <c r="C128" s="47">
        <v>188</v>
      </c>
      <c r="D128" s="11">
        <v>101</v>
      </c>
      <c r="E128" s="11">
        <v>187</v>
      </c>
      <c r="H128" s="3"/>
    </row>
    <row r="129" spans="1:8" ht="15.75" customHeight="1" x14ac:dyDescent="0.25">
      <c r="A129" s="9" t="s">
        <v>79</v>
      </c>
      <c r="B129" s="300"/>
      <c r="C129" s="47">
        <v>239</v>
      </c>
      <c r="D129" s="11">
        <v>115</v>
      </c>
      <c r="E129" s="11">
        <v>238</v>
      </c>
      <c r="H129" s="3"/>
    </row>
    <row r="130" spans="1:8" ht="15.75" customHeight="1" x14ac:dyDescent="0.25">
      <c r="A130" s="49" t="s">
        <v>80</v>
      </c>
      <c r="B130" s="300"/>
      <c r="C130" s="50">
        <v>117</v>
      </c>
      <c r="D130" s="51">
        <v>74</v>
      </c>
      <c r="E130" s="11">
        <v>116</v>
      </c>
      <c r="H130" s="3"/>
    </row>
    <row r="131" spans="1:8" ht="15.75" customHeight="1" x14ac:dyDescent="0.25">
      <c r="A131" s="305"/>
      <c r="B131" s="297"/>
      <c r="C131" s="297"/>
      <c r="D131" s="297"/>
      <c r="E131" s="306"/>
      <c r="H131" s="3"/>
    </row>
    <row r="132" spans="1:8" ht="15.75" customHeight="1" x14ac:dyDescent="0.25">
      <c r="A132" s="9" t="s">
        <v>81</v>
      </c>
      <c r="B132" s="299" t="s">
        <v>82</v>
      </c>
      <c r="C132" s="47">
        <v>2</v>
      </c>
      <c r="D132" s="11">
        <v>0</v>
      </c>
      <c r="E132" s="11">
        <v>2</v>
      </c>
      <c r="H132" s="3"/>
    </row>
    <row r="133" spans="1:8" ht="15.75" customHeight="1" x14ac:dyDescent="0.25">
      <c r="A133" s="9" t="s">
        <v>83</v>
      </c>
      <c r="B133" s="300"/>
      <c r="C133" s="47">
        <v>7.133</v>
      </c>
      <c r="D133" s="11">
        <v>5</v>
      </c>
      <c r="E133" s="11">
        <v>7</v>
      </c>
      <c r="H133" s="3"/>
    </row>
    <row r="134" spans="1:8" ht="15.75" customHeight="1" x14ac:dyDescent="0.25">
      <c r="A134" s="9" t="s">
        <v>84</v>
      </c>
      <c r="B134" s="301"/>
      <c r="C134" s="47">
        <v>10.72</v>
      </c>
      <c r="D134" s="11">
        <v>9</v>
      </c>
      <c r="E134" s="11">
        <v>2</v>
      </c>
      <c r="H134" s="3"/>
    </row>
    <row r="135" spans="1:8" ht="15.75" customHeight="1" x14ac:dyDescent="0.25">
      <c r="A135" s="41"/>
      <c r="B135" s="42"/>
      <c r="C135" s="69"/>
      <c r="D135" s="42"/>
      <c r="E135" s="11"/>
      <c r="H135" s="3"/>
    </row>
    <row r="136" spans="1:8" ht="15.75" customHeight="1" x14ac:dyDescent="0.25">
      <c r="A136" s="9" t="s">
        <v>86</v>
      </c>
      <c r="B136" s="302" t="s">
        <v>87</v>
      </c>
      <c r="C136" s="47">
        <v>19</v>
      </c>
      <c r="D136" s="11">
        <v>15</v>
      </c>
      <c r="E136" s="11">
        <v>19</v>
      </c>
      <c r="H136" s="3"/>
    </row>
    <row r="137" spans="1:8" ht="15.75" customHeight="1" x14ac:dyDescent="0.25">
      <c r="A137" s="49" t="s">
        <v>88</v>
      </c>
      <c r="B137" s="300"/>
      <c r="C137" s="50">
        <v>20</v>
      </c>
      <c r="D137" s="51">
        <v>14</v>
      </c>
      <c r="E137" s="51">
        <v>20</v>
      </c>
      <c r="H137" s="3"/>
    </row>
    <row r="138" spans="1:8" ht="15.75" customHeight="1" x14ac:dyDescent="0.25">
      <c r="A138" s="305"/>
      <c r="B138" s="297"/>
      <c r="C138" s="297"/>
      <c r="D138" s="297"/>
      <c r="E138" s="306"/>
      <c r="H138" s="3"/>
    </row>
    <row r="139" spans="1:8" ht="15.75" customHeight="1" x14ac:dyDescent="0.25">
      <c r="A139" s="9" t="s">
        <v>89</v>
      </c>
      <c r="B139" s="299" t="s">
        <v>90</v>
      </c>
      <c r="C139" s="47">
        <v>16.79</v>
      </c>
      <c r="D139" s="11">
        <v>9</v>
      </c>
      <c r="E139" s="11">
        <v>17</v>
      </c>
      <c r="H139" s="3"/>
    </row>
    <row r="140" spans="1:8" ht="15.75" customHeight="1" x14ac:dyDescent="0.25">
      <c r="A140" s="49" t="s">
        <v>91</v>
      </c>
      <c r="B140" s="300"/>
      <c r="C140" s="50">
        <v>5.76</v>
      </c>
      <c r="D140" s="51">
        <v>3</v>
      </c>
      <c r="E140" s="51">
        <v>6</v>
      </c>
      <c r="H140" s="3"/>
    </row>
    <row r="141" spans="1:8" ht="15.75" customHeight="1" x14ac:dyDescent="0.25">
      <c r="A141" s="41"/>
      <c r="B141" s="42"/>
      <c r="C141" s="69"/>
      <c r="D141" s="42"/>
      <c r="E141" s="201"/>
      <c r="H141" s="3"/>
    </row>
    <row r="142" spans="1:8" ht="15.75" customHeight="1" x14ac:dyDescent="0.25">
      <c r="A142" s="9" t="s">
        <v>94</v>
      </c>
      <c r="B142" s="299" t="s">
        <v>95</v>
      </c>
      <c r="C142" s="47">
        <v>50.083333333333329</v>
      </c>
      <c r="D142" s="11">
        <v>35</v>
      </c>
      <c r="E142" s="11">
        <v>50</v>
      </c>
      <c r="H142" s="3"/>
    </row>
    <row r="143" spans="1:8" ht="15.75" customHeight="1" x14ac:dyDescent="0.25">
      <c r="A143" s="9" t="s">
        <v>96</v>
      </c>
      <c r="B143" s="300"/>
      <c r="C143" s="47">
        <v>93.993333333333339</v>
      </c>
      <c r="D143" s="11">
        <v>62</v>
      </c>
      <c r="E143" s="11">
        <v>94</v>
      </c>
      <c r="H143" s="3"/>
    </row>
    <row r="144" spans="1:8" ht="15.75" customHeight="1" x14ac:dyDescent="0.25">
      <c r="A144" s="9" t="s">
        <v>97</v>
      </c>
      <c r="B144" s="300"/>
      <c r="C144" s="47">
        <v>95.516666666666652</v>
      </c>
      <c r="D144" s="11">
        <v>56</v>
      </c>
      <c r="E144" s="11">
        <v>96</v>
      </c>
      <c r="H144" s="3"/>
    </row>
    <row r="145" spans="1:12" ht="15.75" customHeight="1" x14ac:dyDescent="0.25">
      <c r="A145" s="9" t="s">
        <v>98</v>
      </c>
      <c r="B145" s="300"/>
      <c r="C145" s="47">
        <v>100.91666666666666</v>
      </c>
      <c r="D145" s="11">
        <v>85</v>
      </c>
      <c r="E145" s="11">
        <v>100</v>
      </c>
      <c r="H145" s="3"/>
    </row>
    <row r="146" spans="1:12" ht="15.75" customHeight="1" x14ac:dyDescent="0.25">
      <c r="A146" s="9" t="s">
        <v>99</v>
      </c>
      <c r="B146" s="301"/>
      <c r="C146" s="47">
        <v>115.36666666666667</v>
      </c>
      <c r="D146" s="11">
        <v>76</v>
      </c>
      <c r="E146" s="11">
        <v>119</v>
      </c>
      <c r="H146" s="3"/>
    </row>
    <row r="147" spans="1:12" ht="15.75" customHeight="1" x14ac:dyDescent="0.2"/>
    <row r="148" spans="1:12" ht="15.75" customHeight="1" x14ac:dyDescent="0.2"/>
    <row r="149" spans="1:12" ht="15.75" customHeight="1" x14ac:dyDescent="0.2"/>
    <row r="150" spans="1:12" ht="15.75" customHeight="1" x14ac:dyDescent="0.2"/>
    <row r="151" spans="1:12" ht="15.75" customHeight="1" x14ac:dyDescent="0.3">
      <c r="A151" s="161" t="s">
        <v>353</v>
      </c>
      <c r="B151" s="163" t="s">
        <v>1478</v>
      </c>
    </row>
    <row r="152" spans="1:12" ht="15.75" customHeight="1" x14ac:dyDescent="0.3">
      <c r="A152" s="164" t="s">
        <v>360</v>
      </c>
      <c r="B152" s="249">
        <v>43903</v>
      </c>
    </row>
    <row r="153" spans="1:12" ht="15.75" customHeight="1" x14ac:dyDescent="0.2"/>
    <row r="154" spans="1:12" ht="15.75" customHeight="1" x14ac:dyDescent="0.2"/>
    <row r="155" spans="1:12" ht="15.75" customHeight="1" x14ac:dyDescent="0.25">
      <c r="A155" s="304" t="s">
        <v>1479</v>
      </c>
      <c r="B155" s="297"/>
      <c r="C155" s="297"/>
      <c r="D155" s="297"/>
      <c r="E155" s="298"/>
      <c r="H155" s="3"/>
    </row>
    <row r="156" spans="1:12" ht="15.75" customHeight="1" x14ac:dyDescent="0.2">
      <c r="A156" s="4" t="s">
        <v>0</v>
      </c>
      <c r="B156" s="5" t="s">
        <v>1</v>
      </c>
      <c r="C156" s="5" t="s">
        <v>2</v>
      </c>
      <c r="D156" s="5" t="s">
        <v>43</v>
      </c>
      <c r="E156" s="45" t="s">
        <v>125</v>
      </c>
      <c r="G156" s="296" t="s">
        <v>6</v>
      </c>
      <c r="H156" s="297"/>
      <c r="I156" s="297"/>
      <c r="J156" s="297"/>
      <c r="K156" s="297"/>
      <c r="L156" s="298"/>
    </row>
    <row r="157" spans="1:12" ht="15.75" customHeight="1" x14ac:dyDescent="0.2">
      <c r="A157" s="9" t="s">
        <v>7</v>
      </c>
      <c r="B157" s="302" t="s">
        <v>9</v>
      </c>
      <c r="C157" s="47">
        <v>28.1</v>
      </c>
      <c r="D157" s="224">
        <v>19</v>
      </c>
      <c r="E157" s="224">
        <v>28</v>
      </c>
      <c r="G157" s="296" t="s">
        <v>106</v>
      </c>
      <c r="H157" s="297"/>
      <c r="I157" s="298"/>
      <c r="J157" s="296" t="s">
        <v>107</v>
      </c>
      <c r="K157" s="297"/>
      <c r="L157" s="298"/>
    </row>
    <row r="158" spans="1:12" ht="15.75" customHeight="1" x14ac:dyDescent="0.2">
      <c r="A158" s="9" t="s">
        <v>17</v>
      </c>
      <c r="B158" s="300"/>
      <c r="C158" s="47">
        <v>63.911000000000001</v>
      </c>
      <c r="D158" s="224">
        <v>59</v>
      </c>
      <c r="E158" s="224">
        <v>69</v>
      </c>
      <c r="G158" s="13" t="s">
        <v>13</v>
      </c>
      <c r="H158" s="39">
        <f>H160+H160*0.1</f>
        <v>775.5</v>
      </c>
      <c r="I158" s="17" t="s">
        <v>1500</v>
      </c>
      <c r="J158" s="13" t="s">
        <v>13</v>
      </c>
      <c r="K158" s="39">
        <f>K160+K160*0.1</f>
        <v>821.7</v>
      </c>
      <c r="L158" s="17" t="s">
        <v>1501</v>
      </c>
    </row>
    <row r="159" spans="1:12" ht="15.75" customHeight="1" x14ac:dyDescent="0.2">
      <c r="A159" s="9" t="s">
        <v>26</v>
      </c>
      <c r="B159" s="300"/>
      <c r="C159" s="47">
        <v>69.921999999999997</v>
      </c>
      <c r="D159" s="224">
        <v>68</v>
      </c>
      <c r="E159" s="224">
        <v>76</v>
      </c>
      <c r="G159" s="13" t="s">
        <v>19</v>
      </c>
      <c r="H159" s="40">
        <f>H160-H160*0.1</f>
        <v>634.5</v>
      </c>
      <c r="I159" s="17" t="s">
        <v>1502</v>
      </c>
      <c r="J159" s="13" t="s">
        <v>19</v>
      </c>
      <c r="K159" s="40">
        <f>K160-K160*0.1</f>
        <v>672.3</v>
      </c>
      <c r="L159" s="17" t="s">
        <v>1503</v>
      </c>
    </row>
    <row r="160" spans="1:12" ht="15.75" customHeight="1" x14ac:dyDescent="0.2">
      <c r="A160" s="9" t="s">
        <v>32</v>
      </c>
      <c r="B160" s="300"/>
      <c r="C160" s="47">
        <v>96.744</v>
      </c>
      <c r="D160" s="224">
        <v>94</v>
      </c>
      <c r="E160" s="224">
        <v>96</v>
      </c>
      <c r="G160" s="13" t="s">
        <v>27</v>
      </c>
      <c r="H160" s="225">
        <v>705</v>
      </c>
      <c r="I160" s="17" t="s">
        <v>1504</v>
      </c>
      <c r="J160" s="13" t="s">
        <v>27</v>
      </c>
      <c r="K160" s="225">
        <v>747</v>
      </c>
      <c r="L160" s="17" t="s">
        <v>1505</v>
      </c>
    </row>
    <row r="161" spans="1:12" ht="15.75" customHeight="1" x14ac:dyDescent="0.2">
      <c r="A161" s="9" t="s">
        <v>33</v>
      </c>
      <c r="B161" s="301"/>
      <c r="C161" s="47">
        <v>128.11000000000001</v>
      </c>
      <c r="D161" s="224">
        <v>124</v>
      </c>
      <c r="E161" s="224">
        <v>126</v>
      </c>
      <c r="G161" s="13" t="s">
        <v>121</v>
      </c>
      <c r="H161" s="225">
        <v>703</v>
      </c>
      <c r="I161" s="17" t="s">
        <v>1506</v>
      </c>
      <c r="J161" s="13" t="s">
        <v>121</v>
      </c>
      <c r="K161" s="225">
        <v>744</v>
      </c>
      <c r="L161" s="17" t="s">
        <v>1507</v>
      </c>
    </row>
    <row r="162" spans="1:12" ht="15.75" customHeight="1" x14ac:dyDescent="0.25">
      <c r="A162" s="41"/>
      <c r="B162" s="42"/>
      <c r="C162" s="69"/>
      <c r="D162" s="42"/>
      <c r="E162" s="11"/>
      <c r="H162" s="3"/>
    </row>
    <row r="163" spans="1:12" ht="15.75" customHeight="1" x14ac:dyDescent="0.25">
      <c r="A163" s="9" t="s">
        <v>35</v>
      </c>
      <c r="B163" s="302" t="s">
        <v>36</v>
      </c>
      <c r="C163" s="47">
        <v>207.78</v>
      </c>
      <c r="D163" s="224">
        <v>140</v>
      </c>
      <c r="E163" s="224">
        <v>212</v>
      </c>
      <c r="G163" s="31"/>
      <c r="H163" s="3"/>
    </row>
    <row r="164" spans="1:12" ht="15.75" customHeight="1" x14ac:dyDescent="0.25">
      <c r="A164" s="9" t="s">
        <v>37</v>
      </c>
      <c r="B164" s="300"/>
      <c r="C164" s="47">
        <v>444.11</v>
      </c>
      <c r="D164" s="224">
        <v>336</v>
      </c>
      <c r="E164" s="224">
        <v>443</v>
      </c>
      <c r="G164" s="31"/>
      <c r="H164" s="3"/>
    </row>
    <row r="165" spans="1:12" ht="15.75" customHeight="1" x14ac:dyDescent="0.25">
      <c r="A165" s="9" t="s">
        <v>38</v>
      </c>
      <c r="B165" s="300"/>
      <c r="C165" s="47">
        <v>579.55999999999995</v>
      </c>
      <c r="D165" s="224">
        <v>540</v>
      </c>
      <c r="E165" s="224">
        <v>560</v>
      </c>
      <c r="G165" s="31"/>
      <c r="H165" s="3"/>
    </row>
    <row r="166" spans="1:12" ht="15.75" customHeight="1" x14ac:dyDescent="0.25">
      <c r="A166" s="9" t="s">
        <v>39</v>
      </c>
      <c r="B166" s="300"/>
      <c r="C166" s="47">
        <v>746.22</v>
      </c>
      <c r="D166" s="224">
        <v>730</v>
      </c>
      <c r="E166" s="224">
        <v>762</v>
      </c>
      <c r="G166" s="31"/>
      <c r="H166" s="3"/>
    </row>
    <row r="167" spans="1:12" ht="15.75" customHeight="1" x14ac:dyDescent="0.25">
      <c r="A167" s="49" t="s">
        <v>41</v>
      </c>
      <c r="B167" s="300"/>
      <c r="C167" s="50">
        <v>869.5</v>
      </c>
      <c r="D167" s="226">
        <v>810</v>
      </c>
      <c r="E167" s="226">
        <v>846</v>
      </c>
      <c r="G167" s="31"/>
      <c r="H167" s="3"/>
    </row>
    <row r="168" spans="1:12" ht="15.75" customHeight="1" x14ac:dyDescent="0.25">
      <c r="A168" s="308"/>
      <c r="B168" s="297"/>
      <c r="C168" s="297"/>
      <c r="D168" s="297"/>
      <c r="E168" s="306"/>
      <c r="H168" s="3"/>
    </row>
    <row r="169" spans="1:12" ht="15.75" customHeight="1" x14ac:dyDescent="0.25">
      <c r="A169" s="9" t="s">
        <v>46</v>
      </c>
      <c r="B169" s="299" t="s">
        <v>47</v>
      </c>
      <c r="C169" s="47">
        <v>88.4</v>
      </c>
      <c r="D169" s="224">
        <v>83</v>
      </c>
      <c r="E169" s="224">
        <v>90</v>
      </c>
      <c r="H169" s="3"/>
    </row>
    <row r="170" spans="1:12" ht="15.75" customHeight="1" x14ac:dyDescent="0.25">
      <c r="A170" s="9" t="s">
        <v>48</v>
      </c>
      <c r="B170" s="300"/>
      <c r="C170" s="47">
        <v>94.6</v>
      </c>
      <c r="D170" s="224">
        <v>90</v>
      </c>
      <c r="E170" s="224">
        <v>96</v>
      </c>
      <c r="H170" s="3"/>
    </row>
    <row r="171" spans="1:12" ht="15.75" customHeight="1" x14ac:dyDescent="0.25">
      <c r="A171" s="41"/>
      <c r="B171" s="42"/>
      <c r="C171" s="69"/>
      <c r="D171" s="42"/>
      <c r="E171" s="11"/>
      <c r="H171" s="3"/>
    </row>
    <row r="172" spans="1:12" ht="15.75" customHeight="1" x14ac:dyDescent="0.25">
      <c r="A172" s="9" t="s">
        <v>50</v>
      </c>
      <c r="B172" s="302" t="s">
        <v>51</v>
      </c>
      <c r="C172" s="47">
        <v>271.44400000000002</v>
      </c>
      <c r="D172" s="224">
        <v>265</v>
      </c>
      <c r="E172" s="224">
        <v>336</v>
      </c>
      <c r="H172" s="3"/>
    </row>
    <row r="173" spans="1:12" ht="15.75" customHeight="1" x14ac:dyDescent="0.25">
      <c r="A173" s="9" t="s">
        <v>54</v>
      </c>
      <c r="B173" s="300"/>
      <c r="C173" s="47">
        <v>550.22199999999998</v>
      </c>
      <c r="D173" s="224">
        <v>410</v>
      </c>
      <c r="E173" s="224">
        <v>483</v>
      </c>
      <c r="H173" s="3"/>
    </row>
    <row r="174" spans="1:12" ht="15.75" customHeight="1" x14ac:dyDescent="0.25">
      <c r="A174" s="9" t="s">
        <v>55</v>
      </c>
      <c r="B174" s="300"/>
      <c r="C174" s="47">
        <v>609</v>
      </c>
      <c r="D174" s="224">
        <v>590</v>
      </c>
      <c r="E174" s="224">
        <v>598</v>
      </c>
      <c r="H174" s="3"/>
    </row>
    <row r="175" spans="1:12" ht="15.75" customHeight="1" x14ac:dyDescent="0.25">
      <c r="A175" s="9" t="s">
        <v>56</v>
      </c>
      <c r="B175" s="300"/>
      <c r="C175" s="47">
        <v>739.11099999999999</v>
      </c>
      <c r="D175" s="224">
        <v>752</v>
      </c>
      <c r="E175" s="224">
        <v>775</v>
      </c>
      <c r="H175" s="3"/>
    </row>
    <row r="176" spans="1:12" ht="15.75" customHeight="1" x14ac:dyDescent="0.25">
      <c r="A176" s="49" t="s">
        <v>57</v>
      </c>
      <c r="B176" s="300"/>
      <c r="C176" s="50">
        <v>746.88900000000001</v>
      </c>
      <c r="D176" s="226">
        <v>692</v>
      </c>
      <c r="E176" s="224">
        <v>754</v>
      </c>
      <c r="H176" s="3"/>
    </row>
    <row r="177" spans="1:8" ht="15.75" customHeight="1" x14ac:dyDescent="0.25">
      <c r="A177" s="308"/>
      <c r="B177" s="297"/>
      <c r="C177" s="297"/>
      <c r="D177" s="297"/>
      <c r="E177" s="306"/>
      <c r="H177" s="3"/>
    </row>
    <row r="178" spans="1:8" ht="15.75" customHeight="1" x14ac:dyDescent="0.25">
      <c r="A178" s="9" t="s">
        <v>60</v>
      </c>
      <c r="B178" s="299" t="s">
        <v>62</v>
      </c>
      <c r="C178" s="47">
        <v>19.741666666666667</v>
      </c>
      <c r="D178" s="224">
        <v>14</v>
      </c>
      <c r="E178" s="224">
        <v>20</v>
      </c>
      <c r="H178" s="3"/>
    </row>
    <row r="179" spans="1:8" ht="15.75" customHeight="1" x14ac:dyDescent="0.25">
      <c r="A179" s="9" t="s">
        <v>64</v>
      </c>
      <c r="B179" s="300"/>
      <c r="C179" s="47">
        <v>37.258333333333333</v>
      </c>
      <c r="D179" s="224">
        <v>25</v>
      </c>
      <c r="E179" s="224">
        <v>37</v>
      </c>
      <c r="H179" s="3"/>
    </row>
    <row r="180" spans="1:8" ht="15.75" customHeight="1" x14ac:dyDescent="0.25">
      <c r="A180" s="9" t="s">
        <v>65</v>
      </c>
      <c r="B180" s="301"/>
      <c r="C180" s="259">
        <v>42</v>
      </c>
      <c r="D180" s="224">
        <v>36</v>
      </c>
      <c r="E180" s="224">
        <v>43</v>
      </c>
      <c r="H180" s="3"/>
    </row>
    <row r="181" spans="1:8" ht="15.75" customHeight="1" x14ac:dyDescent="0.25">
      <c r="A181" s="41"/>
      <c r="B181" s="42"/>
      <c r="C181" s="69"/>
      <c r="D181" s="42"/>
      <c r="E181" s="11"/>
      <c r="H181" s="3"/>
    </row>
    <row r="182" spans="1:8" ht="15.75" customHeight="1" x14ac:dyDescent="0.25">
      <c r="A182" s="9" t="s">
        <v>66</v>
      </c>
      <c r="B182" s="302" t="s">
        <v>68</v>
      </c>
      <c r="C182" s="47">
        <v>204.5</v>
      </c>
      <c r="D182" s="224">
        <v>194</v>
      </c>
      <c r="E182" s="224">
        <v>207</v>
      </c>
      <c r="H182" s="3"/>
    </row>
    <row r="183" spans="1:8" ht="15.75" customHeight="1" x14ac:dyDescent="0.25">
      <c r="A183" s="49" t="s">
        <v>69</v>
      </c>
      <c r="B183" s="300"/>
      <c r="C183" s="50">
        <v>277.7</v>
      </c>
      <c r="D183" s="226">
        <v>267</v>
      </c>
      <c r="E183" s="226">
        <v>281</v>
      </c>
      <c r="H183" s="3"/>
    </row>
    <row r="184" spans="1:8" ht="15.75" customHeight="1" x14ac:dyDescent="0.25">
      <c r="A184" s="305"/>
      <c r="B184" s="297"/>
      <c r="C184" s="297"/>
      <c r="D184" s="297"/>
      <c r="E184" s="306"/>
      <c r="H184" s="3"/>
    </row>
    <row r="185" spans="1:8" ht="15.75" customHeight="1" x14ac:dyDescent="0.25">
      <c r="A185" s="9" t="s">
        <v>69</v>
      </c>
      <c r="B185" s="299" t="s">
        <v>71</v>
      </c>
      <c r="C185" s="47">
        <v>12</v>
      </c>
      <c r="D185" s="224">
        <v>7</v>
      </c>
      <c r="E185" s="224">
        <v>13</v>
      </c>
      <c r="H185" s="3"/>
    </row>
    <row r="186" spans="1:8" ht="15.75" customHeight="1" x14ac:dyDescent="0.25">
      <c r="A186" s="9" t="s">
        <v>72</v>
      </c>
      <c r="B186" s="300"/>
      <c r="C186" s="47">
        <v>10</v>
      </c>
      <c r="D186" s="224">
        <v>12</v>
      </c>
      <c r="E186" s="224">
        <v>14</v>
      </c>
      <c r="H186" s="3"/>
    </row>
    <row r="187" spans="1:8" ht="15.75" customHeight="1" x14ac:dyDescent="0.25">
      <c r="A187" s="9" t="s">
        <v>73</v>
      </c>
      <c r="B187" s="301"/>
      <c r="C187" s="47">
        <v>17.43333333333333</v>
      </c>
      <c r="D187" s="224">
        <v>19</v>
      </c>
      <c r="E187" s="224">
        <v>19</v>
      </c>
      <c r="H187" s="3"/>
    </row>
    <row r="188" spans="1:8" ht="15.75" customHeight="1" x14ac:dyDescent="0.25">
      <c r="A188" s="41"/>
      <c r="B188" s="42"/>
      <c r="C188" s="69"/>
      <c r="D188" s="42"/>
      <c r="E188" s="11"/>
      <c r="H188" s="3"/>
    </row>
    <row r="189" spans="1:8" ht="15.75" customHeight="1" x14ac:dyDescent="0.25">
      <c r="A189" s="9" t="s">
        <v>76</v>
      </c>
      <c r="B189" s="302" t="s">
        <v>77</v>
      </c>
      <c r="C189" s="47">
        <v>218</v>
      </c>
      <c r="D189" s="224">
        <v>216</v>
      </c>
      <c r="E189" s="224">
        <v>219</v>
      </c>
      <c r="H189" s="3"/>
    </row>
    <row r="190" spans="1:8" ht="15.75" customHeight="1" x14ac:dyDescent="0.25">
      <c r="A190" s="9" t="s">
        <v>78</v>
      </c>
      <c r="B190" s="300"/>
      <c r="C190" s="47">
        <v>188</v>
      </c>
      <c r="D190" s="224">
        <v>172</v>
      </c>
      <c r="E190" s="224">
        <v>186</v>
      </c>
      <c r="H190" s="3"/>
    </row>
    <row r="191" spans="1:8" ht="15.75" customHeight="1" x14ac:dyDescent="0.25">
      <c r="A191" s="9" t="s">
        <v>79</v>
      </c>
      <c r="B191" s="300"/>
      <c r="C191" s="47">
        <v>239</v>
      </c>
      <c r="D191" s="224">
        <v>233</v>
      </c>
      <c r="E191" s="224">
        <v>239</v>
      </c>
      <c r="H191" s="3"/>
    </row>
    <row r="192" spans="1:8" ht="15.75" customHeight="1" x14ac:dyDescent="0.25">
      <c r="A192" s="49" t="s">
        <v>80</v>
      </c>
      <c r="B192" s="300"/>
      <c r="C192" s="50">
        <v>117</v>
      </c>
      <c r="D192" s="226">
        <v>104</v>
      </c>
      <c r="E192" s="224">
        <v>125</v>
      </c>
      <c r="H192" s="3"/>
    </row>
    <row r="193" spans="1:8" ht="15.75" customHeight="1" x14ac:dyDescent="0.25">
      <c r="A193" s="305"/>
      <c r="B193" s="297"/>
      <c r="C193" s="297"/>
      <c r="D193" s="297"/>
      <c r="E193" s="306"/>
      <c r="H193" s="3"/>
    </row>
    <row r="194" spans="1:8" ht="15.75" customHeight="1" x14ac:dyDescent="0.25">
      <c r="A194" s="9" t="s">
        <v>81</v>
      </c>
      <c r="B194" s="299" t="s">
        <v>82</v>
      </c>
      <c r="C194" s="47">
        <v>2</v>
      </c>
      <c r="D194" s="224">
        <v>0</v>
      </c>
      <c r="E194" s="224">
        <v>0</v>
      </c>
      <c r="H194" s="3"/>
    </row>
    <row r="195" spans="1:8" ht="15.75" customHeight="1" x14ac:dyDescent="0.25">
      <c r="A195" s="9" t="s">
        <v>83</v>
      </c>
      <c r="B195" s="300"/>
      <c r="C195" s="47">
        <v>7.133</v>
      </c>
      <c r="D195" s="224">
        <v>0</v>
      </c>
      <c r="E195" s="224">
        <v>0</v>
      </c>
      <c r="H195" s="3"/>
    </row>
    <row r="196" spans="1:8" ht="15.75" customHeight="1" x14ac:dyDescent="0.25">
      <c r="A196" s="9" t="s">
        <v>84</v>
      </c>
      <c r="B196" s="301"/>
      <c r="C196" s="47">
        <v>10.72</v>
      </c>
      <c r="D196" s="224">
        <v>0</v>
      </c>
      <c r="E196" s="224">
        <v>0</v>
      </c>
      <c r="H196" s="3"/>
    </row>
    <row r="197" spans="1:8" ht="15.75" customHeight="1" x14ac:dyDescent="0.25">
      <c r="A197" s="41"/>
      <c r="B197" s="42"/>
      <c r="C197" s="69"/>
      <c r="D197" s="42"/>
      <c r="E197" s="11"/>
      <c r="H197" s="3"/>
    </row>
    <row r="198" spans="1:8" ht="15.75" customHeight="1" x14ac:dyDescent="0.25">
      <c r="A198" s="9" t="s">
        <v>86</v>
      </c>
      <c r="B198" s="302" t="s">
        <v>87</v>
      </c>
      <c r="C198" s="47">
        <v>19</v>
      </c>
      <c r="D198" s="224">
        <v>18</v>
      </c>
      <c r="E198" s="224">
        <v>19</v>
      </c>
      <c r="H198" s="3"/>
    </row>
    <row r="199" spans="1:8" ht="15.75" customHeight="1" x14ac:dyDescent="0.25">
      <c r="A199" s="49" t="s">
        <v>88</v>
      </c>
      <c r="B199" s="300"/>
      <c r="C199" s="50">
        <v>20</v>
      </c>
      <c r="D199" s="226">
        <v>19</v>
      </c>
      <c r="E199" s="226">
        <v>20</v>
      </c>
      <c r="H199" s="3"/>
    </row>
    <row r="200" spans="1:8" ht="15.75" customHeight="1" x14ac:dyDescent="0.25">
      <c r="A200" s="305"/>
      <c r="B200" s="297"/>
      <c r="C200" s="297"/>
      <c r="D200" s="297"/>
      <c r="E200" s="306"/>
      <c r="H200" s="3"/>
    </row>
    <row r="201" spans="1:8" ht="15.75" customHeight="1" x14ac:dyDescent="0.25">
      <c r="A201" s="9" t="s">
        <v>89</v>
      </c>
      <c r="B201" s="299" t="s">
        <v>90</v>
      </c>
      <c r="C201" s="47">
        <v>16.79</v>
      </c>
      <c r="D201" s="224">
        <v>12</v>
      </c>
      <c r="E201" s="224">
        <v>18</v>
      </c>
      <c r="H201" s="3"/>
    </row>
    <row r="202" spans="1:8" ht="15.75" customHeight="1" x14ac:dyDescent="0.25">
      <c r="A202" s="49" t="s">
        <v>91</v>
      </c>
      <c r="B202" s="300"/>
      <c r="C202" s="50">
        <v>5.76</v>
      </c>
      <c r="D202" s="226">
        <v>7</v>
      </c>
      <c r="E202" s="226">
        <v>11</v>
      </c>
      <c r="H202" s="3"/>
    </row>
    <row r="203" spans="1:8" ht="15.75" customHeight="1" x14ac:dyDescent="0.25">
      <c r="A203" s="41"/>
      <c r="B203" s="42"/>
      <c r="C203" s="69"/>
      <c r="D203" s="42"/>
      <c r="E203" s="201"/>
      <c r="H203" s="3"/>
    </row>
    <row r="204" spans="1:8" ht="15.75" customHeight="1" x14ac:dyDescent="0.25">
      <c r="A204" s="9" t="s">
        <v>94</v>
      </c>
      <c r="B204" s="299" t="s">
        <v>95</v>
      </c>
      <c r="C204" s="47">
        <v>50.083333333333329</v>
      </c>
      <c r="D204" s="224">
        <v>0</v>
      </c>
      <c r="E204" s="224">
        <v>67</v>
      </c>
      <c r="H204" s="3"/>
    </row>
    <row r="205" spans="1:8" ht="15.75" customHeight="1" x14ac:dyDescent="0.25">
      <c r="A205" s="9" t="s">
        <v>96</v>
      </c>
      <c r="B205" s="300"/>
      <c r="C205" s="47">
        <v>93.993333333333339</v>
      </c>
      <c r="D205" s="224">
        <v>103</v>
      </c>
      <c r="E205" s="224">
        <v>82</v>
      </c>
      <c r="H205" s="3"/>
    </row>
    <row r="206" spans="1:8" ht="15.75" customHeight="1" x14ac:dyDescent="0.25">
      <c r="A206" s="9" t="s">
        <v>97</v>
      </c>
      <c r="B206" s="300"/>
      <c r="C206" s="259">
        <v>122</v>
      </c>
      <c r="D206" s="224">
        <v>56</v>
      </c>
      <c r="E206" s="224">
        <v>174</v>
      </c>
      <c r="H206" s="3"/>
    </row>
    <row r="207" spans="1:8" ht="15.75" customHeight="1" x14ac:dyDescent="0.25">
      <c r="A207" s="9" t="s">
        <v>98</v>
      </c>
      <c r="B207" s="300"/>
      <c r="C207" s="47">
        <v>100.91666666666666</v>
      </c>
      <c r="D207" s="224">
        <v>70</v>
      </c>
      <c r="E207" s="224">
        <v>94</v>
      </c>
      <c r="H207" s="3"/>
    </row>
    <row r="208" spans="1:8" ht="15.75" customHeight="1" x14ac:dyDescent="0.25">
      <c r="A208" s="9" t="s">
        <v>99</v>
      </c>
      <c r="B208" s="301"/>
      <c r="C208" s="47">
        <v>115.36666666666667</v>
      </c>
      <c r="D208" s="224">
        <v>80</v>
      </c>
      <c r="E208" s="224">
        <v>115</v>
      </c>
      <c r="H208" s="3"/>
    </row>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4">
    <mergeCell ref="M67:R68"/>
    <mergeCell ref="M76:R77"/>
    <mergeCell ref="A87:Y87"/>
    <mergeCell ref="T46:X46"/>
    <mergeCell ref="M46:R46"/>
    <mergeCell ref="M47:R48"/>
    <mergeCell ref="M56:R57"/>
    <mergeCell ref="M66:R66"/>
    <mergeCell ref="T47:X47"/>
    <mergeCell ref="T54:X56"/>
    <mergeCell ref="T66:X66"/>
    <mergeCell ref="T67:X67"/>
    <mergeCell ref="T74:X76"/>
    <mergeCell ref="M26:R26"/>
    <mergeCell ref="T26:X26"/>
    <mergeCell ref="M27:R28"/>
    <mergeCell ref="T27:X27"/>
    <mergeCell ref="T34:X36"/>
    <mergeCell ref="M36:R37"/>
    <mergeCell ref="A1:Z1"/>
    <mergeCell ref="Z2:Z25"/>
    <mergeCell ref="M6:R6"/>
    <mergeCell ref="T6:X6"/>
    <mergeCell ref="M7:R8"/>
    <mergeCell ref="T7:X7"/>
    <mergeCell ref="B8:F8"/>
    <mergeCell ref="H7:K7"/>
    <mergeCell ref="H8:K8"/>
    <mergeCell ref="H12:K12"/>
    <mergeCell ref="B13:F13"/>
    <mergeCell ref="T14:X16"/>
    <mergeCell ref="M16:R17"/>
    <mergeCell ref="B198:B199"/>
    <mergeCell ref="A200:E200"/>
    <mergeCell ref="B201:B202"/>
    <mergeCell ref="B204:B208"/>
    <mergeCell ref="B169:B170"/>
    <mergeCell ref="B172:B176"/>
    <mergeCell ref="A177:E177"/>
    <mergeCell ref="B178:B180"/>
    <mergeCell ref="B182:B183"/>
    <mergeCell ref="A184:E184"/>
    <mergeCell ref="B185:B187"/>
    <mergeCell ref="B163:B167"/>
    <mergeCell ref="A168:E168"/>
    <mergeCell ref="B189:B192"/>
    <mergeCell ref="A193:E193"/>
    <mergeCell ref="B194:B196"/>
    <mergeCell ref="B142:B146"/>
    <mergeCell ref="A155:E155"/>
    <mergeCell ref="G156:L156"/>
    <mergeCell ref="B157:B161"/>
    <mergeCell ref="G157:I157"/>
    <mergeCell ref="J157:L157"/>
    <mergeCell ref="A131:E131"/>
    <mergeCell ref="B132:B134"/>
    <mergeCell ref="B136:B137"/>
    <mergeCell ref="A138:E138"/>
    <mergeCell ref="B139:B140"/>
    <mergeCell ref="B116:B118"/>
    <mergeCell ref="B120:B121"/>
    <mergeCell ref="A122:E122"/>
    <mergeCell ref="B123:B125"/>
    <mergeCell ref="B127:B130"/>
    <mergeCell ref="B101:B105"/>
    <mergeCell ref="A106:E106"/>
    <mergeCell ref="B107:B108"/>
    <mergeCell ref="B110:B114"/>
    <mergeCell ref="A115:E115"/>
    <mergeCell ref="A93:E93"/>
    <mergeCell ref="G94:L94"/>
    <mergeCell ref="B95:B99"/>
    <mergeCell ref="G95:I95"/>
    <mergeCell ref="J95:L95"/>
  </mergeCells>
  <pageMargins left="0.7" right="0.7" top="0.75" bottom="0.75" header="0" footer="0"/>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2:Z1000"/>
  <sheetViews>
    <sheetView workbookViewId="0"/>
  </sheetViews>
  <sheetFormatPr baseColWidth="10" defaultColWidth="12.625" defaultRowHeight="15" customHeight="1" x14ac:dyDescent="0.2"/>
  <cols>
    <col min="1" max="1" width="10" customWidth="1"/>
    <col min="2" max="2" width="12.875" customWidth="1"/>
    <col min="3" max="3" width="11" customWidth="1"/>
    <col min="4" max="4" width="10" customWidth="1"/>
    <col min="5" max="5" width="13.25" customWidth="1"/>
    <col min="6" max="18" width="10" customWidth="1"/>
    <col min="19" max="19" width="11" customWidth="1"/>
    <col min="20" max="26" width="10" customWidth="1"/>
  </cols>
  <sheetData>
    <row r="2" spans="1:12" ht="18.75" x14ac:dyDescent="0.3">
      <c r="A2" s="161" t="s">
        <v>353</v>
      </c>
      <c r="B2" s="163" t="s">
        <v>1445</v>
      </c>
    </row>
    <row r="3" spans="1:12" ht="18.75" x14ac:dyDescent="0.3">
      <c r="A3" s="164" t="s">
        <v>360</v>
      </c>
      <c r="B3" s="165">
        <v>43172</v>
      </c>
    </row>
    <row r="4" spans="1:12" x14ac:dyDescent="0.25">
      <c r="A4" s="304" t="s">
        <v>1446</v>
      </c>
      <c r="B4" s="297"/>
      <c r="C4" s="297"/>
      <c r="D4" s="297"/>
      <c r="E4" s="298"/>
      <c r="H4" s="3"/>
    </row>
    <row r="5" spans="1:12" ht="24" x14ac:dyDescent="0.2">
      <c r="A5" s="4" t="s">
        <v>0</v>
      </c>
      <c r="B5" s="5" t="s">
        <v>1</v>
      </c>
      <c r="C5" s="5" t="s">
        <v>2</v>
      </c>
      <c r="D5" s="5" t="s">
        <v>43</v>
      </c>
      <c r="E5" s="45" t="s">
        <v>125</v>
      </c>
      <c r="G5" s="296" t="s">
        <v>6</v>
      </c>
      <c r="H5" s="297"/>
      <c r="I5" s="297"/>
      <c r="J5" s="297"/>
      <c r="K5" s="297"/>
      <c r="L5" s="298"/>
    </row>
    <row r="6" spans="1:12" ht="14.25" x14ac:dyDescent="0.2">
      <c r="A6" s="9" t="s">
        <v>7</v>
      </c>
      <c r="B6" s="302" t="s">
        <v>9</v>
      </c>
      <c r="C6" s="47">
        <v>28.1</v>
      </c>
      <c r="D6" s="11">
        <v>10</v>
      </c>
      <c r="E6" s="47">
        <v>29</v>
      </c>
      <c r="G6" s="296" t="s">
        <v>106</v>
      </c>
      <c r="H6" s="297"/>
      <c r="I6" s="298"/>
      <c r="J6" s="296" t="s">
        <v>107</v>
      </c>
      <c r="K6" s="297"/>
      <c r="L6" s="298"/>
    </row>
    <row r="7" spans="1:12" ht="14.25" x14ac:dyDescent="0.2">
      <c r="A7" s="9" t="s">
        <v>17</v>
      </c>
      <c r="B7" s="300"/>
      <c r="C7" s="47">
        <v>63.911000000000001</v>
      </c>
      <c r="D7" s="11">
        <v>31</v>
      </c>
      <c r="E7" s="47">
        <v>59</v>
      </c>
      <c r="G7" s="13" t="s">
        <v>13</v>
      </c>
      <c r="H7" s="14">
        <v>819</v>
      </c>
      <c r="I7" s="17" t="s">
        <v>1448</v>
      </c>
      <c r="J7" s="13" t="s">
        <v>13</v>
      </c>
      <c r="K7" s="39">
        <f>+K9+K9*0.1</f>
        <v>710.6</v>
      </c>
      <c r="L7" s="17" t="s">
        <v>1449</v>
      </c>
    </row>
    <row r="8" spans="1:12" ht="14.25" x14ac:dyDescent="0.2">
      <c r="A8" s="9" t="s">
        <v>26</v>
      </c>
      <c r="B8" s="300"/>
      <c r="C8" s="47">
        <v>69.921999999999997</v>
      </c>
      <c r="D8" s="11">
        <v>45</v>
      </c>
      <c r="E8" s="47">
        <v>73</v>
      </c>
      <c r="G8" s="13" t="s">
        <v>19</v>
      </c>
      <c r="H8" s="18">
        <v>741</v>
      </c>
      <c r="I8" s="17" t="s">
        <v>1451</v>
      </c>
      <c r="J8" s="13" t="s">
        <v>19</v>
      </c>
      <c r="K8" s="40">
        <f>+K9-K9*0.1</f>
        <v>581.4</v>
      </c>
      <c r="L8" s="17" t="s">
        <v>1452</v>
      </c>
    </row>
    <row r="9" spans="1:12" ht="14.25" x14ac:dyDescent="0.2">
      <c r="A9" s="9" t="s">
        <v>32</v>
      </c>
      <c r="B9" s="300"/>
      <c r="C9" s="47">
        <v>96.744</v>
      </c>
      <c r="D9" s="11">
        <v>54</v>
      </c>
      <c r="E9" s="47">
        <v>95</v>
      </c>
      <c r="G9" s="13" t="s">
        <v>27</v>
      </c>
      <c r="H9" s="20">
        <v>780</v>
      </c>
      <c r="I9" s="17" t="s">
        <v>1453</v>
      </c>
      <c r="J9" s="13" t="s">
        <v>27</v>
      </c>
      <c r="K9" s="20">
        <v>646</v>
      </c>
      <c r="L9" s="17" t="s">
        <v>1454</v>
      </c>
    </row>
    <row r="10" spans="1:12" ht="14.25" x14ac:dyDescent="0.2">
      <c r="A10" s="9" t="s">
        <v>33</v>
      </c>
      <c r="B10" s="301"/>
      <c r="C10" s="47">
        <v>128.11000000000001</v>
      </c>
      <c r="D10" s="11">
        <v>96</v>
      </c>
      <c r="E10" s="47">
        <v>126</v>
      </c>
      <c r="G10" s="13" t="s">
        <v>121</v>
      </c>
      <c r="H10" s="20">
        <v>699</v>
      </c>
      <c r="I10" s="17" t="s">
        <v>1455</v>
      </c>
      <c r="J10" s="13" t="s">
        <v>121</v>
      </c>
      <c r="K10" s="20">
        <v>636</v>
      </c>
      <c r="L10" s="17" t="s">
        <v>1456</v>
      </c>
    </row>
    <row r="11" spans="1:12" x14ac:dyDescent="0.25">
      <c r="A11" s="296"/>
      <c r="B11" s="297"/>
      <c r="C11" s="297"/>
      <c r="D11" s="297"/>
      <c r="E11" s="11"/>
      <c r="H11" s="3"/>
    </row>
    <row r="12" spans="1:12" x14ac:dyDescent="0.25">
      <c r="A12" s="9" t="s">
        <v>35</v>
      </c>
      <c r="B12" s="302" t="s">
        <v>36</v>
      </c>
      <c r="C12" s="47">
        <v>207.78</v>
      </c>
      <c r="D12" s="11">
        <v>108</v>
      </c>
      <c r="E12" s="47">
        <v>219</v>
      </c>
      <c r="H12" s="3"/>
    </row>
    <row r="13" spans="1:12" x14ac:dyDescent="0.25">
      <c r="A13" s="9" t="s">
        <v>37</v>
      </c>
      <c r="B13" s="300"/>
      <c r="C13" s="47">
        <v>444.11</v>
      </c>
      <c r="D13" s="11">
        <v>201</v>
      </c>
      <c r="E13" s="47">
        <v>401</v>
      </c>
      <c r="H13" s="3"/>
    </row>
    <row r="14" spans="1:12" x14ac:dyDescent="0.25">
      <c r="A14" s="9" t="s">
        <v>38</v>
      </c>
      <c r="B14" s="300"/>
      <c r="C14" s="47">
        <v>579.55999999999995</v>
      </c>
      <c r="D14" s="11">
        <v>618</v>
      </c>
      <c r="E14" s="47">
        <v>580</v>
      </c>
      <c r="H14" s="3"/>
    </row>
    <row r="15" spans="1:12" x14ac:dyDescent="0.25">
      <c r="A15" s="9" t="s">
        <v>39</v>
      </c>
      <c r="B15" s="300"/>
      <c r="C15" s="47">
        <v>746.22</v>
      </c>
      <c r="D15" s="11">
        <v>650</v>
      </c>
      <c r="E15" s="11">
        <v>701</v>
      </c>
      <c r="H15" s="3"/>
    </row>
    <row r="16" spans="1:12" x14ac:dyDescent="0.25">
      <c r="A16" s="49" t="s">
        <v>41</v>
      </c>
      <c r="B16" s="300"/>
      <c r="C16" s="50">
        <v>869.5</v>
      </c>
      <c r="D16" s="51">
        <v>748</v>
      </c>
      <c r="E16" s="50">
        <v>830</v>
      </c>
      <c r="H16" s="3"/>
    </row>
    <row r="17" spans="1:8" x14ac:dyDescent="0.25">
      <c r="A17" s="308"/>
      <c r="B17" s="297"/>
      <c r="C17" s="297"/>
      <c r="D17" s="297"/>
      <c r="E17" s="298"/>
      <c r="H17" s="3"/>
    </row>
    <row r="18" spans="1:8" x14ac:dyDescent="0.25">
      <c r="A18" s="9" t="s">
        <v>46</v>
      </c>
      <c r="B18" s="299" t="s">
        <v>47</v>
      </c>
      <c r="C18" s="11">
        <v>88.4</v>
      </c>
      <c r="D18" s="11">
        <v>75</v>
      </c>
      <c r="E18" s="47">
        <v>81</v>
      </c>
      <c r="H18" s="3"/>
    </row>
    <row r="19" spans="1:8" x14ac:dyDescent="0.25">
      <c r="A19" s="9" t="s">
        <v>48</v>
      </c>
      <c r="B19" s="300"/>
      <c r="C19" s="11">
        <v>94.6</v>
      </c>
      <c r="D19" s="11">
        <v>105</v>
      </c>
      <c r="E19" s="47">
        <v>93</v>
      </c>
      <c r="H19" s="3"/>
    </row>
    <row r="20" spans="1:8" x14ac:dyDescent="0.25">
      <c r="A20" s="296"/>
      <c r="B20" s="297"/>
      <c r="C20" s="297"/>
      <c r="D20" s="297"/>
      <c r="E20" s="11"/>
      <c r="H20" s="3"/>
    </row>
    <row r="21" spans="1:8" ht="15.75" customHeight="1" x14ac:dyDescent="0.25">
      <c r="A21" s="9" t="s">
        <v>50</v>
      </c>
      <c r="B21" s="302" t="s">
        <v>51</v>
      </c>
      <c r="C21" s="47">
        <v>271.44</v>
      </c>
      <c r="D21" s="11">
        <v>130</v>
      </c>
      <c r="E21" s="11">
        <v>268</v>
      </c>
      <c r="H21" s="3"/>
    </row>
    <row r="22" spans="1:8" ht="15.75" customHeight="1" x14ac:dyDescent="0.25">
      <c r="A22" s="9" t="s">
        <v>54</v>
      </c>
      <c r="B22" s="300"/>
      <c r="C22" s="47">
        <v>550.22199999999998</v>
      </c>
      <c r="D22" s="11">
        <v>356</v>
      </c>
      <c r="E22" s="11">
        <v>511</v>
      </c>
      <c r="H22" s="3"/>
    </row>
    <row r="23" spans="1:8" ht="15.75" customHeight="1" x14ac:dyDescent="0.25">
      <c r="A23" s="9" t="s">
        <v>55</v>
      </c>
      <c r="B23" s="300"/>
      <c r="C23" s="47">
        <v>746.8</v>
      </c>
      <c r="D23" s="11">
        <v>658</v>
      </c>
      <c r="E23" s="11">
        <v>698</v>
      </c>
      <c r="H23" s="3"/>
    </row>
    <row r="24" spans="1:8" ht="15.75" customHeight="1" x14ac:dyDescent="0.25">
      <c r="A24" s="9" t="s">
        <v>56</v>
      </c>
      <c r="B24" s="300"/>
      <c r="C24" s="47">
        <v>768.33333333333337</v>
      </c>
      <c r="D24" s="11">
        <v>604</v>
      </c>
      <c r="E24" s="11">
        <v>765</v>
      </c>
      <c r="H24" s="3"/>
    </row>
    <row r="25" spans="1:8" ht="15.75" customHeight="1" x14ac:dyDescent="0.25">
      <c r="A25" s="49" t="s">
        <v>57</v>
      </c>
      <c r="B25" s="300"/>
      <c r="C25" s="50">
        <v>609</v>
      </c>
      <c r="D25" s="51">
        <v>556</v>
      </c>
      <c r="E25" s="51">
        <v>599</v>
      </c>
      <c r="H25" s="3"/>
    </row>
    <row r="26" spans="1:8" ht="15.75" customHeight="1" x14ac:dyDescent="0.25">
      <c r="A26" s="308"/>
      <c r="B26" s="297"/>
      <c r="C26" s="297"/>
      <c r="D26" s="297"/>
      <c r="E26" s="298"/>
      <c r="H26" s="3"/>
    </row>
    <row r="27" spans="1:8" ht="15.75" customHeight="1" x14ac:dyDescent="0.25">
      <c r="A27" s="9" t="s">
        <v>60</v>
      </c>
      <c r="B27" s="299" t="s">
        <v>62</v>
      </c>
      <c r="C27" s="47">
        <v>19.741666666666667</v>
      </c>
      <c r="D27" s="52">
        <v>15</v>
      </c>
      <c r="E27" s="53">
        <v>18</v>
      </c>
      <c r="H27" s="3"/>
    </row>
    <row r="28" spans="1:8" ht="15.75" customHeight="1" x14ac:dyDescent="0.25">
      <c r="A28" s="9" t="s">
        <v>65</v>
      </c>
      <c r="B28" s="300"/>
      <c r="C28" s="11">
        <v>42</v>
      </c>
      <c r="D28" s="52">
        <v>32</v>
      </c>
      <c r="E28" s="54">
        <v>40</v>
      </c>
      <c r="H28" s="3"/>
    </row>
    <row r="29" spans="1:8" ht="15.75" customHeight="1" x14ac:dyDescent="0.25">
      <c r="A29" s="9" t="s">
        <v>64</v>
      </c>
      <c r="B29" s="301"/>
      <c r="C29" s="11">
        <v>42</v>
      </c>
      <c r="D29" s="52">
        <v>36</v>
      </c>
      <c r="E29" s="55">
        <v>42</v>
      </c>
      <c r="H29" s="3"/>
    </row>
    <row r="30" spans="1:8" ht="15.75" customHeight="1" x14ac:dyDescent="0.25">
      <c r="A30" s="296"/>
      <c r="B30" s="297"/>
      <c r="C30" s="297"/>
      <c r="D30" s="297"/>
      <c r="E30" s="11"/>
      <c r="H30" s="3"/>
    </row>
    <row r="31" spans="1:8" ht="15.75" customHeight="1" x14ac:dyDescent="0.25">
      <c r="A31" s="9" t="s">
        <v>66</v>
      </c>
      <c r="B31" s="302" t="s">
        <v>68</v>
      </c>
      <c r="C31" s="47">
        <v>204.5</v>
      </c>
      <c r="D31" s="11">
        <v>158</v>
      </c>
      <c r="E31" s="11">
        <v>201</v>
      </c>
      <c r="H31" s="3"/>
    </row>
    <row r="32" spans="1:8" ht="15.75" customHeight="1" x14ac:dyDescent="0.25">
      <c r="A32" s="49" t="s">
        <v>69</v>
      </c>
      <c r="B32" s="300"/>
      <c r="C32" s="50">
        <v>277.7</v>
      </c>
      <c r="D32" s="51">
        <v>195</v>
      </c>
      <c r="E32" s="51">
        <v>271</v>
      </c>
      <c r="H32" s="3"/>
    </row>
    <row r="33" spans="1:8" ht="15.75" customHeight="1" x14ac:dyDescent="0.25">
      <c r="A33" s="305"/>
      <c r="B33" s="297"/>
      <c r="C33" s="297"/>
      <c r="D33" s="297"/>
      <c r="E33" s="298"/>
      <c r="H33" s="3"/>
    </row>
    <row r="34" spans="1:8" ht="15.75" customHeight="1" x14ac:dyDescent="0.25">
      <c r="A34" s="56" t="s">
        <v>69</v>
      </c>
      <c r="B34" s="303" t="s">
        <v>71</v>
      </c>
      <c r="C34" s="47">
        <v>12</v>
      </c>
      <c r="D34" s="47">
        <v>10</v>
      </c>
      <c r="E34" s="11">
        <v>11</v>
      </c>
      <c r="H34" s="3"/>
    </row>
    <row r="35" spans="1:8" ht="15.75" customHeight="1" x14ac:dyDescent="0.25">
      <c r="A35" s="56" t="s">
        <v>72</v>
      </c>
      <c r="B35" s="300"/>
      <c r="C35" s="47">
        <v>14</v>
      </c>
      <c r="D35" s="47">
        <v>12</v>
      </c>
      <c r="E35" s="11">
        <v>13</v>
      </c>
      <c r="H35" s="3"/>
    </row>
    <row r="36" spans="1:8" ht="15.75" customHeight="1" x14ac:dyDescent="0.25">
      <c r="A36" s="56" t="s">
        <v>73</v>
      </c>
      <c r="B36" s="301"/>
      <c r="C36" s="47">
        <v>17.43333333333333</v>
      </c>
      <c r="D36" s="47">
        <v>16</v>
      </c>
      <c r="E36" s="11">
        <v>17</v>
      </c>
      <c r="H36" s="3"/>
    </row>
    <row r="37" spans="1:8" ht="15.75" customHeight="1" x14ac:dyDescent="0.25">
      <c r="A37" s="92"/>
      <c r="B37" s="69"/>
      <c r="C37" s="69"/>
      <c r="D37" s="69"/>
      <c r="E37" s="11"/>
      <c r="H37" s="3"/>
    </row>
    <row r="38" spans="1:8" ht="15.75" customHeight="1" x14ac:dyDescent="0.25">
      <c r="A38" s="56" t="s">
        <v>80</v>
      </c>
      <c r="B38" s="309" t="s">
        <v>77</v>
      </c>
      <c r="C38" s="47">
        <v>117</v>
      </c>
      <c r="D38" s="47">
        <v>96</v>
      </c>
      <c r="E38" s="11">
        <v>111</v>
      </c>
      <c r="H38" s="3"/>
    </row>
    <row r="39" spans="1:8" ht="15.75" customHeight="1" x14ac:dyDescent="0.25">
      <c r="A39" s="56" t="s">
        <v>78</v>
      </c>
      <c r="B39" s="300"/>
      <c r="C39" s="47">
        <v>188</v>
      </c>
      <c r="D39" s="47">
        <v>156</v>
      </c>
      <c r="E39" s="11">
        <v>178</v>
      </c>
      <c r="H39" s="3"/>
    </row>
    <row r="40" spans="1:8" ht="15.75" customHeight="1" x14ac:dyDescent="0.25">
      <c r="A40" s="56" t="s">
        <v>76</v>
      </c>
      <c r="B40" s="300"/>
      <c r="C40" s="47">
        <v>218</v>
      </c>
      <c r="D40" s="47">
        <v>194</v>
      </c>
      <c r="E40" s="11">
        <v>216</v>
      </c>
      <c r="H40" s="3"/>
    </row>
    <row r="41" spans="1:8" ht="15.75" customHeight="1" x14ac:dyDescent="0.25">
      <c r="A41" s="57" t="s">
        <v>79</v>
      </c>
      <c r="B41" s="300"/>
      <c r="C41" s="50">
        <v>239</v>
      </c>
      <c r="D41" s="50">
        <v>205</v>
      </c>
      <c r="E41" s="51">
        <v>237</v>
      </c>
      <c r="H41" s="3"/>
    </row>
    <row r="42" spans="1:8" ht="15.75" customHeight="1" x14ac:dyDescent="0.25">
      <c r="A42" s="305"/>
      <c r="B42" s="297"/>
      <c r="C42" s="297"/>
      <c r="D42" s="297"/>
      <c r="E42" s="298"/>
      <c r="H42" s="3"/>
    </row>
    <row r="43" spans="1:8" ht="15.75" customHeight="1" x14ac:dyDescent="0.25">
      <c r="A43" s="9" t="s">
        <v>81</v>
      </c>
      <c r="B43" s="299" t="s">
        <v>82</v>
      </c>
      <c r="C43" s="11">
        <v>2</v>
      </c>
      <c r="D43" s="11">
        <v>0</v>
      </c>
      <c r="E43" s="11">
        <v>1</v>
      </c>
      <c r="H43" s="3"/>
    </row>
    <row r="44" spans="1:8" ht="15.75" customHeight="1" x14ac:dyDescent="0.25">
      <c r="A44" s="9" t="s">
        <v>83</v>
      </c>
      <c r="B44" s="300"/>
      <c r="C44" s="11">
        <v>6</v>
      </c>
      <c r="D44" s="11">
        <v>0</v>
      </c>
      <c r="E44" s="11">
        <v>6</v>
      </c>
      <c r="H44" s="3"/>
    </row>
    <row r="45" spans="1:8" ht="15.75" customHeight="1" x14ac:dyDescent="0.25">
      <c r="A45" s="9" t="s">
        <v>155</v>
      </c>
      <c r="B45" s="301"/>
      <c r="C45" s="47">
        <v>4.1066666666666665</v>
      </c>
      <c r="D45" s="11">
        <v>0</v>
      </c>
      <c r="E45" s="11">
        <v>5</v>
      </c>
      <c r="H45" s="3"/>
    </row>
    <row r="46" spans="1:8" ht="15.75" customHeight="1" x14ac:dyDescent="0.25">
      <c r="A46" s="296"/>
      <c r="B46" s="297"/>
      <c r="C46" s="297"/>
      <c r="D46" s="297"/>
      <c r="E46" s="298"/>
      <c r="H46" s="3"/>
    </row>
    <row r="47" spans="1:8" ht="15.75" customHeight="1" x14ac:dyDescent="0.25">
      <c r="A47" s="9" t="s">
        <v>86</v>
      </c>
      <c r="B47" s="302" t="s">
        <v>87</v>
      </c>
      <c r="C47" s="11">
        <v>19</v>
      </c>
      <c r="D47" s="11">
        <v>14</v>
      </c>
      <c r="E47" s="11">
        <v>19</v>
      </c>
      <c r="H47" s="3"/>
    </row>
    <row r="48" spans="1:8" ht="15.75" customHeight="1" x14ac:dyDescent="0.25">
      <c r="A48" s="49" t="s">
        <v>88</v>
      </c>
      <c r="B48" s="300"/>
      <c r="C48" s="51">
        <v>20</v>
      </c>
      <c r="D48" s="51">
        <v>15</v>
      </c>
      <c r="E48" s="51">
        <v>19</v>
      </c>
      <c r="H48" s="3"/>
    </row>
    <row r="49" spans="1:25" ht="15.75" customHeight="1" x14ac:dyDescent="0.25">
      <c r="A49" s="305"/>
      <c r="B49" s="297"/>
      <c r="C49" s="297"/>
      <c r="D49" s="297"/>
      <c r="E49" s="298"/>
      <c r="H49" s="3"/>
    </row>
    <row r="50" spans="1:25" ht="15.75" customHeight="1" x14ac:dyDescent="0.25">
      <c r="A50" s="9" t="s">
        <v>89</v>
      </c>
      <c r="B50" s="299" t="s">
        <v>90</v>
      </c>
      <c r="C50" s="11">
        <v>6</v>
      </c>
      <c r="D50" s="11">
        <v>0</v>
      </c>
      <c r="E50" s="11">
        <v>6</v>
      </c>
      <c r="H50" s="3"/>
    </row>
    <row r="51" spans="1:25" ht="15.75" customHeight="1" x14ac:dyDescent="0.25">
      <c r="A51" s="9" t="s">
        <v>91</v>
      </c>
      <c r="B51" s="300"/>
      <c r="C51" s="11">
        <v>17</v>
      </c>
      <c r="D51" s="11">
        <v>16</v>
      </c>
      <c r="E51" s="11">
        <v>16</v>
      </c>
      <c r="H51" s="3"/>
    </row>
    <row r="52" spans="1:25" ht="15.75" customHeight="1" x14ac:dyDescent="0.25">
      <c r="A52" s="49" t="s">
        <v>92</v>
      </c>
      <c r="B52" s="300"/>
      <c r="C52" s="51"/>
      <c r="D52" s="51"/>
      <c r="E52" s="11"/>
      <c r="H52" s="3"/>
    </row>
    <row r="53" spans="1:25" ht="15.75" customHeight="1" x14ac:dyDescent="0.25">
      <c r="A53" s="296"/>
      <c r="B53" s="297"/>
      <c r="C53" s="297"/>
      <c r="D53" s="297"/>
      <c r="E53" s="298"/>
      <c r="H53" s="3"/>
    </row>
    <row r="54" spans="1:25" ht="15.75" customHeight="1" x14ac:dyDescent="0.25">
      <c r="A54" s="9" t="s">
        <v>94</v>
      </c>
      <c r="B54" s="299" t="s">
        <v>95</v>
      </c>
      <c r="C54" s="47">
        <v>49.666666666666664</v>
      </c>
      <c r="D54" s="11">
        <v>34</v>
      </c>
      <c r="E54" s="11">
        <v>53</v>
      </c>
      <c r="H54" s="3"/>
    </row>
    <row r="55" spans="1:25" ht="15.75" customHeight="1" x14ac:dyDescent="0.25">
      <c r="A55" s="9" t="s">
        <v>96</v>
      </c>
      <c r="B55" s="300"/>
      <c r="C55" s="47">
        <v>130</v>
      </c>
      <c r="D55" s="11">
        <v>112</v>
      </c>
      <c r="E55" s="11">
        <v>117</v>
      </c>
      <c r="H55" s="3"/>
    </row>
    <row r="56" spans="1:25" ht="15.75" customHeight="1" x14ac:dyDescent="0.25">
      <c r="A56" s="9" t="s">
        <v>97</v>
      </c>
      <c r="B56" s="300"/>
      <c r="C56" s="47">
        <v>122</v>
      </c>
      <c r="D56" s="11">
        <v>89</v>
      </c>
      <c r="E56" s="11">
        <v>130</v>
      </c>
      <c r="H56" s="3"/>
    </row>
    <row r="57" spans="1:25" ht="15.75" customHeight="1" x14ac:dyDescent="0.25">
      <c r="A57" s="9" t="s">
        <v>98</v>
      </c>
      <c r="B57" s="300"/>
      <c r="C57" s="47">
        <v>142</v>
      </c>
      <c r="D57" s="11">
        <v>115</v>
      </c>
      <c r="E57" s="11">
        <v>137</v>
      </c>
      <c r="H57" s="3"/>
    </row>
    <row r="58" spans="1:25" ht="15.75" customHeight="1" x14ac:dyDescent="0.25">
      <c r="A58" s="9" t="s">
        <v>99</v>
      </c>
      <c r="B58" s="301"/>
      <c r="C58" s="47">
        <v>146</v>
      </c>
      <c r="D58" s="11">
        <v>105</v>
      </c>
      <c r="E58" s="11">
        <v>150</v>
      </c>
      <c r="H58" s="3"/>
    </row>
    <row r="59" spans="1:25" ht="15.75" customHeight="1" x14ac:dyDescent="0.2"/>
    <row r="60" spans="1:25" ht="15.75" customHeight="1" x14ac:dyDescent="0.2"/>
    <row r="61" spans="1:25" ht="15.75" customHeight="1" x14ac:dyDescent="0.25">
      <c r="A61" s="345"/>
      <c r="B61" s="297"/>
      <c r="C61" s="297"/>
      <c r="D61" s="297"/>
      <c r="E61" s="297"/>
      <c r="F61" s="297"/>
      <c r="G61" s="297"/>
      <c r="H61" s="297"/>
      <c r="I61" s="297"/>
      <c r="J61" s="297"/>
      <c r="K61" s="297"/>
      <c r="L61" s="297"/>
      <c r="M61" s="297"/>
      <c r="N61" s="297"/>
      <c r="O61" s="297"/>
      <c r="P61" s="297"/>
      <c r="Q61" s="297"/>
      <c r="R61" s="297"/>
      <c r="S61" s="297"/>
      <c r="T61" s="297"/>
      <c r="U61" s="297"/>
      <c r="V61" s="297"/>
      <c r="W61" s="297"/>
      <c r="X61" s="297"/>
      <c r="Y61" s="298"/>
    </row>
    <row r="62" spans="1:25" ht="15.75" customHeight="1" x14ac:dyDescent="0.3">
      <c r="A62" s="161" t="s">
        <v>353</v>
      </c>
      <c r="B62" s="163" t="s">
        <v>1459</v>
      </c>
      <c r="Y62" s="346"/>
    </row>
    <row r="63" spans="1:25" ht="15.75" customHeight="1" x14ac:dyDescent="0.3">
      <c r="A63" s="164" t="s">
        <v>360</v>
      </c>
      <c r="B63" s="165">
        <v>43195</v>
      </c>
      <c r="Y63" s="300"/>
    </row>
    <row r="64" spans="1:25" ht="15.75" customHeight="1" x14ac:dyDescent="0.3">
      <c r="L64" s="320" t="s">
        <v>153</v>
      </c>
      <c r="M64" s="297"/>
      <c r="N64" s="297"/>
      <c r="O64" s="297"/>
      <c r="P64" s="297"/>
      <c r="Q64" s="298"/>
      <c r="S64" s="321" t="s">
        <v>154</v>
      </c>
      <c r="T64" s="322"/>
      <c r="U64" s="322"/>
      <c r="V64" s="322"/>
      <c r="W64" s="323"/>
      <c r="Y64" s="300"/>
    </row>
    <row r="65" spans="1:25" ht="15.75" customHeight="1" x14ac:dyDescent="0.2">
      <c r="A65" s="156" t="s">
        <v>0</v>
      </c>
      <c r="B65" s="157" t="s">
        <v>1</v>
      </c>
      <c r="C65" s="157" t="s">
        <v>42</v>
      </c>
      <c r="D65" s="157" t="s">
        <v>43</v>
      </c>
      <c r="E65" s="157" t="s">
        <v>44</v>
      </c>
      <c r="G65" s="296" t="s">
        <v>45</v>
      </c>
      <c r="H65" s="297"/>
      <c r="I65" s="297"/>
      <c r="J65" s="298"/>
      <c r="L65" s="311" t="s">
        <v>157</v>
      </c>
      <c r="M65" s="312"/>
      <c r="N65" s="312"/>
      <c r="O65" s="312"/>
      <c r="P65" s="312"/>
      <c r="Q65" s="313"/>
      <c r="S65" s="325" t="s">
        <v>157</v>
      </c>
      <c r="T65" s="297"/>
      <c r="U65" s="297"/>
      <c r="V65" s="297"/>
      <c r="W65" s="298"/>
      <c r="Y65" s="300"/>
    </row>
    <row r="66" spans="1:25" ht="15.75" customHeight="1" x14ac:dyDescent="0.2">
      <c r="A66" s="310" t="s">
        <v>8</v>
      </c>
      <c r="B66" s="297"/>
      <c r="C66" s="297"/>
      <c r="D66" s="297"/>
      <c r="E66" s="298"/>
      <c r="G66" s="305" t="s">
        <v>10</v>
      </c>
      <c r="H66" s="297"/>
      <c r="I66" s="297"/>
      <c r="J66" s="298"/>
      <c r="L66" s="317"/>
      <c r="M66" s="318"/>
      <c r="N66" s="318"/>
      <c r="O66" s="318"/>
      <c r="P66" s="318"/>
      <c r="Q66" s="319"/>
      <c r="S66" s="58" t="s">
        <v>160</v>
      </c>
      <c r="T66" s="59" t="s">
        <v>161</v>
      </c>
      <c r="U66" s="59" t="s">
        <v>162</v>
      </c>
      <c r="V66" s="61" t="s">
        <v>163</v>
      </c>
      <c r="W66" s="62" t="s">
        <v>165</v>
      </c>
      <c r="Y66" s="300"/>
    </row>
    <row r="67" spans="1:25" ht="15.75" customHeight="1" x14ac:dyDescent="0.25">
      <c r="A67" s="9" t="s">
        <v>11</v>
      </c>
      <c r="B67" s="9" t="s">
        <v>12</v>
      </c>
      <c r="C67" s="11">
        <v>502</v>
      </c>
      <c r="D67" s="22">
        <v>550</v>
      </c>
      <c r="E67" s="11">
        <v>502</v>
      </c>
      <c r="G67" s="12"/>
      <c r="H67" s="12" t="s">
        <v>52</v>
      </c>
      <c r="I67" s="12" t="s">
        <v>53</v>
      </c>
      <c r="J67" s="12"/>
      <c r="L67" s="63" t="s">
        <v>168</v>
      </c>
      <c r="M67" s="64" t="s">
        <v>169</v>
      </c>
      <c r="N67" s="64" t="s">
        <v>171</v>
      </c>
      <c r="O67" s="64" t="s">
        <v>172</v>
      </c>
      <c r="P67" s="65" t="s">
        <v>173</v>
      </c>
      <c r="Q67" s="66" t="s">
        <v>175</v>
      </c>
      <c r="S67" s="63" t="s">
        <v>176</v>
      </c>
      <c r="T67" s="67">
        <v>0.34799999999999998</v>
      </c>
      <c r="U67" s="68">
        <v>2.6219999999999999</v>
      </c>
      <c r="V67" s="70">
        <f t="shared" ref="V67:V71" si="0">+U67/T67</f>
        <v>7.5344827586206895</v>
      </c>
      <c r="W67" s="72"/>
      <c r="X67" s="21" t="s">
        <v>1340</v>
      </c>
      <c r="Y67" s="300"/>
    </row>
    <row r="68" spans="1:25" ht="15.75" customHeight="1" x14ac:dyDescent="0.25">
      <c r="A68" s="9" t="s">
        <v>11</v>
      </c>
      <c r="B68" s="12" t="s">
        <v>18</v>
      </c>
      <c r="C68" s="11">
        <v>0</v>
      </c>
      <c r="D68" s="22">
        <v>0</v>
      </c>
      <c r="E68" s="11">
        <v>0</v>
      </c>
      <c r="G68" s="12" t="s">
        <v>12</v>
      </c>
      <c r="H68" s="17">
        <v>550</v>
      </c>
      <c r="I68" s="11">
        <v>502</v>
      </c>
      <c r="J68" s="17" t="s">
        <v>1460</v>
      </c>
      <c r="L68" s="73">
        <v>440</v>
      </c>
      <c r="M68" s="74">
        <v>-34</v>
      </c>
      <c r="N68" s="74">
        <f>+U67</f>
        <v>2.6219999999999999</v>
      </c>
      <c r="O68" s="76">
        <f>+U70</f>
        <v>0</v>
      </c>
      <c r="P68" s="77">
        <f>+U68</f>
        <v>2.3180000000000001</v>
      </c>
      <c r="Q68" s="78">
        <f>(L68-M68)*(N68-O68)/(P68-O68)+M68</f>
        <v>502.1639344262295</v>
      </c>
      <c r="S68" s="80" t="s">
        <v>188</v>
      </c>
      <c r="T68" s="74">
        <v>0.33900000000000002</v>
      </c>
      <c r="U68" s="82">
        <v>2.3180000000000001</v>
      </c>
      <c r="V68" s="84">
        <f t="shared" si="0"/>
        <v>6.8377581120943951</v>
      </c>
      <c r="W68" s="86">
        <f>(U68-U70)/(U67-U70)</f>
        <v>0.88405797101449279</v>
      </c>
      <c r="X68" s="21">
        <v>0.31</v>
      </c>
      <c r="Y68" s="300"/>
    </row>
    <row r="69" spans="1:25" ht="15.75" customHeight="1" x14ac:dyDescent="0.25">
      <c r="A69" s="9" t="s">
        <v>21</v>
      </c>
      <c r="B69" s="12" t="s">
        <v>59</v>
      </c>
      <c r="C69" s="11">
        <v>440</v>
      </c>
      <c r="D69" s="22">
        <v>550</v>
      </c>
      <c r="E69" s="11">
        <v>443</v>
      </c>
      <c r="G69" s="12" t="s">
        <v>18</v>
      </c>
      <c r="H69" s="17">
        <v>0</v>
      </c>
      <c r="I69" s="11">
        <v>0</v>
      </c>
      <c r="J69" s="17" t="s">
        <v>1461</v>
      </c>
      <c r="L69" s="73" t="s">
        <v>168</v>
      </c>
      <c r="M69" s="74" t="s">
        <v>171</v>
      </c>
      <c r="N69" s="74" t="s">
        <v>190</v>
      </c>
      <c r="O69" s="74" t="s">
        <v>191</v>
      </c>
      <c r="P69" s="77" t="s">
        <v>173</v>
      </c>
      <c r="Q69" s="87" t="s">
        <v>192</v>
      </c>
      <c r="S69" s="80" t="s">
        <v>193</v>
      </c>
      <c r="T69" s="74">
        <v>0.26500000000000001</v>
      </c>
      <c r="U69" s="82">
        <v>0.95</v>
      </c>
      <c r="V69" s="84">
        <f t="shared" si="0"/>
        <v>3.5849056603773581</v>
      </c>
      <c r="W69" s="86">
        <f>(U69-U70)/(U67-U70)</f>
        <v>0.36231884057971014</v>
      </c>
      <c r="Y69" s="300"/>
    </row>
    <row r="70" spans="1:25" ht="15.75" customHeight="1" x14ac:dyDescent="0.25">
      <c r="A70" s="49" t="s">
        <v>21</v>
      </c>
      <c r="B70" s="10" t="s">
        <v>63</v>
      </c>
      <c r="C70" s="51">
        <v>160</v>
      </c>
      <c r="D70" s="169">
        <v>241</v>
      </c>
      <c r="E70" s="51">
        <v>162</v>
      </c>
      <c r="G70" s="305" t="s">
        <v>23</v>
      </c>
      <c r="H70" s="297"/>
      <c r="I70" s="297"/>
      <c r="J70" s="298"/>
      <c r="L70" s="73">
        <v>160</v>
      </c>
      <c r="M70" s="74">
        <f>+U67</f>
        <v>2.6219999999999999</v>
      </c>
      <c r="N70" s="76">
        <f>+U70</f>
        <v>0</v>
      </c>
      <c r="O70" s="89">
        <f>+Q68</f>
        <v>502.1639344262295</v>
      </c>
      <c r="P70" s="77">
        <f>+U69</f>
        <v>0.95</v>
      </c>
      <c r="Q70" s="90">
        <f>(L70*(M70-N70)-O70*(P70-N70))/(M70-P70)</f>
        <v>-34.411326378539478</v>
      </c>
      <c r="S70" s="80" t="s">
        <v>194</v>
      </c>
      <c r="T70" s="74">
        <v>0.20599999999999999</v>
      </c>
      <c r="U70" s="91">
        <v>0</v>
      </c>
      <c r="V70" s="84">
        <f t="shared" si="0"/>
        <v>0</v>
      </c>
      <c r="W70" s="86"/>
      <c r="Y70" s="300"/>
    </row>
    <row r="71" spans="1:25" ht="15.75" customHeight="1" x14ac:dyDescent="0.25">
      <c r="A71" s="310" t="s">
        <v>29</v>
      </c>
      <c r="B71" s="297"/>
      <c r="C71" s="297"/>
      <c r="D71" s="297"/>
      <c r="E71" s="298"/>
      <c r="G71" s="12" t="s">
        <v>12</v>
      </c>
      <c r="H71" s="17">
        <v>520</v>
      </c>
      <c r="I71" s="11">
        <v>472</v>
      </c>
      <c r="J71" s="17" t="s">
        <v>1463</v>
      </c>
      <c r="L71" s="80" t="s">
        <v>196</v>
      </c>
      <c r="M71" s="93"/>
      <c r="N71" s="93"/>
      <c r="O71" s="93"/>
      <c r="P71" s="94"/>
      <c r="Q71" s="95"/>
      <c r="S71" s="96" t="s">
        <v>197</v>
      </c>
      <c r="T71" s="97">
        <v>0.1</v>
      </c>
      <c r="U71" s="99">
        <v>0.46</v>
      </c>
      <c r="V71" s="100">
        <f t="shared" si="0"/>
        <v>4.5999999999999996</v>
      </c>
      <c r="W71" s="101">
        <f>+(U71-U70)/(U67-U70)</f>
        <v>0.17543859649122809</v>
      </c>
      <c r="Y71" s="300"/>
    </row>
    <row r="72" spans="1:25" ht="15.75" customHeight="1" x14ac:dyDescent="0.2">
      <c r="A72" s="9" t="s">
        <v>11</v>
      </c>
      <c r="B72" s="9" t="s">
        <v>12</v>
      </c>
      <c r="C72" s="11">
        <v>472</v>
      </c>
      <c r="D72" s="22">
        <v>520</v>
      </c>
      <c r="E72" s="22">
        <v>471</v>
      </c>
      <c r="G72" s="12" t="s">
        <v>18</v>
      </c>
      <c r="H72" s="17">
        <v>0</v>
      </c>
      <c r="I72" s="11">
        <v>0</v>
      </c>
      <c r="J72" s="17" t="s">
        <v>1464</v>
      </c>
      <c r="L72" s="80" t="s">
        <v>199</v>
      </c>
      <c r="M72" s="93" t="s">
        <v>169</v>
      </c>
      <c r="N72" s="93" t="s">
        <v>200</v>
      </c>
      <c r="O72" s="93" t="s">
        <v>201</v>
      </c>
      <c r="P72" s="94" t="s">
        <v>191</v>
      </c>
      <c r="Q72" s="87" t="s">
        <v>202</v>
      </c>
      <c r="S72" s="311" t="s">
        <v>203</v>
      </c>
      <c r="T72" s="312"/>
      <c r="U72" s="312"/>
      <c r="V72" s="312"/>
      <c r="W72" s="313"/>
      <c r="Y72" s="300"/>
    </row>
    <row r="73" spans="1:25" ht="15.75" customHeight="1" x14ac:dyDescent="0.2">
      <c r="A73" s="9" t="s">
        <v>11</v>
      </c>
      <c r="B73" s="12" t="s">
        <v>18</v>
      </c>
      <c r="C73" s="11">
        <v>0</v>
      </c>
      <c r="D73" s="22">
        <v>0</v>
      </c>
      <c r="E73" s="22">
        <v>0</v>
      </c>
      <c r="L73" s="102">
        <f>+U71</f>
        <v>0.46</v>
      </c>
      <c r="M73" s="103">
        <f>+Q70</f>
        <v>-34.411326378539478</v>
      </c>
      <c r="N73" s="97">
        <f>+U67</f>
        <v>2.6219999999999999</v>
      </c>
      <c r="O73" s="104">
        <f>+U70</f>
        <v>0</v>
      </c>
      <c r="P73" s="105">
        <f>+Q68</f>
        <v>502.1639344262295</v>
      </c>
      <c r="Q73" s="106">
        <f>M73+(P73-M73)*(L73-O73)/(N73-O73)</f>
        <v>59.724684288963864</v>
      </c>
      <c r="S73" s="314"/>
      <c r="T73" s="315"/>
      <c r="U73" s="315"/>
      <c r="V73" s="315"/>
      <c r="W73" s="316"/>
      <c r="Y73" s="300"/>
    </row>
    <row r="74" spans="1:25" ht="15.75" customHeight="1" x14ac:dyDescent="0.2">
      <c r="A74" s="9" t="s">
        <v>21</v>
      </c>
      <c r="B74" s="12" t="s">
        <v>59</v>
      </c>
      <c r="C74" s="11">
        <v>420</v>
      </c>
      <c r="D74" s="22">
        <v>520</v>
      </c>
      <c r="E74" s="22">
        <v>418</v>
      </c>
      <c r="L74" s="311" t="s">
        <v>204</v>
      </c>
      <c r="M74" s="312"/>
      <c r="N74" s="312"/>
      <c r="O74" s="312"/>
      <c r="P74" s="312"/>
      <c r="Q74" s="313"/>
      <c r="S74" s="317"/>
      <c r="T74" s="318"/>
      <c r="U74" s="318"/>
      <c r="V74" s="318"/>
      <c r="W74" s="319"/>
      <c r="Y74" s="300"/>
    </row>
    <row r="75" spans="1:25" ht="15.75" customHeight="1" x14ac:dyDescent="0.2">
      <c r="A75" s="9" t="s">
        <v>21</v>
      </c>
      <c r="B75" s="12" t="s">
        <v>63</v>
      </c>
      <c r="C75" s="11">
        <v>130</v>
      </c>
      <c r="D75" s="22">
        <v>231</v>
      </c>
      <c r="E75" s="22">
        <v>130</v>
      </c>
      <c r="L75" s="317"/>
      <c r="M75" s="318"/>
      <c r="N75" s="318"/>
      <c r="O75" s="318"/>
      <c r="P75" s="318"/>
      <c r="Q75" s="319"/>
      <c r="S75" s="58" t="s">
        <v>160</v>
      </c>
      <c r="T75" s="59" t="s">
        <v>161</v>
      </c>
      <c r="U75" s="59" t="s">
        <v>162</v>
      </c>
      <c r="V75" s="61" t="s">
        <v>163</v>
      </c>
      <c r="W75" s="62" t="s">
        <v>165</v>
      </c>
      <c r="Y75" s="300"/>
    </row>
    <row r="76" spans="1:25" ht="15.75" customHeight="1" x14ac:dyDescent="0.25">
      <c r="L76" s="63" t="s">
        <v>168</v>
      </c>
      <c r="M76" s="64" t="s">
        <v>169</v>
      </c>
      <c r="N76" s="64" t="s">
        <v>171</v>
      </c>
      <c r="O76" s="64" t="s">
        <v>172</v>
      </c>
      <c r="P76" s="65" t="s">
        <v>173</v>
      </c>
      <c r="Q76" s="66" t="s">
        <v>175</v>
      </c>
      <c r="S76" s="63" t="s">
        <v>176</v>
      </c>
      <c r="T76" s="67">
        <v>0.32500000000000001</v>
      </c>
      <c r="U76" s="68">
        <v>2.121</v>
      </c>
      <c r="V76" s="70">
        <f t="shared" ref="V76:V80" si="1">+U76/T76</f>
        <v>6.5261538461538455</v>
      </c>
      <c r="W76" s="107"/>
      <c r="Y76" s="300"/>
    </row>
    <row r="77" spans="1:25" ht="15.75" customHeight="1" x14ac:dyDescent="0.25">
      <c r="L77" s="73">
        <v>410</v>
      </c>
      <c r="M77" s="74">
        <v>82</v>
      </c>
      <c r="N77" s="74">
        <f>+U76</f>
        <v>2.121</v>
      </c>
      <c r="O77" s="76">
        <f>+U79</f>
        <v>0</v>
      </c>
      <c r="P77" s="77">
        <f>+U77</f>
        <v>1.6</v>
      </c>
      <c r="Q77" s="108">
        <f>(L77-M77)*(N77-O77)/(P77-O77)+M77</f>
        <v>516.80499999999995</v>
      </c>
      <c r="S77" s="80" t="s">
        <v>188</v>
      </c>
      <c r="T77" s="74">
        <v>0.3</v>
      </c>
      <c r="U77" s="82">
        <v>1.6</v>
      </c>
      <c r="V77" s="84">
        <f t="shared" si="1"/>
        <v>5.3333333333333339</v>
      </c>
      <c r="W77" s="86">
        <f>(U77-U79)/(U76-U79)</f>
        <v>0.75436115040075435</v>
      </c>
      <c r="Y77" s="300"/>
    </row>
    <row r="78" spans="1:25" ht="15.75" customHeight="1" x14ac:dyDescent="0.25">
      <c r="L78" s="73" t="s">
        <v>168</v>
      </c>
      <c r="M78" s="74" t="s">
        <v>171</v>
      </c>
      <c r="N78" s="74" t="s">
        <v>190</v>
      </c>
      <c r="O78" s="74" t="s">
        <v>191</v>
      </c>
      <c r="P78" s="77" t="s">
        <v>173</v>
      </c>
      <c r="Q78" s="87" t="s">
        <v>192</v>
      </c>
      <c r="S78" s="80" t="s">
        <v>193</v>
      </c>
      <c r="T78" s="74">
        <v>0.222</v>
      </c>
      <c r="U78" s="91">
        <v>0.186</v>
      </c>
      <c r="V78" s="84">
        <f t="shared" si="1"/>
        <v>0.83783783783783783</v>
      </c>
      <c r="W78" s="86">
        <f>(U78-U79)/(U76-U79)</f>
        <v>8.7694483734087697E-2</v>
      </c>
      <c r="Y78" s="300"/>
    </row>
    <row r="79" spans="1:25" ht="15.75" customHeight="1" x14ac:dyDescent="0.25">
      <c r="L79" s="73">
        <v>120</v>
      </c>
      <c r="M79" s="74">
        <f>+U76</f>
        <v>2.121</v>
      </c>
      <c r="N79" s="76">
        <f>+U79</f>
        <v>0</v>
      </c>
      <c r="O79" s="74">
        <f>+Q77</f>
        <v>516.80499999999995</v>
      </c>
      <c r="P79" s="109">
        <f>+U78</f>
        <v>0.186</v>
      </c>
      <c r="Q79" s="78">
        <f>(L79*(M79-N79)-O79*(P79-N79))/(M79-P79)</f>
        <v>81.857503875968987</v>
      </c>
      <c r="S79" s="80" t="s">
        <v>194</v>
      </c>
      <c r="T79" s="74">
        <v>0.158</v>
      </c>
      <c r="U79" s="91">
        <v>0</v>
      </c>
      <c r="V79" s="84">
        <f t="shared" si="1"/>
        <v>0</v>
      </c>
      <c r="W79" s="86"/>
      <c r="Y79" s="300"/>
    </row>
    <row r="80" spans="1:25" ht="15.75" customHeight="1" x14ac:dyDescent="0.25">
      <c r="L80" s="80" t="s">
        <v>196</v>
      </c>
      <c r="M80" s="93"/>
      <c r="N80" s="93"/>
      <c r="O80" s="93"/>
      <c r="P80" s="94"/>
      <c r="Q80" s="95"/>
      <c r="S80" s="111" t="s">
        <v>197</v>
      </c>
      <c r="T80" s="112">
        <v>0.105</v>
      </c>
      <c r="U80" s="113">
        <v>0.155</v>
      </c>
      <c r="V80" s="114">
        <f t="shared" si="1"/>
        <v>1.4761904761904763</v>
      </c>
      <c r="W80" s="115">
        <f>+(U80-U79)/(U76-U79)</f>
        <v>7.3078736445073081E-2</v>
      </c>
      <c r="Y80" s="300"/>
    </row>
    <row r="81" spans="1:26" ht="15.75" customHeight="1" x14ac:dyDescent="0.2">
      <c r="L81" s="80" t="s">
        <v>199</v>
      </c>
      <c r="M81" s="93" t="s">
        <v>169</v>
      </c>
      <c r="N81" s="93" t="s">
        <v>200</v>
      </c>
      <c r="O81" s="93" t="s">
        <v>201</v>
      </c>
      <c r="P81" s="94" t="s">
        <v>191</v>
      </c>
      <c r="Q81" s="87" t="s">
        <v>202</v>
      </c>
      <c r="Y81" s="300"/>
    </row>
    <row r="82" spans="1:26" ht="15.75" customHeight="1" x14ac:dyDescent="0.2">
      <c r="L82" s="116">
        <f>+U80</f>
        <v>0.155</v>
      </c>
      <c r="M82" s="117">
        <f>+Q79</f>
        <v>81.857503875968987</v>
      </c>
      <c r="N82" s="112">
        <f>+U76</f>
        <v>2.121</v>
      </c>
      <c r="O82" s="118">
        <f>+U79</f>
        <v>0</v>
      </c>
      <c r="P82" s="119">
        <f>+Q77</f>
        <v>516.80499999999995</v>
      </c>
      <c r="Q82" s="78">
        <f>M82+(P82-M82)*(L82-O82)/(N82-O82)</f>
        <v>113.6429173126615</v>
      </c>
      <c r="T82" s="121"/>
      <c r="Y82" s="300"/>
    </row>
    <row r="83" spans="1:26" ht="15.75" customHeight="1" x14ac:dyDescent="0.2">
      <c r="Y83" s="301"/>
    </row>
    <row r="84" spans="1:26" ht="15.75" customHeight="1" x14ac:dyDescent="0.2"/>
    <row r="85" spans="1:26" ht="15.75" customHeight="1" x14ac:dyDescent="0.2"/>
    <row r="86" spans="1:26" ht="15.75" customHeight="1" x14ac:dyDescent="0.25">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5.75" customHeight="1" x14ac:dyDescent="0.2"/>
    <row r="88" spans="1:26" ht="15.75" customHeight="1" x14ac:dyDescent="0.2"/>
    <row r="89" spans="1:26" ht="15.75" customHeight="1" x14ac:dyDescent="0.2"/>
    <row r="90" spans="1:26" ht="15.75" customHeight="1" x14ac:dyDescent="0.3">
      <c r="A90" s="161" t="s">
        <v>353</v>
      </c>
      <c r="B90" s="163" t="s">
        <v>1445</v>
      </c>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5.75" customHeight="1" x14ac:dyDescent="0.3">
      <c r="A91" s="164" t="s">
        <v>360</v>
      </c>
      <c r="B91" s="165">
        <v>43660</v>
      </c>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5.75" customHeight="1" x14ac:dyDescent="0.25">
      <c r="A92" s="304"/>
      <c r="B92" s="297"/>
      <c r="C92" s="297"/>
      <c r="D92" s="297"/>
      <c r="E92" s="298"/>
      <c r="F92" s="28"/>
      <c r="G92" s="28"/>
      <c r="H92" s="3"/>
      <c r="I92" s="28"/>
      <c r="J92" s="28"/>
      <c r="K92" s="28"/>
      <c r="L92" s="28"/>
      <c r="M92" s="28"/>
      <c r="N92" s="28"/>
      <c r="O92" s="28"/>
      <c r="P92" s="28"/>
      <c r="Q92" s="28"/>
      <c r="R92" s="28"/>
      <c r="S92" s="28"/>
      <c r="T92" s="28"/>
      <c r="U92" s="28"/>
      <c r="V92" s="28"/>
      <c r="W92" s="28"/>
      <c r="X92" s="28"/>
      <c r="Y92" s="28"/>
      <c r="Z92" s="28"/>
    </row>
    <row r="93" spans="1:26" ht="15.75" customHeight="1" x14ac:dyDescent="0.25">
      <c r="A93" s="4" t="s">
        <v>0</v>
      </c>
      <c r="B93" s="5" t="s">
        <v>1</v>
      </c>
      <c r="C93" s="5" t="s">
        <v>2</v>
      </c>
      <c r="D93" s="5" t="s">
        <v>43</v>
      </c>
      <c r="E93" s="45" t="s">
        <v>125</v>
      </c>
      <c r="F93" s="28"/>
      <c r="G93" s="296" t="s">
        <v>6</v>
      </c>
      <c r="H93" s="297"/>
      <c r="I93" s="297"/>
      <c r="J93" s="297"/>
      <c r="K93" s="297"/>
      <c r="L93" s="298"/>
      <c r="M93" s="28"/>
      <c r="N93" s="28"/>
      <c r="O93" s="28"/>
      <c r="P93" s="28"/>
      <c r="Q93" s="28"/>
      <c r="R93" s="28"/>
      <c r="S93" s="28"/>
      <c r="T93" s="28"/>
      <c r="U93" s="28"/>
      <c r="V93" s="28"/>
      <c r="W93" s="28"/>
      <c r="X93" s="28"/>
      <c r="Y93" s="28"/>
      <c r="Z93" s="28"/>
    </row>
    <row r="94" spans="1:26" ht="15.75" customHeight="1" x14ac:dyDescent="0.25">
      <c r="A94" s="9" t="s">
        <v>7</v>
      </c>
      <c r="B94" s="302" t="s">
        <v>9</v>
      </c>
      <c r="C94" s="47">
        <v>28.1</v>
      </c>
      <c r="D94" s="47">
        <v>29</v>
      </c>
      <c r="E94" s="47">
        <v>62</v>
      </c>
      <c r="F94" s="28"/>
      <c r="G94" s="296" t="s">
        <v>106</v>
      </c>
      <c r="H94" s="297"/>
      <c r="I94" s="298"/>
      <c r="J94" s="296" t="s">
        <v>107</v>
      </c>
      <c r="K94" s="297"/>
      <c r="L94" s="298"/>
      <c r="M94" s="28"/>
      <c r="N94" s="28"/>
      <c r="O94" s="28"/>
      <c r="P94" s="28"/>
      <c r="Q94" s="28"/>
      <c r="R94" s="28"/>
      <c r="S94" s="28"/>
      <c r="T94" s="28"/>
      <c r="U94" s="28"/>
      <c r="V94" s="28"/>
      <c r="W94" s="28"/>
      <c r="X94" s="28"/>
      <c r="Y94" s="28"/>
      <c r="Z94" s="28"/>
    </row>
    <row r="95" spans="1:26" ht="15.75" customHeight="1" x14ac:dyDescent="0.25">
      <c r="A95" s="9" t="s">
        <v>17</v>
      </c>
      <c r="B95" s="300"/>
      <c r="C95" s="47">
        <v>63.911000000000001</v>
      </c>
      <c r="D95" s="47">
        <v>59</v>
      </c>
      <c r="E95" s="47">
        <v>85</v>
      </c>
      <c r="F95" s="28"/>
      <c r="G95" s="13" t="s">
        <v>13</v>
      </c>
      <c r="H95" s="39">
        <f>+H97+H97*0.1</f>
        <v>710.6</v>
      </c>
      <c r="I95" s="17" t="s">
        <v>1465</v>
      </c>
      <c r="J95" s="13" t="s">
        <v>13</v>
      </c>
      <c r="K95" s="39">
        <f>+K97+K97*0.1</f>
        <v>814</v>
      </c>
      <c r="L95" s="17" t="s">
        <v>1466</v>
      </c>
      <c r="M95" s="28"/>
      <c r="N95" s="28"/>
      <c r="O95" s="28"/>
      <c r="P95" s="28"/>
      <c r="Q95" s="28"/>
      <c r="R95" s="28"/>
      <c r="S95" s="28"/>
      <c r="T95" s="28"/>
      <c r="U95" s="28"/>
      <c r="V95" s="28"/>
      <c r="W95" s="28"/>
      <c r="X95" s="28"/>
      <c r="Y95" s="28"/>
      <c r="Z95" s="28"/>
    </row>
    <row r="96" spans="1:26" ht="15.75" customHeight="1" x14ac:dyDescent="0.25">
      <c r="A96" s="9" t="s">
        <v>26</v>
      </c>
      <c r="B96" s="300"/>
      <c r="C96" s="47">
        <v>69.921999999999997</v>
      </c>
      <c r="D96" s="47">
        <v>73</v>
      </c>
      <c r="E96" s="47">
        <v>110</v>
      </c>
      <c r="F96" s="28"/>
      <c r="G96" s="13" t="s">
        <v>19</v>
      </c>
      <c r="H96" s="40">
        <f>+H97-H97*0.1</f>
        <v>581.4</v>
      </c>
      <c r="I96" s="17" t="s">
        <v>1467</v>
      </c>
      <c r="J96" s="13" t="s">
        <v>19</v>
      </c>
      <c r="K96" s="40">
        <f>+K97-K97*0.1</f>
        <v>666</v>
      </c>
      <c r="L96" s="17" t="s">
        <v>1468</v>
      </c>
      <c r="M96" s="28"/>
      <c r="N96" s="28"/>
      <c r="O96" s="28"/>
      <c r="P96" s="28"/>
      <c r="Q96" s="28"/>
      <c r="R96" s="28"/>
      <c r="S96" s="28"/>
      <c r="T96" s="28"/>
      <c r="U96" s="28"/>
      <c r="V96" s="28"/>
      <c r="W96" s="28"/>
      <c r="X96" s="28"/>
      <c r="Y96" s="28"/>
      <c r="Z96" s="28"/>
    </row>
    <row r="97" spans="1:26" ht="15.75" customHeight="1" x14ac:dyDescent="0.25">
      <c r="A97" s="9" t="s">
        <v>32</v>
      </c>
      <c r="B97" s="300"/>
      <c r="C97" s="47">
        <v>96.744</v>
      </c>
      <c r="D97" s="47">
        <v>95</v>
      </c>
      <c r="E97" s="47">
        <v>98</v>
      </c>
      <c r="F97" s="28"/>
      <c r="G97" s="13" t="s">
        <v>27</v>
      </c>
      <c r="H97" s="20">
        <v>646</v>
      </c>
      <c r="I97" s="17" t="s">
        <v>1469</v>
      </c>
      <c r="J97" s="13" t="s">
        <v>27</v>
      </c>
      <c r="K97" s="20">
        <v>740</v>
      </c>
      <c r="L97" s="17" t="s">
        <v>1470</v>
      </c>
      <c r="M97" s="28"/>
      <c r="N97" s="28"/>
      <c r="O97" s="28"/>
      <c r="P97" s="28"/>
      <c r="Q97" s="28"/>
      <c r="R97" s="28"/>
      <c r="S97" s="28"/>
      <c r="T97" s="28"/>
      <c r="U97" s="28"/>
      <c r="V97" s="28"/>
      <c r="W97" s="28"/>
      <c r="X97" s="28"/>
      <c r="Y97" s="28"/>
      <c r="Z97" s="28"/>
    </row>
    <row r="98" spans="1:26" ht="15.75" customHeight="1" x14ac:dyDescent="0.25">
      <c r="A98" s="9" t="s">
        <v>33</v>
      </c>
      <c r="B98" s="301"/>
      <c r="C98" s="47">
        <v>128.11000000000001</v>
      </c>
      <c r="D98" s="47">
        <v>126</v>
      </c>
      <c r="E98" s="47">
        <v>126</v>
      </c>
      <c r="F98" s="28"/>
      <c r="G98" s="13" t="s">
        <v>121</v>
      </c>
      <c r="H98" s="20">
        <v>636</v>
      </c>
      <c r="I98" s="17" t="s">
        <v>1471</v>
      </c>
      <c r="J98" s="13" t="s">
        <v>121</v>
      </c>
      <c r="K98" s="20">
        <v>745</v>
      </c>
      <c r="L98" s="17" t="s">
        <v>1472</v>
      </c>
      <c r="M98" s="28"/>
      <c r="N98" s="28"/>
      <c r="O98" s="28"/>
      <c r="P98" s="28"/>
      <c r="Q98" s="28"/>
      <c r="R98" s="28"/>
      <c r="S98" s="28"/>
      <c r="T98" s="28"/>
      <c r="U98" s="28"/>
      <c r="V98" s="28"/>
      <c r="W98" s="28"/>
      <c r="X98" s="28"/>
      <c r="Y98" s="28"/>
      <c r="Z98" s="28"/>
    </row>
    <row r="99" spans="1:26" ht="15.75" customHeight="1" x14ac:dyDescent="0.25">
      <c r="A99" s="41"/>
      <c r="B99" s="42"/>
      <c r="C99" s="42"/>
      <c r="D99" s="11"/>
      <c r="E99" s="11"/>
      <c r="F99" s="28"/>
      <c r="G99" s="28"/>
      <c r="H99" s="3"/>
      <c r="I99" s="28"/>
      <c r="J99" s="28"/>
      <c r="K99" s="28"/>
      <c r="L99" s="28"/>
      <c r="M99" s="28"/>
      <c r="N99" s="28"/>
      <c r="O99" s="28"/>
      <c r="P99" s="28"/>
      <c r="Q99" s="28"/>
      <c r="R99" s="28"/>
      <c r="S99" s="28"/>
      <c r="T99" s="28"/>
      <c r="U99" s="28"/>
      <c r="V99" s="28"/>
      <c r="W99" s="28"/>
      <c r="X99" s="28"/>
      <c r="Y99" s="28"/>
      <c r="Z99" s="28"/>
    </row>
    <row r="100" spans="1:26" ht="15.75" customHeight="1" x14ac:dyDescent="0.25">
      <c r="A100" s="9" t="s">
        <v>35</v>
      </c>
      <c r="B100" s="302" t="s">
        <v>36</v>
      </c>
      <c r="C100" s="47">
        <v>207.78</v>
      </c>
      <c r="D100" s="47">
        <v>219</v>
      </c>
      <c r="E100" s="47">
        <v>225</v>
      </c>
      <c r="F100" s="50">
        <v>275</v>
      </c>
      <c r="G100" s="28"/>
      <c r="H100" s="3"/>
      <c r="I100" s="28"/>
      <c r="J100" s="28"/>
      <c r="K100" s="28"/>
      <c r="L100" s="28"/>
      <c r="M100" s="28"/>
      <c r="N100" s="28"/>
      <c r="O100" s="28"/>
      <c r="P100" s="28"/>
      <c r="Q100" s="28"/>
      <c r="R100" s="28"/>
      <c r="S100" s="28"/>
      <c r="T100" s="28"/>
      <c r="U100" s="28"/>
      <c r="V100" s="28"/>
      <c r="W100" s="28"/>
      <c r="X100" s="28"/>
      <c r="Y100" s="28"/>
      <c r="Z100" s="28"/>
    </row>
    <row r="101" spans="1:26" ht="15.75" customHeight="1" x14ac:dyDescent="0.25">
      <c r="A101" s="9" t="s">
        <v>37</v>
      </c>
      <c r="B101" s="300"/>
      <c r="C101" s="47">
        <v>444.11</v>
      </c>
      <c r="D101" s="47">
        <v>401</v>
      </c>
      <c r="E101" s="47">
        <v>372</v>
      </c>
      <c r="F101" s="50">
        <v>382</v>
      </c>
      <c r="G101" s="28"/>
      <c r="H101" s="3"/>
      <c r="I101" s="28"/>
      <c r="J101" s="28"/>
      <c r="K101" s="28"/>
      <c r="L101" s="28"/>
      <c r="M101" s="28"/>
      <c r="N101" s="28"/>
      <c r="O101" s="28"/>
      <c r="P101" s="28"/>
      <c r="Q101" s="28"/>
      <c r="R101" s="28"/>
      <c r="S101" s="28"/>
      <c r="T101" s="28"/>
      <c r="U101" s="28"/>
      <c r="V101" s="28"/>
      <c r="W101" s="28"/>
      <c r="X101" s="28"/>
      <c r="Y101" s="28"/>
      <c r="Z101" s="28"/>
    </row>
    <row r="102" spans="1:26" ht="15.75" customHeight="1" x14ac:dyDescent="0.25">
      <c r="A102" s="9" t="s">
        <v>38</v>
      </c>
      <c r="B102" s="300"/>
      <c r="C102" s="47">
        <v>579.55999999999995</v>
      </c>
      <c r="D102" s="47">
        <v>580</v>
      </c>
      <c r="E102" s="47">
        <v>589</v>
      </c>
      <c r="F102" s="28"/>
      <c r="G102" s="28"/>
      <c r="H102" s="3"/>
      <c r="I102" s="28"/>
      <c r="J102" s="28"/>
      <c r="K102" s="28"/>
      <c r="L102" s="28"/>
      <c r="M102" s="28"/>
      <c r="N102" s="28"/>
      <c r="O102" s="28"/>
      <c r="P102" s="28"/>
      <c r="Q102" s="28"/>
      <c r="R102" s="28"/>
      <c r="S102" s="28"/>
      <c r="T102" s="28"/>
      <c r="U102" s="28"/>
      <c r="V102" s="28"/>
      <c r="W102" s="28"/>
      <c r="X102" s="28"/>
      <c r="Y102" s="28"/>
      <c r="Z102" s="28"/>
    </row>
    <row r="103" spans="1:26" ht="15.75" customHeight="1" x14ac:dyDescent="0.25">
      <c r="A103" s="9" t="s">
        <v>39</v>
      </c>
      <c r="B103" s="300"/>
      <c r="C103" s="47">
        <v>746.22</v>
      </c>
      <c r="D103" s="11">
        <v>701</v>
      </c>
      <c r="E103" s="11">
        <v>733</v>
      </c>
      <c r="F103" s="28">
        <v>593</v>
      </c>
      <c r="G103" s="28">
        <v>751</v>
      </c>
      <c r="H103" s="3"/>
      <c r="I103" s="28"/>
      <c r="J103" s="28"/>
      <c r="K103" s="28"/>
      <c r="L103" s="28"/>
      <c r="M103" s="28"/>
      <c r="N103" s="28"/>
      <c r="O103" s="28"/>
      <c r="P103" s="28"/>
      <c r="Q103" s="28"/>
      <c r="R103" s="28"/>
      <c r="S103" s="28"/>
      <c r="T103" s="28"/>
      <c r="U103" s="28"/>
      <c r="V103" s="28"/>
      <c r="W103" s="28"/>
      <c r="X103" s="28"/>
      <c r="Y103" s="28"/>
      <c r="Z103" s="28"/>
    </row>
    <row r="104" spans="1:26" ht="15.75" customHeight="1" x14ac:dyDescent="0.25">
      <c r="A104" s="49" t="s">
        <v>41</v>
      </c>
      <c r="B104" s="300"/>
      <c r="C104" s="50">
        <v>869.5</v>
      </c>
      <c r="D104" s="50">
        <v>830</v>
      </c>
      <c r="E104" s="50">
        <v>888</v>
      </c>
      <c r="F104" s="28"/>
      <c r="G104" s="127">
        <v>888</v>
      </c>
      <c r="H104" s="3"/>
      <c r="I104" s="28"/>
      <c r="J104" s="28"/>
      <c r="K104" s="28"/>
      <c r="L104" s="28"/>
      <c r="M104" s="28"/>
      <c r="N104" s="28"/>
      <c r="O104" s="28"/>
      <c r="P104" s="28"/>
      <c r="Q104" s="28"/>
      <c r="R104" s="28"/>
      <c r="S104" s="28"/>
      <c r="T104" s="28"/>
      <c r="U104" s="28"/>
      <c r="V104" s="28"/>
      <c r="W104" s="28"/>
      <c r="X104" s="28"/>
      <c r="Y104" s="28"/>
      <c r="Z104" s="28"/>
    </row>
    <row r="105" spans="1:26" ht="15.75" customHeight="1" x14ac:dyDescent="0.25">
      <c r="A105" s="79"/>
      <c r="B105" s="81"/>
      <c r="C105" s="81"/>
      <c r="D105" s="215"/>
      <c r="E105" s="215"/>
      <c r="F105" s="28"/>
      <c r="G105" s="28"/>
      <c r="H105" s="3"/>
      <c r="I105" s="28"/>
      <c r="J105" s="28"/>
      <c r="K105" s="28"/>
      <c r="L105" s="28"/>
      <c r="M105" s="28"/>
      <c r="N105" s="28"/>
      <c r="O105" s="28"/>
      <c r="P105" s="28"/>
      <c r="Q105" s="28"/>
      <c r="R105" s="28"/>
      <c r="S105" s="28"/>
      <c r="T105" s="28"/>
      <c r="U105" s="28"/>
      <c r="V105" s="28"/>
      <c r="W105" s="28"/>
      <c r="X105" s="28"/>
      <c r="Y105" s="28"/>
      <c r="Z105" s="28"/>
    </row>
    <row r="106" spans="1:26" ht="15.75" customHeight="1" x14ac:dyDescent="0.25">
      <c r="A106" s="9" t="s">
        <v>46</v>
      </c>
      <c r="B106" s="299" t="s">
        <v>47</v>
      </c>
      <c r="C106" s="11">
        <v>88.4</v>
      </c>
      <c r="D106" s="47">
        <v>81</v>
      </c>
      <c r="E106" s="47">
        <v>99</v>
      </c>
      <c r="F106" s="28"/>
      <c r="G106" s="28"/>
      <c r="H106" s="3"/>
      <c r="I106" s="28"/>
      <c r="J106" s="28"/>
      <c r="K106" s="28"/>
      <c r="L106" s="28"/>
      <c r="M106" s="28"/>
      <c r="N106" s="28"/>
      <c r="O106" s="28"/>
      <c r="P106" s="28"/>
      <c r="Q106" s="28"/>
      <c r="R106" s="28"/>
      <c r="S106" s="28"/>
      <c r="T106" s="28"/>
      <c r="U106" s="28"/>
      <c r="V106" s="28"/>
      <c r="W106" s="28"/>
      <c r="X106" s="28"/>
      <c r="Y106" s="28"/>
      <c r="Z106" s="28"/>
    </row>
    <row r="107" spans="1:26" ht="15.75" customHeight="1" x14ac:dyDescent="0.25">
      <c r="A107" s="9" t="s">
        <v>48</v>
      </c>
      <c r="B107" s="300"/>
      <c r="C107" s="11">
        <v>94.6</v>
      </c>
      <c r="D107" s="47">
        <v>93</v>
      </c>
      <c r="E107" s="47">
        <v>105</v>
      </c>
      <c r="F107" s="28"/>
      <c r="G107" s="28"/>
      <c r="H107" s="3"/>
      <c r="I107" s="28"/>
      <c r="J107" s="28"/>
      <c r="K107" s="28"/>
      <c r="L107" s="28"/>
      <c r="M107" s="28"/>
      <c r="N107" s="28"/>
      <c r="O107" s="28"/>
      <c r="P107" s="28"/>
      <c r="Q107" s="28"/>
      <c r="R107" s="28"/>
      <c r="S107" s="28"/>
      <c r="T107" s="28"/>
      <c r="U107" s="28"/>
      <c r="V107" s="28"/>
      <c r="W107" s="28"/>
      <c r="X107" s="28"/>
      <c r="Y107" s="28"/>
      <c r="Z107" s="28"/>
    </row>
    <row r="108" spans="1:26" ht="15.75" customHeight="1" x14ac:dyDescent="0.25">
      <c r="A108" s="41"/>
      <c r="B108" s="42"/>
      <c r="C108" s="42"/>
      <c r="D108" s="11"/>
      <c r="E108" s="11"/>
      <c r="F108" s="28"/>
      <c r="G108" s="28"/>
      <c r="H108" s="3"/>
      <c r="I108" s="28"/>
      <c r="J108" s="28"/>
      <c r="K108" s="28"/>
      <c r="L108" s="28"/>
      <c r="M108" s="28"/>
      <c r="N108" s="28"/>
      <c r="O108" s="28"/>
      <c r="P108" s="28"/>
      <c r="Q108" s="28"/>
      <c r="R108" s="28"/>
      <c r="S108" s="28"/>
      <c r="T108" s="28"/>
      <c r="U108" s="28"/>
      <c r="V108" s="28"/>
      <c r="W108" s="28"/>
      <c r="X108" s="28"/>
      <c r="Y108" s="28"/>
      <c r="Z108" s="28"/>
    </row>
    <row r="109" spans="1:26" ht="15.75" customHeight="1" x14ac:dyDescent="0.25">
      <c r="A109" s="9" t="s">
        <v>50</v>
      </c>
      <c r="B109" s="302" t="s">
        <v>51</v>
      </c>
      <c r="C109" s="47">
        <v>271.44</v>
      </c>
      <c r="D109" s="11">
        <v>268</v>
      </c>
      <c r="E109" s="11">
        <v>290</v>
      </c>
      <c r="F109" s="28"/>
      <c r="G109" s="28"/>
      <c r="H109" s="3"/>
      <c r="I109" s="28"/>
      <c r="J109" s="28"/>
      <c r="K109" s="28"/>
      <c r="L109" s="28"/>
      <c r="M109" s="28"/>
      <c r="N109" s="28"/>
      <c r="O109" s="28"/>
      <c r="P109" s="28"/>
      <c r="Q109" s="28"/>
      <c r="R109" s="28"/>
      <c r="S109" s="28"/>
      <c r="T109" s="28"/>
      <c r="U109" s="28"/>
      <c r="V109" s="28"/>
      <c r="W109" s="28"/>
      <c r="X109" s="28"/>
      <c r="Y109" s="28"/>
      <c r="Z109" s="28"/>
    </row>
    <row r="110" spans="1:26" ht="15.75" customHeight="1" x14ac:dyDescent="0.25">
      <c r="A110" s="9" t="s">
        <v>54</v>
      </c>
      <c r="B110" s="300"/>
      <c r="C110" s="47">
        <v>550.22199999999998</v>
      </c>
      <c r="D110" s="11">
        <v>511</v>
      </c>
      <c r="E110" s="11">
        <v>467</v>
      </c>
      <c r="F110" s="28"/>
      <c r="G110" s="28"/>
      <c r="H110" s="3"/>
      <c r="I110" s="28"/>
      <c r="J110" s="28"/>
      <c r="K110" s="28"/>
      <c r="L110" s="28"/>
      <c r="M110" s="28"/>
      <c r="N110" s="28"/>
      <c r="O110" s="28"/>
      <c r="P110" s="28"/>
      <c r="Q110" s="28"/>
      <c r="R110" s="28"/>
      <c r="S110" s="28"/>
      <c r="T110" s="28"/>
      <c r="U110" s="28"/>
      <c r="V110" s="28"/>
      <c r="W110" s="28"/>
      <c r="X110" s="28"/>
      <c r="Y110" s="28"/>
      <c r="Z110" s="28"/>
    </row>
    <row r="111" spans="1:26" ht="15.75" customHeight="1" x14ac:dyDescent="0.25">
      <c r="A111" s="9" t="s">
        <v>55</v>
      </c>
      <c r="B111" s="300"/>
      <c r="C111" s="47">
        <v>746.8</v>
      </c>
      <c r="D111" s="11">
        <v>698</v>
      </c>
      <c r="E111" s="11">
        <v>622</v>
      </c>
      <c r="F111" s="28"/>
      <c r="G111" s="28"/>
      <c r="H111" s="3"/>
      <c r="I111" s="28"/>
      <c r="J111" s="28"/>
      <c r="K111" s="28"/>
      <c r="L111" s="28"/>
      <c r="M111" s="28"/>
      <c r="N111" s="28"/>
      <c r="O111" s="28"/>
      <c r="P111" s="28"/>
      <c r="Q111" s="28"/>
      <c r="R111" s="28"/>
      <c r="S111" s="28"/>
      <c r="T111" s="28"/>
      <c r="U111" s="28"/>
      <c r="V111" s="28"/>
      <c r="W111" s="28"/>
      <c r="X111" s="28"/>
      <c r="Y111" s="28"/>
      <c r="Z111" s="28"/>
    </row>
    <row r="112" spans="1:26" ht="15.75" customHeight="1" x14ac:dyDescent="0.25">
      <c r="A112" s="9" t="s">
        <v>56</v>
      </c>
      <c r="B112" s="300"/>
      <c r="C112" s="47">
        <v>768.33333333333337</v>
      </c>
      <c r="D112" s="11">
        <v>765</v>
      </c>
      <c r="E112" s="11">
        <v>777</v>
      </c>
      <c r="F112" s="28"/>
      <c r="G112" s="28"/>
      <c r="H112" s="3"/>
      <c r="I112" s="28"/>
      <c r="J112" s="28"/>
      <c r="K112" s="28"/>
      <c r="L112" s="28"/>
      <c r="M112" s="28"/>
      <c r="N112" s="28"/>
      <c r="O112" s="28"/>
      <c r="P112" s="28"/>
      <c r="Q112" s="28"/>
      <c r="R112" s="28"/>
      <c r="S112" s="28"/>
      <c r="T112" s="28"/>
      <c r="U112" s="28"/>
      <c r="V112" s="28"/>
      <c r="W112" s="28"/>
      <c r="X112" s="28"/>
      <c r="Y112" s="28"/>
      <c r="Z112" s="28"/>
    </row>
    <row r="113" spans="1:26" ht="15.75" customHeight="1" x14ac:dyDescent="0.25">
      <c r="A113" s="49" t="s">
        <v>57</v>
      </c>
      <c r="B113" s="300"/>
      <c r="C113" s="50">
        <v>609</v>
      </c>
      <c r="D113" s="51">
        <v>599</v>
      </c>
      <c r="E113" s="51">
        <v>643</v>
      </c>
      <c r="F113" s="28"/>
      <c r="G113" s="28"/>
      <c r="H113" s="3"/>
      <c r="I113" s="28"/>
      <c r="J113" s="28"/>
      <c r="K113" s="28"/>
      <c r="L113" s="28"/>
      <c r="M113" s="28"/>
      <c r="N113" s="28"/>
      <c r="O113" s="28"/>
      <c r="P113" s="28"/>
      <c r="Q113" s="28"/>
      <c r="R113" s="28"/>
      <c r="S113" s="28"/>
      <c r="T113" s="28"/>
      <c r="U113" s="28"/>
      <c r="V113" s="28"/>
      <c r="W113" s="28"/>
      <c r="X113" s="28"/>
      <c r="Y113" s="28"/>
      <c r="Z113" s="28"/>
    </row>
    <row r="114" spans="1:26" ht="15.75" customHeight="1" x14ac:dyDescent="0.25">
      <c r="A114" s="79"/>
      <c r="B114" s="81"/>
      <c r="C114" s="81"/>
      <c r="D114" s="81"/>
      <c r="E114" s="215"/>
      <c r="F114" s="28"/>
      <c r="G114" s="28"/>
      <c r="H114" s="3"/>
      <c r="I114" s="28"/>
      <c r="J114" s="28"/>
      <c r="K114" s="28"/>
      <c r="L114" s="28"/>
      <c r="M114" s="28"/>
      <c r="N114" s="28"/>
      <c r="O114" s="28"/>
      <c r="P114" s="28"/>
      <c r="Q114" s="28"/>
      <c r="R114" s="28"/>
      <c r="S114" s="28"/>
      <c r="T114" s="28"/>
      <c r="U114" s="28"/>
      <c r="V114" s="28"/>
      <c r="W114" s="28"/>
      <c r="X114" s="28"/>
      <c r="Y114" s="28"/>
      <c r="Z114" s="28"/>
    </row>
    <row r="115" spans="1:26" ht="15.75" customHeight="1" x14ac:dyDescent="0.25">
      <c r="A115" s="9" t="s">
        <v>60</v>
      </c>
      <c r="B115" s="299" t="s">
        <v>62</v>
      </c>
      <c r="C115" s="47">
        <v>19.741666666666667</v>
      </c>
      <c r="D115" s="53">
        <v>18</v>
      </c>
      <c r="E115" s="53">
        <v>40</v>
      </c>
      <c r="F115" s="28"/>
      <c r="G115" s="28"/>
      <c r="H115" s="3"/>
      <c r="I115" s="28"/>
      <c r="J115" s="28"/>
      <c r="K115" s="28"/>
      <c r="L115" s="28"/>
      <c r="M115" s="28"/>
      <c r="N115" s="28"/>
      <c r="O115" s="28"/>
      <c r="P115" s="28"/>
      <c r="Q115" s="28"/>
      <c r="R115" s="28"/>
      <c r="S115" s="28"/>
      <c r="T115" s="28"/>
      <c r="U115" s="28"/>
      <c r="V115" s="28"/>
      <c r="W115" s="28"/>
      <c r="X115" s="28"/>
      <c r="Y115" s="28"/>
      <c r="Z115" s="28"/>
    </row>
    <row r="116" spans="1:26" ht="15.75" customHeight="1" x14ac:dyDescent="0.25">
      <c r="A116" s="9" t="s">
        <v>65</v>
      </c>
      <c r="B116" s="300"/>
      <c r="C116" s="11">
        <v>42</v>
      </c>
      <c r="D116" s="54">
        <v>40</v>
      </c>
      <c r="E116" s="54">
        <v>52</v>
      </c>
      <c r="F116" s="28"/>
      <c r="G116" s="28"/>
      <c r="H116" s="3"/>
      <c r="I116" s="28"/>
      <c r="J116" s="28"/>
      <c r="K116" s="28"/>
      <c r="L116" s="28"/>
      <c r="M116" s="28"/>
      <c r="N116" s="28"/>
      <c r="O116" s="28"/>
      <c r="P116" s="28"/>
      <c r="Q116" s="28"/>
      <c r="R116" s="28"/>
      <c r="S116" s="28"/>
      <c r="T116" s="28"/>
      <c r="U116" s="28"/>
      <c r="V116" s="28"/>
      <c r="W116" s="28"/>
      <c r="X116" s="28"/>
      <c r="Y116" s="28"/>
      <c r="Z116" s="28"/>
    </row>
    <row r="117" spans="1:26" ht="15.75" customHeight="1" x14ac:dyDescent="0.25">
      <c r="A117" s="9" t="s">
        <v>64</v>
      </c>
      <c r="B117" s="301"/>
      <c r="C117" s="11">
        <v>42</v>
      </c>
      <c r="D117" s="55">
        <v>42</v>
      </c>
      <c r="E117" s="55">
        <v>45</v>
      </c>
      <c r="F117" s="28"/>
      <c r="G117" s="28"/>
      <c r="H117" s="3"/>
      <c r="I117" s="28"/>
      <c r="J117" s="28"/>
      <c r="K117" s="28"/>
      <c r="L117" s="28"/>
      <c r="M117" s="28"/>
      <c r="N117" s="28"/>
      <c r="O117" s="28"/>
      <c r="P117" s="28"/>
      <c r="Q117" s="28"/>
      <c r="R117" s="28"/>
      <c r="S117" s="28"/>
      <c r="T117" s="28"/>
      <c r="U117" s="28"/>
      <c r="V117" s="28"/>
      <c r="W117" s="28"/>
      <c r="X117" s="28"/>
      <c r="Y117" s="28"/>
      <c r="Z117" s="28"/>
    </row>
    <row r="118" spans="1:26" ht="15.75" customHeight="1" x14ac:dyDescent="0.25">
      <c r="A118" s="41"/>
      <c r="B118" s="42"/>
      <c r="C118" s="42"/>
      <c r="D118" s="11"/>
      <c r="E118" s="11"/>
      <c r="F118" s="28"/>
      <c r="G118" s="28"/>
      <c r="H118" s="3"/>
      <c r="I118" s="28"/>
      <c r="J118" s="28"/>
      <c r="K118" s="28"/>
      <c r="L118" s="28"/>
      <c r="M118" s="28"/>
      <c r="N118" s="28"/>
      <c r="O118" s="28"/>
      <c r="P118" s="28"/>
      <c r="Q118" s="28"/>
      <c r="R118" s="28"/>
      <c r="S118" s="28"/>
      <c r="T118" s="28"/>
      <c r="U118" s="28"/>
      <c r="V118" s="28"/>
      <c r="W118" s="28"/>
      <c r="X118" s="28"/>
      <c r="Y118" s="28"/>
      <c r="Z118" s="28"/>
    </row>
    <row r="119" spans="1:26" ht="15.75" customHeight="1" x14ac:dyDescent="0.25">
      <c r="A119" s="9" t="s">
        <v>66</v>
      </c>
      <c r="B119" s="302" t="s">
        <v>68</v>
      </c>
      <c r="C119" s="47">
        <v>204.5</v>
      </c>
      <c r="D119" s="11">
        <v>201</v>
      </c>
      <c r="E119" s="11">
        <v>207</v>
      </c>
      <c r="F119" s="28"/>
      <c r="G119" s="28"/>
      <c r="H119" s="3"/>
      <c r="I119" s="28"/>
      <c r="J119" s="28"/>
      <c r="K119" s="28"/>
      <c r="L119" s="28"/>
      <c r="M119" s="28"/>
      <c r="N119" s="28"/>
      <c r="O119" s="28"/>
      <c r="P119" s="28"/>
      <c r="Q119" s="28"/>
      <c r="R119" s="28"/>
      <c r="S119" s="28"/>
      <c r="T119" s="28"/>
      <c r="U119" s="28"/>
      <c r="V119" s="28"/>
      <c r="W119" s="28"/>
      <c r="X119" s="28"/>
      <c r="Y119" s="28"/>
      <c r="Z119" s="28"/>
    </row>
    <row r="120" spans="1:26" ht="15.75" customHeight="1" x14ac:dyDescent="0.25">
      <c r="A120" s="49" t="s">
        <v>69</v>
      </c>
      <c r="B120" s="300"/>
      <c r="C120" s="50">
        <v>277.7</v>
      </c>
      <c r="D120" s="51">
        <v>271</v>
      </c>
      <c r="E120" s="51">
        <v>272</v>
      </c>
      <c r="F120" s="28"/>
      <c r="G120" s="28"/>
      <c r="H120" s="3"/>
      <c r="I120" s="28"/>
      <c r="J120" s="28"/>
      <c r="K120" s="28"/>
      <c r="L120" s="28"/>
      <c r="M120" s="28"/>
      <c r="N120" s="28"/>
      <c r="O120" s="28"/>
      <c r="P120" s="28"/>
      <c r="Q120" s="28"/>
      <c r="R120" s="28"/>
      <c r="S120" s="28"/>
      <c r="T120" s="28"/>
      <c r="U120" s="28"/>
      <c r="V120" s="28"/>
      <c r="W120" s="28"/>
      <c r="X120" s="28"/>
      <c r="Y120" s="28"/>
      <c r="Z120" s="28"/>
    </row>
    <row r="121" spans="1:26" ht="15.75" customHeight="1" x14ac:dyDescent="0.25">
      <c r="A121" s="44"/>
      <c r="B121" s="46"/>
      <c r="C121" s="46"/>
      <c r="D121" s="216"/>
      <c r="E121" s="216"/>
      <c r="F121" s="28"/>
      <c r="G121" s="28"/>
      <c r="H121" s="3"/>
      <c r="I121" s="28"/>
      <c r="J121" s="28"/>
      <c r="K121" s="28"/>
      <c r="L121" s="28"/>
      <c r="M121" s="28"/>
      <c r="N121" s="28"/>
      <c r="O121" s="28"/>
      <c r="P121" s="28"/>
      <c r="Q121" s="28"/>
      <c r="R121" s="28"/>
      <c r="S121" s="28"/>
      <c r="T121" s="28"/>
      <c r="U121" s="28"/>
      <c r="V121" s="28"/>
      <c r="W121" s="28"/>
      <c r="X121" s="28"/>
      <c r="Y121" s="28"/>
      <c r="Z121" s="28"/>
    </row>
    <row r="122" spans="1:26" ht="15.75" customHeight="1" x14ac:dyDescent="0.25">
      <c r="A122" s="56" t="s">
        <v>69</v>
      </c>
      <c r="B122" s="303" t="s">
        <v>71</v>
      </c>
      <c r="C122" s="47">
        <v>12</v>
      </c>
      <c r="D122" s="11">
        <v>11</v>
      </c>
      <c r="E122" s="11">
        <v>13</v>
      </c>
      <c r="F122" s="28"/>
      <c r="G122" s="28"/>
      <c r="H122" s="3"/>
      <c r="I122" s="28"/>
      <c r="J122" s="28"/>
      <c r="K122" s="28"/>
      <c r="L122" s="28"/>
      <c r="M122" s="28"/>
      <c r="N122" s="28"/>
      <c r="O122" s="28"/>
      <c r="P122" s="28"/>
      <c r="Q122" s="28"/>
      <c r="R122" s="28"/>
      <c r="S122" s="28"/>
      <c r="T122" s="28"/>
      <c r="U122" s="28"/>
      <c r="V122" s="28"/>
      <c r="W122" s="28"/>
      <c r="X122" s="28"/>
      <c r="Y122" s="28"/>
      <c r="Z122" s="28"/>
    </row>
    <row r="123" spans="1:26" ht="15.75" customHeight="1" x14ac:dyDescent="0.25">
      <c r="A123" s="56" t="s">
        <v>72</v>
      </c>
      <c r="B123" s="300"/>
      <c r="C123" s="47">
        <v>14</v>
      </c>
      <c r="D123" s="11">
        <v>13</v>
      </c>
      <c r="E123" s="11">
        <v>16</v>
      </c>
      <c r="F123" s="28"/>
      <c r="G123" s="28"/>
      <c r="H123" s="3"/>
      <c r="I123" s="28"/>
      <c r="J123" s="28"/>
      <c r="K123" s="28"/>
      <c r="L123" s="28"/>
      <c r="M123" s="28"/>
      <c r="N123" s="28"/>
      <c r="O123" s="28"/>
      <c r="P123" s="28"/>
      <c r="Q123" s="28"/>
      <c r="R123" s="28"/>
      <c r="S123" s="28"/>
      <c r="T123" s="28"/>
      <c r="U123" s="28"/>
      <c r="V123" s="28"/>
      <c r="W123" s="28"/>
      <c r="X123" s="28"/>
      <c r="Y123" s="28"/>
      <c r="Z123" s="28"/>
    </row>
    <row r="124" spans="1:26" ht="15.75" customHeight="1" x14ac:dyDescent="0.25">
      <c r="A124" s="56" t="s">
        <v>73</v>
      </c>
      <c r="B124" s="301"/>
      <c r="C124" s="47">
        <v>17.43333333333333</v>
      </c>
      <c r="D124" s="11">
        <v>17</v>
      </c>
      <c r="E124" s="11">
        <v>20</v>
      </c>
      <c r="F124" s="28"/>
      <c r="G124" s="28"/>
      <c r="H124" s="3"/>
      <c r="I124" s="28"/>
      <c r="J124" s="28"/>
      <c r="K124" s="28"/>
      <c r="L124" s="28"/>
      <c r="M124" s="28"/>
      <c r="N124" s="28"/>
      <c r="O124" s="28"/>
      <c r="P124" s="28"/>
      <c r="Q124" s="28"/>
      <c r="R124" s="28"/>
      <c r="S124" s="28"/>
      <c r="T124" s="28"/>
      <c r="U124" s="28"/>
      <c r="V124" s="28"/>
      <c r="W124" s="28"/>
      <c r="X124" s="28"/>
      <c r="Y124" s="28"/>
      <c r="Z124" s="28"/>
    </row>
    <row r="125" spans="1:26" ht="15.75" customHeight="1" x14ac:dyDescent="0.25">
      <c r="A125" s="92"/>
      <c r="B125" s="69"/>
      <c r="C125" s="69"/>
      <c r="D125" s="52"/>
      <c r="E125" s="25"/>
      <c r="F125" s="28"/>
      <c r="G125" s="28"/>
      <c r="H125" s="3"/>
      <c r="I125" s="28"/>
      <c r="J125" s="28"/>
      <c r="K125" s="28"/>
      <c r="L125" s="28"/>
      <c r="M125" s="28"/>
      <c r="N125" s="28"/>
      <c r="O125" s="28"/>
      <c r="P125" s="28"/>
      <c r="Q125" s="28"/>
      <c r="R125" s="28"/>
      <c r="S125" s="28"/>
      <c r="T125" s="28"/>
      <c r="U125" s="28"/>
      <c r="V125" s="28"/>
      <c r="W125" s="28"/>
      <c r="X125" s="28"/>
      <c r="Y125" s="28"/>
      <c r="Z125" s="28"/>
    </row>
    <row r="126" spans="1:26" ht="15.75" customHeight="1" x14ac:dyDescent="0.25">
      <c r="A126" s="56" t="s">
        <v>80</v>
      </c>
      <c r="B126" s="309" t="s">
        <v>77</v>
      </c>
      <c r="C126" s="47">
        <v>117</v>
      </c>
      <c r="D126" s="11">
        <v>111</v>
      </c>
      <c r="E126" s="11">
        <v>132</v>
      </c>
      <c r="F126" s="28"/>
      <c r="G126" s="28"/>
      <c r="H126" s="3"/>
      <c r="I126" s="28"/>
      <c r="J126" s="28"/>
      <c r="K126" s="28"/>
      <c r="L126" s="28"/>
      <c r="M126" s="28"/>
      <c r="N126" s="28"/>
      <c r="O126" s="28"/>
      <c r="P126" s="28"/>
      <c r="Q126" s="28"/>
      <c r="R126" s="28"/>
      <c r="S126" s="28"/>
      <c r="T126" s="28"/>
      <c r="U126" s="28"/>
      <c r="V126" s="28"/>
      <c r="W126" s="28"/>
      <c r="X126" s="28"/>
      <c r="Y126" s="28"/>
      <c r="Z126" s="28"/>
    </row>
    <row r="127" spans="1:26" ht="15.75" customHeight="1" x14ac:dyDescent="0.25">
      <c r="A127" s="56" t="s">
        <v>78</v>
      </c>
      <c r="B127" s="300"/>
      <c r="C127" s="47">
        <v>188</v>
      </c>
      <c r="D127" s="11">
        <v>178</v>
      </c>
      <c r="E127" s="11">
        <v>192</v>
      </c>
      <c r="F127" s="28"/>
      <c r="G127" s="28"/>
      <c r="H127" s="3"/>
      <c r="I127" s="28"/>
      <c r="J127" s="28"/>
      <c r="K127" s="28"/>
      <c r="L127" s="28"/>
      <c r="M127" s="28"/>
      <c r="N127" s="28"/>
      <c r="O127" s="28"/>
      <c r="P127" s="28"/>
      <c r="Q127" s="28"/>
      <c r="R127" s="28"/>
      <c r="S127" s="28"/>
      <c r="T127" s="28"/>
      <c r="U127" s="28"/>
      <c r="V127" s="28"/>
      <c r="W127" s="28"/>
      <c r="X127" s="28"/>
      <c r="Y127" s="28"/>
      <c r="Z127" s="28"/>
    </row>
    <row r="128" spans="1:26" ht="15.75" customHeight="1" x14ac:dyDescent="0.25">
      <c r="A128" s="56" t="s">
        <v>76</v>
      </c>
      <c r="B128" s="300"/>
      <c r="C128" s="47">
        <v>218</v>
      </c>
      <c r="D128" s="11">
        <v>216</v>
      </c>
      <c r="E128" s="11">
        <v>219</v>
      </c>
      <c r="F128" s="28"/>
      <c r="G128" s="28"/>
      <c r="H128" s="3"/>
      <c r="I128" s="28"/>
      <c r="J128" s="28"/>
      <c r="K128" s="28"/>
      <c r="L128" s="28"/>
      <c r="M128" s="28"/>
      <c r="N128" s="28"/>
      <c r="O128" s="28"/>
      <c r="P128" s="28"/>
      <c r="Q128" s="28"/>
      <c r="R128" s="28"/>
      <c r="S128" s="28"/>
      <c r="T128" s="28"/>
      <c r="U128" s="28"/>
      <c r="V128" s="28"/>
      <c r="W128" s="28"/>
      <c r="X128" s="28"/>
      <c r="Y128" s="28"/>
      <c r="Z128" s="28"/>
    </row>
    <row r="129" spans="1:26" ht="15.75" customHeight="1" x14ac:dyDescent="0.25">
      <c r="A129" s="57" t="s">
        <v>79</v>
      </c>
      <c r="B129" s="300"/>
      <c r="C129" s="50">
        <v>239</v>
      </c>
      <c r="D129" s="51">
        <v>237</v>
      </c>
      <c r="E129" s="51">
        <v>238</v>
      </c>
      <c r="F129" s="28"/>
      <c r="G129" s="28"/>
      <c r="H129" s="3"/>
      <c r="I129" s="28"/>
      <c r="J129" s="28"/>
      <c r="K129" s="28"/>
      <c r="L129" s="28"/>
      <c r="M129" s="28"/>
      <c r="N129" s="28"/>
      <c r="O129" s="28"/>
      <c r="P129" s="28"/>
      <c r="Q129" s="28"/>
      <c r="R129" s="28"/>
      <c r="S129" s="28"/>
      <c r="T129" s="28"/>
      <c r="U129" s="28"/>
      <c r="V129" s="28"/>
      <c r="W129" s="28"/>
      <c r="X129" s="28"/>
      <c r="Y129" s="28"/>
      <c r="Z129" s="28"/>
    </row>
    <row r="130" spans="1:26" ht="15.75" customHeight="1" x14ac:dyDescent="0.25">
      <c r="A130" s="44"/>
      <c r="B130" s="46"/>
      <c r="C130" s="46"/>
      <c r="D130" s="46"/>
      <c r="E130" s="216"/>
      <c r="F130" s="28"/>
      <c r="G130" s="28"/>
      <c r="H130" s="3"/>
      <c r="I130" s="28"/>
      <c r="J130" s="28"/>
      <c r="K130" s="28"/>
      <c r="L130" s="28"/>
      <c r="M130" s="28"/>
      <c r="N130" s="28"/>
      <c r="O130" s="28"/>
      <c r="P130" s="28"/>
      <c r="Q130" s="28"/>
      <c r="R130" s="28"/>
      <c r="S130" s="28"/>
      <c r="T130" s="28"/>
      <c r="U130" s="28"/>
      <c r="V130" s="28"/>
      <c r="W130" s="28"/>
      <c r="X130" s="28"/>
      <c r="Y130" s="28"/>
      <c r="Z130" s="28"/>
    </row>
    <row r="131" spans="1:26" ht="15.75" customHeight="1" x14ac:dyDescent="0.25">
      <c r="A131" s="9" t="s">
        <v>81</v>
      </c>
      <c r="B131" s="299" t="s">
        <v>82</v>
      </c>
      <c r="C131" s="11">
        <v>2</v>
      </c>
      <c r="D131" s="11">
        <v>1</v>
      </c>
      <c r="E131" s="11">
        <v>7</v>
      </c>
      <c r="F131" s="28"/>
      <c r="G131" s="28"/>
      <c r="H131" s="3"/>
      <c r="I131" s="28"/>
      <c r="J131" s="28"/>
      <c r="K131" s="28"/>
      <c r="L131" s="28"/>
      <c r="M131" s="28"/>
      <c r="N131" s="28"/>
      <c r="O131" s="28"/>
      <c r="P131" s="28"/>
      <c r="Q131" s="28"/>
      <c r="R131" s="28"/>
      <c r="S131" s="28"/>
      <c r="T131" s="28"/>
      <c r="U131" s="28"/>
      <c r="V131" s="28"/>
      <c r="W131" s="28"/>
      <c r="X131" s="28"/>
      <c r="Y131" s="28"/>
      <c r="Z131" s="28"/>
    </row>
    <row r="132" spans="1:26" ht="15.75" customHeight="1" x14ac:dyDescent="0.25">
      <c r="A132" s="9" t="s">
        <v>83</v>
      </c>
      <c r="B132" s="300"/>
      <c r="C132" s="11">
        <v>6</v>
      </c>
      <c r="D132" s="11">
        <v>6</v>
      </c>
      <c r="E132" s="11">
        <v>8</v>
      </c>
      <c r="F132" s="28"/>
      <c r="G132" s="28"/>
      <c r="H132" s="3"/>
      <c r="I132" s="28"/>
      <c r="J132" s="28"/>
      <c r="K132" s="28"/>
      <c r="L132" s="28"/>
      <c r="M132" s="28"/>
      <c r="N132" s="28"/>
      <c r="O132" s="28"/>
      <c r="P132" s="28"/>
      <c r="Q132" s="28"/>
      <c r="R132" s="28"/>
      <c r="S132" s="28"/>
      <c r="T132" s="28"/>
      <c r="U132" s="28"/>
      <c r="V132" s="28"/>
      <c r="W132" s="28"/>
      <c r="X132" s="28"/>
      <c r="Y132" s="28"/>
      <c r="Z132" s="28"/>
    </row>
    <row r="133" spans="1:26" ht="15.75" customHeight="1" x14ac:dyDescent="0.25">
      <c r="A133" s="9" t="s">
        <v>155</v>
      </c>
      <c r="B133" s="301"/>
      <c r="C133" s="47">
        <v>4.1066666666666665</v>
      </c>
      <c r="D133" s="11">
        <v>5</v>
      </c>
      <c r="E133" s="11">
        <v>8</v>
      </c>
      <c r="F133" s="28"/>
      <c r="G133" s="28"/>
      <c r="H133" s="3"/>
      <c r="I133" s="28"/>
      <c r="J133" s="28"/>
      <c r="K133" s="28"/>
      <c r="L133" s="28"/>
      <c r="M133" s="28"/>
      <c r="N133" s="28"/>
      <c r="O133" s="28"/>
      <c r="P133" s="28"/>
      <c r="Q133" s="28"/>
      <c r="R133" s="28"/>
      <c r="S133" s="28"/>
      <c r="T133" s="28"/>
      <c r="U133" s="28"/>
      <c r="V133" s="28"/>
      <c r="W133" s="28"/>
      <c r="X133" s="28"/>
      <c r="Y133" s="28"/>
      <c r="Z133" s="28"/>
    </row>
    <row r="134" spans="1:26" ht="15.75" customHeight="1" x14ac:dyDescent="0.25">
      <c r="A134" s="41"/>
      <c r="B134" s="42"/>
      <c r="C134" s="42"/>
      <c r="D134" s="42"/>
      <c r="E134" s="201"/>
      <c r="F134" s="28"/>
      <c r="G134" s="28"/>
      <c r="H134" s="3"/>
      <c r="I134" s="28"/>
      <c r="J134" s="28"/>
      <c r="K134" s="28"/>
      <c r="L134" s="28"/>
      <c r="M134" s="28"/>
      <c r="N134" s="28"/>
      <c r="O134" s="28"/>
      <c r="P134" s="28"/>
      <c r="Q134" s="28"/>
      <c r="R134" s="28"/>
      <c r="S134" s="28"/>
      <c r="T134" s="28"/>
      <c r="U134" s="28"/>
      <c r="V134" s="28"/>
      <c r="W134" s="28"/>
      <c r="X134" s="28"/>
      <c r="Y134" s="28"/>
      <c r="Z134" s="28"/>
    </row>
    <row r="135" spans="1:26" ht="15.75" customHeight="1" x14ac:dyDescent="0.25">
      <c r="A135" s="9" t="s">
        <v>86</v>
      </c>
      <c r="B135" s="302" t="s">
        <v>87</v>
      </c>
      <c r="C135" s="11">
        <v>19</v>
      </c>
      <c r="D135" s="11">
        <v>19</v>
      </c>
      <c r="E135" s="11">
        <v>22</v>
      </c>
      <c r="F135" s="28"/>
      <c r="G135" s="28"/>
      <c r="H135" s="3"/>
      <c r="I135" s="28"/>
      <c r="J135" s="28"/>
      <c r="K135" s="28"/>
      <c r="L135" s="28"/>
      <c r="M135" s="28"/>
      <c r="N135" s="28"/>
      <c r="O135" s="28"/>
      <c r="P135" s="28"/>
      <c r="Q135" s="28"/>
      <c r="R135" s="28"/>
      <c r="S135" s="28"/>
      <c r="T135" s="28"/>
      <c r="U135" s="28"/>
      <c r="V135" s="28"/>
      <c r="W135" s="28"/>
      <c r="X135" s="28"/>
      <c r="Y135" s="28"/>
      <c r="Z135" s="28"/>
    </row>
    <row r="136" spans="1:26" ht="15.75" customHeight="1" x14ac:dyDescent="0.25">
      <c r="A136" s="49" t="s">
        <v>88</v>
      </c>
      <c r="B136" s="300"/>
      <c r="C136" s="51">
        <v>20</v>
      </c>
      <c r="D136" s="51">
        <v>19</v>
      </c>
      <c r="E136" s="51">
        <v>23</v>
      </c>
      <c r="F136" s="28"/>
      <c r="G136" s="28"/>
      <c r="H136" s="3"/>
      <c r="I136" s="28"/>
      <c r="J136" s="28"/>
      <c r="K136" s="28"/>
      <c r="L136" s="28"/>
      <c r="M136" s="28"/>
      <c r="N136" s="28"/>
      <c r="O136" s="28"/>
      <c r="P136" s="28"/>
      <c r="Q136" s="28"/>
      <c r="R136" s="28"/>
      <c r="S136" s="28"/>
      <c r="T136" s="28"/>
      <c r="U136" s="28"/>
      <c r="V136" s="28"/>
      <c r="W136" s="28"/>
      <c r="X136" s="28"/>
      <c r="Y136" s="28"/>
      <c r="Z136" s="28"/>
    </row>
    <row r="137" spans="1:26" ht="15.75" customHeight="1" x14ac:dyDescent="0.25">
      <c r="A137" s="44"/>
      <c r="B137" s="46"/>
      <c r="C137" s="46"/>
      <c r="D137" s="216"/>
      <c r="E137" s="216"/>
      <c r="F137" s="28"/>
      <c r="G137" s="28"/>
      <c r="H137" s="3"/>
      <c r="I137" s="28"/>
      <c r="J137" s="28"/>
      <c r="K137" s="28"/>
      <c r="L137" s="28"/>
      <c r="M137" s="28"/>
      <c r="N137" s="28"/>
      <c r="O137" s="28"/>
      <c r="P137" s="28"/>
      <c r="Q137" s="28"/>
      <c r="R137" s="28"/>
      <c r="S137" s="28"/>
      <c r="T137" s="28"/>
      <c r="U137" s="28"/>
      <c r="V137" s="28"/>
      <c r="W137" s="28"/>
      <c r="X137" s="28"/>
      <c r="Y137" s="28"/>
      <c r="Z137" s="28"/>
    </row>
    <row r="138" spans="1:26" ht="15.75" customHeight="1" x14ac:dyDescent="0.25">
      <c r="A138" s="9" t="s">
        <v>89</v>
      </c>
      <c r="B138" s="299" t="s">
        <v>90</v>
      </c>
      <c r="C138" s="11">
        <v>6</v>
      </c>
      <c r="D138" s="11">
        <v>6</v>
      </c>
      <c r="E138" s="11">
        <v>16</v>
      </c>
      <c r="F138" s="28"/>
      <c r="G138" s="28"/>
      <c r="H138" s="3"/>
      <c r="I138" s="28"/>
      <c r="J138" s="28"/>
      <c r="K138" s="28"/>
      <c r="L138" s="28"/>
      <c r="M138" s="28"/>
      <c r="N138" s="28"/>
      <c r="O138" s="28"/>
      <c r="P138" s="28"/>
      <c r="Q138" s="28"/>
      <c r="R138" s="28"/>
      <c r="S138" s="28"/>
      <c r="T138" s="28"/>
      <c r="U138" s="28"/>
      <c r="V138" s="28"/>
      <c r="W138" s="28"/>
      <c r="X138" s="28"/>
      <c r="Y138" s="28"/>
      <c r="Z138" s="28"/>
    </row>
    <row r="139" spans="1:26" ht="15.75" customHeight="1" x14ac:dyDescent="0.25">
      <c r="A139" s="9" t="s">
        <v>91</v>
      </c>
      <c r="B139" s="300"/>
      <c r="C139" s="11">
        <v>17</v>
      </c>
      <c r="D139" s="11">
        <v>16</v>
      </c>
      <c r="E139" s="11">
        <v>30</v>
      </c>
      <c r="F139" s="28"/>
      <c r="G139" s="28"/>
      <c r="H139" s="3"/>
      <c r="I139" s="28"/>
      <c r="J139" s="28"/>
      <c r="K139" s="28"/>
      <c r="L139" s="28"/>
      <c r="M139" s="28"/>
      <c r="N139" s="28"/>
      <c r="O139" s="28"/>
      <c r="P139" s="28"/>
      <c r="Q139" s="28"/>
      <c r="R139" s="28"/>
      <c r="S139" s="28"/>
      <c r="T139" s="28"/>
      <c r="U139" s="28"/>
      <c r="V139" s="28"/>
      <c r="W139" s="28"/>
      <c r="X139" s="28"/>
      <c r="Y139" s="28"/>
      <c r="Z139" s="28"/>
    </row>
    <row r="140" spans="1:26" ht="15.75" customHeight="1" x14ac:dyDescent="0.25">
      <c r="A140" s="49" t="s">
        <v>92</v>
      </c>
      <c r="B140" s="300"/>
      <c r="C140" s="51"/>
      <c r="D140" s="11"/>
      <c r="E140" s="11"/>
      <c r="F140" s="28"/>
      <c r="G140" s="28"/>
      <c r="H140" s="3"/>
      <c r="I140" s="28"/>
      <c r="J140" s="28"/>
      <c r="K140" s="28"/>
      <c r="L140" s="28"/>
      <c r="M140" s="28"/>
      <c r="N140" s="28"/>
      <c r="O140" s="28"/>
      <c r="P140" s="28"/>
      <c r="Q140" s="28"/>
      <c r="R140" s="28"/>
      <c r="S140" s="28"/>
      <c r="T140" s="28"/>
      <c r="U140" s="28"/>
      <c r="V140" s="28"/>
      <c r="W140" s="28"/>
      <c r="X140" s="28"/>
      <c r="Y140" s="28"/>
      <c r="Z140" s="28"/>
    </row>
    <row r="141" spans="1:26" ht="15.75" customHeight="1" x14ac:dyDescent="0.25">
      <c r="A141" s="41"/>
      <c r="B141" s="42"/>
      <c r="C141" s="42"/>
      <c r="D141" s="42"/>
      <c r="E141" s="201"/>
      <c r="F141" s="28"/>
      <c r="G141" s="28"/>
      <c r="H141" s="3"/>
      <c r="I141" s="28"/>
      <c r="J141" s="28"/>
      <c r="K141" s="28"/>
      <c r="L141" s="28"/>
      <c r="M141" s="28"/>
      <c r="N141" s="28"/>
      <c r="O141" s="28"/>
      <c r="P141" s="28"/>
      <c r="Q141" s="28"/>
      <c r="R141" s="28"/>
      <c r="S141" s="28"/>
      <c r="T141" s="28"/>
      <c r="U141" s="28"/>
      <c r="V141" s="28"/>
      <c r="W141" s="28"/>
      <c r="X141" s="28"/>
      <c r="Y141" s="28"/>
      <c r="Z141" s="28"/>
    </row>
    <row r="142" spans="1:26" ht="15.75" customHeight="1" x14ac:dyDescent="0.25">
      <c r="A142" s="9" t="s">
        <v>94</v>
      </c>
      <c r="B142" s="299" t="s">
        <v>95</v>
      </c>
      <c r="C142" s="47">
        <v>49.666666666666664</v>
      </c>
      <c r="D142" s="11">
        <v>53</v>
      </c>
      <c r="E142" s="11">
        <v>129</v>
      </c>
      <c r="F142" s="28"/>
      <c r="G142" s="28"/>
      <c r="H142" s="3"/>
      <c r="I142" s="28"/>
      <c r="J142" s="28"/>
      <c r="K142" s="28"/>
      <c r="L142" s="28"/>
      <c r="M142" s="28"/>
      <c r="N142" s="28"/>
      <c r="O142" s="28"/>
      <c r="P142" s="28"/>
      <c r="Q142" s="28"/>
      <c r="R142" s="28"/>
      <c r="S142" s="28"/>
      <c r="T142" s="28"/>
      <c r="U142" s="28"/>
      <c r="V142" s="28"/>
      <c r="W142" s="28"/>
      <c r="X142" s="28"/>
      <c r="Y142" s="28"/>
      <c r="Z142" s="28"/>
    </row>
    <row r="143" spans="1:26" ht="15.75" customHeight="1" x14ac:dyDescent="0.25">
      <c r="A143" s="9" t="s">
        <v>96</v>
      </c>
      <c r="B143" s="300"/>
      <c r="C143" s="47">
        <v>130</v>
      </c>
      <c r="D143" s="11">
        <v>117</v>
      </c>
      <c r="E143" s="11">
        <v>152</v>
      </c>
      <c r="F143" s="28"/>
      <c r="G143" s="28"/>
      <c r="H143" s="3"/>
      <c r="I143" s="28"/>
      <c r="J143" s="28"/>
      <c r="K143" s="28"/>
      <c r="L143" s="28"/>
      <c r="M143" s="28"/>
      <c r="N143" s="28"/>
      <c r="O143" s="28"/>
      <c r="P143" s="28"/>
      <c r="Q143" s="28"/>
      <c r="R143" s="28"/>
      <c r="S143" s="28"/>
      <c r="T143" s="28"/>
      <c r="U143" s="28"/>
      <c r="V143" s="28"/>
      <c r="W143" s="28"/>
      <c r="X143" s="28"/>
      <c r="Y143" s="28"/>
      <c r="Z143" s="28"/>
    </row>
    <row r="144" spans="1:26" ht="15.75" customHeight="1" x14ac:dyDescent="0.25">
      <c r="A144" s="9" t="s">
        <v>97</v>
      </c>
      <c r="B144" s="300"/>
      <c r="C144" s="47">
        <v>122</v>
      </c>
      <c r="D144" s="11">
        <v>130</v>
      </c>
      <c r="E144" s="11">
        <v>137</v>
      </c>
      <c r="F144" s="28"/>
      <c r="G144" s="28"/>
      <c r="H144" s="3"/>
      <c r="I144" s="28"/>
      <c r="J144" s="28"/>
      <c r="K144" s="28"/>
      <c r="L144" s="28"/>
      <c r="M144" s="28"/>
      <c r="N144" s="28"/>
      <c r="O144" s="28"/>
      <c r="P144" s="28"/>
      <c r="Q144" s="28"/>
      <c r="R144" s="28"/>
      <c r="S144" s="28"/>
      <c r="T144" s="28"/>
      <c r="U144" s="28"/>
      <c r="V144" s="28"/>
      <c r="W144" s="28"/>
      <c r="X144" s="28"/>
      <c r="Y144" s="28"/>
      <c r="Z144" s="28"/>
    </row>
    <row r="145" spans="1:26" ht="15.75" customHeight="1" x14ac:dyDescent="0.25">
      <c r="A145" s="9" t="s">
        <v>98</v>
      </c>
      <c r="B145" s="300"/>
      <c r="C145" s="47">
        <v>142</v>
      </c>
      <c r="D145" s="11">
        <v>137</v>
      </c>
      <c r="E145" s="11">
        <v>161</v>
      </c>
      <c r="F145" s="28"/>
      <c r="G145" s="28"/>
      <c r="H145" s="3"/>
      <c r="I145" s="28"/>
      <c r="J145" s="28"/>
      <c r="K145" s="28"/>
      <c r="L145" s="28"/>
      <c r="M145" s="28"/>
      <c r="N145" s="28"/>
      <c r="O145" s="28"/>
      <c r="P145" s="28"/>
      <c r="Q145" s="28"/>
      <c r="R145" s="28"/>
      <c r="S145" s="28"/>
      <c r="T145" s="28"/>
      <c r="U145" s="28"/>
      <c r="V145" s="28"/>
      <c r="W145" s="28"/>
      <c r="X145" s="28"/>
      <c r="Y145" s="28"/>
      <c r="Z145" s="28"/>
    </row>
    <row r="146" spans="1:26" ht="15.75" customHeight="1" x14ac:dyDescent="0.25">
      <c r="A146" s="9" t="s">
        <v>99</v>
      </c>
      <c r="B146" s="301"/>
      <c r="C146" s="47">
        <v>146</v>
      </c>
      <c r="D146" s="11">
        <v>150</v>
      </c>
      <c r="E146" s="11">
        <v>174</v>
      </c>
      <c r="F146" s="28"/>
      <c r="G146" s="28"/>
      <c r="H146" s="3"/>
      <c r="I146" s="28"/>
      <c r="J146" s="28"/>
      <c r="K146" s="28"/>
      <c r="L146" s="28"/>
      <c r="M146" s="28"/>
      <c r="N146" s="28"/>
      <c r="O146" s="28"/>
      <c r="P146" s="28"/>
      <c r="Q146" s="28"/>
      <c r="R146" s="28"/>
      <c r="S146" s="28"/>
      <c r="T146" s="28"/>
      <c r="U146" s="28"/>
      <c r="V146" s="28"/>
      <c r="W146" s="28"/>
      <c r="X146" s="28"/>
      <c r="Y146" s="28"/>
      <c r="Z146" s="28"/>
    </row>
    <row r="147" spans="1:26" ht="15.75" customHeight="1" x14ac:dyDescent="0.2"/>
    <row r="148" spans="1:26" ht="15.75" customHeight="1" x14ac:dyDescent="0.2"/>
    <row r="149" spans="1:26" ht="15.75" customHeight="1" x14ac:dyDescent="0.2"/>
    <row r="150" spans="1:26" ht="15.75" customHeight="1" x14ac:dyDescent="0.25">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5.75" customHeight="1" x14ac:dyDescent="0.25">
      <c r="B151" s="124">
        <v>43852</v>
      </c>
    </row>
    <row r="152" spans="1:26" ht="15.75" customHeight="1" x14ac:dyDescent="0.25">
      <c r="A152" s="4" t="s">
        <v>0</v>
      </c>
      <c r="B152" s="5" t="s">
        <v>1</v>
      </c>
      <c r="C152" s="5" t="s">
        <v>2</v>
      </c>
      <c r="D152" s="5" t="s">
        <v>43</v>
      </c>
      <c r="E152" s="45" t="s">
        <v>125</v>
      </c>
      <c r="F152" s="28"/>
      <c r="G152" s="296" t="s">
        <v>6</v>
      </c>
      <c r="H152" s="297"/>
      <c r="I152" s="297"/>
      <c r="J152" s="297"/>
      <c r="K152" s="297"/>
      <c r="L152" s="298"/>
      <c r="M152" s="28"/>
      <c r="N152" s="28"/>
      <c r="O152" s="28"/>
      <c r="P152" s="28"/>
      <c r="Q152" s="28"/>
      <c r="R152" s="28"/>
      <c r="S152" s="28"/>
      <c r="T152" s="28"/>
      <c r="U152" s="28"/>
      <c r="V152" s="28"/>
      <c r="W152" s="28"/>
      <c r="X152" s="28"/>
      <c r="Y152" s="28"/>
      <c r="Z152" s="28"/>
    </row>
    <row r="153" spans="1:26" ht="15.75" customHeight="1" x14ac:dyDescent="0.25">
      <c r="A153" s="9" t="s">
        <v>7</v>
      </c>
      <c r="B153" s="302" t="s">
        <v>9</v>
      </c>
      <c r="C153" s="47">
        <v>28.1</v>
      </c>
      <c r="D153" s="47">
        <v>65</v>
      </c>
      <c r="E153" s="47">
        <v>65</v>
      </c>
      <c r="F153" s="28"/>
      <c r="G153" s="296" t="s">
        <v>106</v>
      </c>
      <c r="H153" s="297"/>
      <c r="I153" s="298"/>
      <c r="J153" s="296" t="s">
        <v>107</v>
      </c>
      <c r="K153" s="297"/>
      <c r="L153" s="298"/>
      <c r="M153" s="28"/>
      <c r="N153" s="28"/>
      <c r="O153" s="28"/>
      <c r="P153" s="28"/>
      <c r="Q153" s="28"/>
      <c r="R153" s="28"/>
      <c r="S153" s="28"/>
      <c r="T153" s="28"/>
      <c r="U153" s="28"/>
      <c r="V153" s="28"/>
      <c r="W153" s="28"/>
      <c r="X153" s="28"/>
      <c r="Y153" s="28"/>
      <c r="Z153" s="28"/>
    </row>
    <row r="154" spans="1:26" ht="15.75" customHeight="1" x14ac:dyDescent="0.25">
      <c r="A154" s="9" t="s">
        <v>17</v>
      </c>
      <c r="B154" s="300"/>
      <c r="C154" s="47">
        <v>63.911000000000001</v>
      </c>
      <c r="D154" s="47">
        <v>85</v>
      </c>
      <c r="E154" s="47">
        <v>100</v>
      </c>
      <c r="F154" s="28"/>
      <c r="G154" s="13" t="s">
        <v>13</v>
      </c>
      <c r="H154" s="39">
        <f>+H156+H156*0.1</f>
        <v>710.6</v>
      </c>
      <c r="I154" s="17" t="s">
        <v>1490</v>
      </c>
      <c r="J154" s="13" t="s">
        <v>13</v>
      </c>
      <c r="K154" s="39">
        <f>+K156+K156*0.1</f>
        <v>814</v>
      </c>
      <c r="L154" s="17" t="s">
        <v>1491</v>
      </c>
      <c r="M154" s="28"/>
      <c r="N154" s="28"/>
      <c r="O154" s="28"/>
      <c r="P154" s="28"/>
      <c r="Q154" s="28"/>
      <c r="R154" s="28"/>
      <c r="S154" s="28"/>
      <c r="T154" s="28"/>
      <c r="U154" s="28"/>
      <c r="V154" s="28"/>
      <c r="W154" s="28"/>
      <c r="X154" s="28"/>
      <c r="Y154" s="28"/>
      <c r="Z154" s="28"/>
    </row>
    <row r="155" spans="1:26" ht="15.75" customHeight="1" x14ac:dyDescent="0.25">
      <c r="A155" s="9" t="s">
        <v>26</v>
      </c>
      <c r="B155" s="300"/>
      <c r="C155" s="47">
        <v>69.921999999999997</v>
      </c>
      <c r="D155" s="47">
        <v>110</v>
      </c>
      <c r="E155" s="47">
        <v>121</v>
      </c>
      <c r="F155" s="28"/>
      <c r="G155" s="13" t="s">
        <v>19</v>
      </c>
      <c r="H155" s="40">
        <f>+H156-H156*0.1</f>
        <v>581.4</v>
      </c>
      <c r="I155" s="17" t="s">
        <v>1492</v>
      </c>
      <c r="J155" s="13" t="s">
        <v>19</v>
      </c>
      <c r="K155" s="40">
        <f>+K156-K156*0.1</f>
        <v>666</v>
      </c>
      <c r="L155" s="17" t="s">
        <v>1493</v>
      </c>
      <c r="M155" s="28"/>
      <c r="N155" s="28"/>
      <c r="O155" s="28"/>
      <c r="P155" s="28"/>
      <c r="Q155" s="28"/>
      <c r="R155" s="28"/>
      <c r="S155" s="28"/>
      <c r="T155" s="28"/>
      <c r="U155" s="28"/>
      <c r="V155" s="28"/>
      <c r="W155" s="28"/>
      <c r="X155" s="28"/>
      <c r="Y155" s="28"/>
      <c r="Z155" s="28"/>
    </row>
    <row r="156" spans="1:26" ht="15.75" customHeight="1" x14ac:dyDescent="0.25">
      <c r="A156" s="9" t="s">
        <v>32</v>
      </c>
      <c r="B156" s="300"/>
      <c r="C156" s="47">
        <v>96.744</v>
      </c>
      <c r="D156" s="47">
        <v>98</v>
      </c>
      <c r="E156" s="47">
        <v>99</v>
      </c>
      <c r="F156" s="28"/>
      <c r="G156" s="13" t="s">
        <v>27</v>
      </c>
      <c r="H156" s="20">
        <v>646</v>
      </c>
      <c r="I156" s="17" t="s">
        <v>1495</v>
      </c>
      <c r="J156" s="13" t="s">
        <v>27</v>
      </c>
      <c r="K156" s="20">
        <v>740</v>
      </c>
      <c r="L156" s="17" t="s">
        <v>1496</v>
      </c>
      <c r="M156" s="28"/>
      <c r="N156" s="28"/>
      <c r="O156" s="28"/>
      <c r="P156" s="28"/>
      <c r="Q156" s="28"/>
      <c r="R156" s="28"/>
      <c r="S156" s="28"/>
      <c r="T156" s="28"/>
      <c r="U156" s="28"/>
      <c r="V156" s="28"/>
      <c r="W156" s="28"/>
      <c r="X156" s="28"/>
      <c r="Y156" s="28"/>
      <c r="Z156" s="28"/>
    </row>
    <row r="157" spans="1:26" ht="15.75" customHeight="1" x14ac:dyDescent="0.25">
      <c r="A157" s="9" t="s">
        <v>33</v>
      </c>
      <c r="B157" s="301"/>
      <c r="C157" s="47">
        <v>128.11000000000001</v>
      </c>
      <c r="D157" s="47">
        <v>126</v>
      </c>
      <c r="E157" s="47">
        <v>127</v>
      </c>
      <c r="F157" s="28"/>
      <c r="G157" s="13" t="s">
        <v>121</v>
      </c>
      <c r="H157" s="20">
        <v>636</v>
      </c>
      <c r="I157" s="17" t="s">
        <v>1497</v>
      </c>
      <c r="J157" s="13" t="s">
        <v>121</v>
      </c>
      <c r="K157" s="20">
        <v>745</v>
      </c>
      <c r="L157" s="17" t="s">
        <v>1499</v>
      </c>
      <c r="M157" s="28"/>
      <c r="N157" s="28"/>
      <c r="O157" s="28"/>
      <c r="P157" s="28"/>
      <c r="Q157" s="28"/>
      <c r="R157" s="28"/>
      <c r="S157" s="28"/>
      <c r="T157" s="28"/>
      <c r="U157" s="28"/>
      <c r="V157" s="28"/>
      <c r="W157" s="28"/>
      <c r="X157" s="28"/>
      <c r="Y157" s="28"/>
      <c r="Z157" s="28"/>
    </row>
    <row r="158" spans="1:26" ht="15.75" customHeight="1" x14ac:dyDescent="0.25">
      <c r="A158" s="41"/>
      <c r="B158" s="42"/>
      <c r="C158" s="42"/>
      <c r="D158" s="11"/>
      <c r="E158" s="11"/>
      <c r="F158" s="28"/>
      <c r="G158" s="28"/>
      <c r="H158" s="3"/>
      <c r="I158" s="28"/>
      <c r="J158" s="28"/>
      <c r="K158" s="28"/>
      <c r="L158" s="28"/>
      <c r="M158" s="28"/>
      <c r="N158" s="28"/>
      <c r="O158" s="28"/>
      <c r="P158" s="28"/>
      <c r="Q158" s="28"/>
      <c r="R158" s="28"/>
      <c r="S158" s="28"/>
      <c r="T158" s="28"/>
      <c r="U158" s="28"/>
      <c r="V158" s="28"/>
      <c r="W158" s="28"/>
      <c r="X158" s="28"/>
      <c r="Y158" s="28"/>
      <c r="Z158" s="28"/>
    </row>
    <row r="159" spans="1:26" ht="15.75" customHeight="1" x14ac:dyDescent="0.25">
      <c r="A159" s="9" t="s">
        <v>35</v>
      </c>
      <c r="B159" s="302" t="s">
        <v>36</v>
      </c>
      <c r="C159" s="47">
        <v>207.78</v>
      </c>
      <c r="D159" s="47">
        <v>247</v>
      </c>
      <c r="E159" s="47">
        <v>242</v>
      </c>
      <c r="F159" s="50">
        <v>275</v>
      </c>
      <c r="G159" s="28"/>
      <c r="H159" s="3"/>
      <c r="I159" s="28"/>
      <c r="J159" s="28"/>
      <c r="K159" s="28"/>
      <c r="L159" s="28"/>
      <c r="M159" s="28"/>
      <c r="N159" s="28"/>
      <c r="O159" s="28"/>
      <c r="P159" s="28"/>
      <c r="Q159" s="28"/>
      <c r="R159" s="28"/>
      <c r="S159" s="28"/>
      <c r="T159" s="28"/>
      <c r="U159" s="28"/>
      <c r="V159" s="28"/>
      <c r="W159" s="28"/>
      <c r="X159" s="28"/>
      <c r="Y159" s="28"/>
      <c r="Z159" s="28"/>
    </row>
    <row r="160" spans="1:26" ht="15.75" customHeight="1" x14ac:dyDescent="0.25">
      <c r="A160" s="9" t="s">
        <v>37</v>
      </c>
      <c r="B160" s="300"/>
      <c r="C160" s="47">
        <v>444.11</v>
      </c>
      <c r="D160" s="47">
        <v>383</v>
      </c>
      <c r="E160" s="47">
        <v>386</v>
      </c>
      <c r="F160" s="50">
        <v>382</v>
      </c>
      <c r="G160" s="28"/>
      <c r="H160" s="3"/>
      <c r="I160" s="28"/>
      <c r="J160" s="28"/>
      <c r="K160" s="28"/>
      <c r="L160" s="28"/>
      <c r="M160" s="28"/>
      <c r="N160" s="28"/>
      <c r="O160" s="28"/>
      <c r="P160" s="28"/>
      <c r="Q160" s="28"/>
      <c r="R160" s="28"/>
      <c r="S160" s="28"/>
      <c r="T160" s="28"/>
      <c r="U160" s="28"/>
      <c r="V160" s="28"/>
      <c r="W160" s="28"/>
      <c r="X160" s="28"/>
      <c r="Y160" s="28"/>
      <c r="Z160" s="28"/>
    </row>
    <row r="161" spans="1:26" ht="15.75" customHeight="1" x14ac:dyDescent="0.25">
      <c r="A161" s="9" t="s">
        <v>38</v>
      </c>
      <c r="B161" s="300"/>
      <c r="C161" s="47">
        <v>579.55999999999995</v>
      </c>
      <c r="D161" s="47">
        <v>587</v>
      </c>
      <c r="E161" s="47">
        <v>578</v>
      </c>
      <c r="F161" s="28"/>
      <c r="G161" s="28"/>
      <c r="H161" s="3"/>
      <c r="I161" s="28"/>
      <c r="J161" s="28"/>
      <c r="K161" s="28"/>
      <c r="L161" s="28"/>
      <c r="M161" s="28"/>
      <c r="N161" s="28"/>
      <c r="O161" s="28"/>
      <c r="P161" s="28"/>
      <c r="Q161" s="28"/>
      <c r="R161" s="28"/>
      <c r="S161" s="28"/>
      <c r="T161" s="28"/>
      <c r="U161" s="28"/>
      <c r="V161" s="28"/>
      <c r="W161" s="28"/>
      <c r="X161" s="28"/>
      <c r="Y161" s="28"/>
      <c r="Z161" s="28"/>
    </row>
    <row r="162" spans="1:26" ht="15.75" customHeight="1" x14ac:dyDescent="0.25">
      <c r="A162" s="9" t="s">
        <v>39</v>
      </c>
      <c r="B162" s="300"/>
      <c r="C162" s="47">
        <v>746.22</v>
      </c>
      <c r="D162" s="11">
        <v>770</v>
      </c>
      <c r="E162" s="11"/>
      <c r="F162" s="28">
        <v>593</v>
      </c>
      <c r="G162" s="28">
        <v>751</v>
      </c>
      <c r="H162" s="3"/>
      <c r="I162" s="28"/>
      <c r="J162" s="28"/>
      <c r="K162" s="28"/>
      <c r="L162" s="28"/>
      <c r="M162" s="28"/>
      <c r="N162" s="28"/>
      <c r="O162" s="28"/>
      <c r="P162" s="28"/>
      <c r="Q162" s="28"/>
      <c r="R162" s="28"/>
      <c r="S162" s="28"/>
      <c r="T162" s="28"/>
      <c r="U162" s="28"/>
      <c r="V162" s="28"/>
      <c r="W162" s="28"/>
      <c r="X162" s="28"/>
      <c r="Y162" s="28"/>
      <c r="Z162" s="28"/>
    </row>
    <row r="163" spans="1:26" ht="15.75" customHeight="1" x14ac:dyDescent="0.25">
      <c r="A163" s="49" t="s">
        <v>41</v>
      </c>
      <c r="B163" s="300"/>
      <c r="C163" s="50">
        <v>869.5</v>
      </c>
      <c r="D163" s="50">
        <v>832</v>
      </c>
      <c r="E163" s="50"/>
      <c r="F163" s="28"/>
      <c r="G163" s="127">
        <v>888</v>
      </c>
      <c r="H163" s="3"/>
      <c r="I163" s="28"/>
      <c r="J163" s="28"/>
      <c r="K163" s="28"/>
      <c r="L163" s="28"/>
      <c r="M163" s="28"/>
      <c r="N163" s="28"/>
      <c r="O163" s="28"/>
      <c r="P163" s="28"/>
      <c r="Q163" s="28"/>
      <c r="R163" s="28"/>
      <c r="S163" s="28"/>
      <c r="T163" s="28"/>
      <c r="U163" s="28"/>
      <c r="V163" s="28"/>
      <c r="W163" s="28"/>
      <c r="X163" s="28"/>
      <c r="Y163" s="28"/>
      <c r="Z163" s="28"/>
    </row>
    <row r="164" spans="1:26" ht="15.75" customHeight="1" x14ac:dyDescent="0.25">
      <c r="A164" s="79"/>
      <c r="B164" s="81"/>
      <c r="C164" s="81"/>
      <c r="D164" s="215"/>
      <c r="E164" s="215"/>
      <c r="F164" s="28"/>
      <c r="G164" s="28"/>
      <c r="H164" s="3"/>
      <c r="I164" s="28"/>
      <c r="J164" s="28"/>
      <c r="K164" s="28"/>
      <c r="L164" s="28"/>
      <c r="M164" s="28"/>
      <c r="N164" s="28"/>
      <c r="O164" s="28"/>
      <c r="P164" s="28"/>
      <c r="Q164" s="28"/>
      <c r="R164" s="28"/>
      <c r="S164" s="28"/>
      <c r="T164" s="28"/>
      <c r="U164" s="28"/>
      <c r="V164" s="28"/>
      <c r="W164" s="28"/>
      <c r="X164" s="28"/>
      <c r="Y164" s="28"/>
      <c r="Z164" s="28"/>
    </row>
    <row r="165" spans="1:26" ht="15.75" customHeight="1" x14ac:dyDescent="0.25">
      <c r="A165" s="9" t="s">
        <v>46</v>
      </c>
      <c r="B165" s="299" t="s">
        <v>47</v>
      </c>
      <c r="C165" s="11">
        <v>88.4</v>
      </c>
      <c r="D165" s="47">
        <v>99</v>
      </c>
      <c r="E165" s="47"/>
      <c r="F165" s="28"/>
      <c r="G165" s="28"/>
      <c r="H165" s="3"/>
      <c r="I165" s="28"/>
      <c r="J165" s="28"/>
      <c r="K165" s="28"/>
      <c r="L165" s="28"/>
      <c r="M165" s="28"/>
      <c r="N165" s="28"/>
      <c r="O165" s="28"/>
      <c r="P165" s="28"/>
      <c r="Q165" s="28"/>
      <c r="R165" s="28"/>
      <c r="S165" s="28"/>
      <c r="T165" s="28"/>
      <c r="U165" s="28"/>
      <c r="V165" s="28"/>
      <c r="W165" s="28"/>
      <c r="X165" s="28"/>
      <c r="Y165" s="28"/>
      <c r="Z165" s="28"/>
    </row>
    <row r="166" spans="1:26" ht="15.75" customHeight="1" x14ac:dyDescent="0.25">
      <c r="A166" s="9" t="s">
        <v>48</v>
      </c>
      <c r="B166" s="300"/>
      <c r="C166" s="11">
        <v>94.6</v>
      </c>
      <c r="D166" s="47">
        <v>105</v>
      </c>
      <c r="E166" s="47"/>
      <c r="F166" s="28"/>
      <c r="G166" s="28"/>
      <c r="H166" s="3"/>
      <c r="I166" s="28"/>
      <c r="J166" s="28"/>
      <c r="K166" s="28"/>
      <c r="L166" s="28"/>
      <c r="M166" s="28"/>
      <c r="N166" s="28"/>
      <c r="O166" s="28"/>
      <c r="P166" s="28"/>
      <c r="Q166" s="28"/>
      <c r="R166" s="28"/>
      <c r="S166" s="28"/>
      <c r="T166" s="28"/>
      <c r="U166" s="28"/>
      <c r="V166" s="28"/>
      <c r="W166" s="28"/>
      <c r="X166" s="28"/>
      <c r="Y166" s="28"/>
      <c r="Z166" s="28"/>
    </row>
    <row r="167" spans="1:26" ht="15.75" customHeight="1" x14ac:dyDescent="0.25">
      <c r="A167" s="41"/>
      <c r="B167" s="42"/>
      <c r="C167" s="42"/>
      <c r="D167" s="11"/>
      <c r="E167" s="11"/>
      <c r="F167" s="28"/>
      <c r="G167" s="28"/>
      <c r="H167" s="3"/>
      <c r="I167" s="28"/>
      <c r="J167" s="28"/>
      <c r="K167" s="28"/>
      <c r="L167" s="28"/>
      <c r="M167" s="28"/>
      <c r="N167" s="28"/>
      <c r="O167" s="28"/>
      <c r="P167" s="28"/>
      <c r="Q167" s="28"/>
      <c r="R167" s="28"/>
      <c r="S167" s="28"/>
      <c r="T167" s="28"/>
      <c r="U167" s="28"/>
      <c r="V167" s="28"/>
      <c r="W167" s="28"/>
      <c r="X167" s="28"/>
      <c r="Y167" s="28"/>
      <c r="Z167" s="28"/>
    </row>
    <row r="168" spans="1:26" ht="15.75" customHeight="1" x14ac:dyDescent="0.25">
      <c r="A168" s="9" t="s">
        <v>50</v>
      </c>
      <c r="B168" s="302" t="s">
        <v>51</v>
      </c>
      <c r="C168" s="47">
        <v>271.44</v>
      </c>
      <c r="D168" s="11">
        <v>290</v>
      </c>
      <c r="E168" s="11">
        <v>258</v>
      </c>
      <c r="F168" s="28"/>
      <c r="G168" s="28"/>
      <c r="H168" s="3"/>
      <c r="I168" s="28"/>
      <c r="J168" s="28"/>
      <c r="K168" s="28"/>
      <c r="L168" s="28"/>
      <c r="M168" s="28"/>
      <c r="N168" s="28"/>
      <c r="O168" s="28"/>
      <c r="P168" s="28"/>
      <c r="Q168" s="28"/>
      <c r="R168" s="28"/>
      <c r="S168" s="28"/>
      <c r="T168" s="28"/>
      <c r="U168" s="28"/>
      <c r="V168" s="28"/>
      <c r="W168" s="28"/>
      <c r="X168" s="28"/>
      <c r="Y168" s="28"/>
      <c r="Z168" s="28"/>
    </row>
    <row r="169" spans="1:26" ht="15.75" customHeight="1" x14ac:dyDescent="0.25">
      <c r="A169" s="9" t="s">
        <v>54</v>
      </c>
      <c r="B169" s="300"/>
      <c r="C169" s="47">
        <v>550.22199999999998</v>
      </c>
      <c r="D169" s="11">
        <v>467</v>
      </c>
      <c r="E169" s="11">
        <v>463</v>
      </c>
      <c r="F169" s="28"/>
      <c r="G169" s="28"/>
      <c r="H169" s="3"/>
      <c r="I169" s="28"/>
      <c r="J169" s="28"/>
      <c r="K169" s="28"/>
      <c r="L169" s="28"/>
      <c r="M169" s="28"/>
      <c r="N169" s="28"/>
      <c r="O169" s="28"/>
      <c r="P169" s="28"/>
      <c r="Q169" s="28"/>
      <c r="R169" s="28"/>
      <c r="S169" s="28"/>
      <c r="T169" s="28"/>
      <c r="U169" s="28"/>
      <c r="V169" s="28"/>
      <c r="W169" s="28"/>
      <c r="X169" s="28"/>
      <c r="Y169" s="28"/>
      <c r="Z169" s="28"/>
    </row>
    <row r="170" spans="1:26" ht="15.75" customHeight="1" x14ac:dyDescent="0.25">
      <c r="A170" s="9" t="s">
        <v>55</v>
      </c>
      <c r="B170" s="300"/>
      <c r="C170" s="47">
        <v>746.8</v>
      </c>
      <c r="D170" s="11">
        <v>622</v>
      </c>
      <c r="E170" s="11">
        <v>619</v>
      </c>
      <c r="F170" s="28"/>
      <c r="G170" s="28"/>
      <c r="H170" s="3"/>
      <c r="I170" s="28"/>
      <c r="J170" s="28"/>
      <c r="K170" s="28"/>
      <c r="L170" s="28"/>
      <c r="M170" s="28"/>
      <c r="N170" s="28"/>
      <c r="O170" s="28"/>
      <c r="P170" s="28"/>
      <c r="Q170" s="28"/>
      <c r="R170" s="28"/>
      <c r="S170" s="28"/>
      <c r="T170" s="28"/>
      <c r="U170" s="28"/>
      <c r="V170" s="28"/>
      <c r="W170" s="28"/>
      <c r="X170" s="28"/>
      <c r="Y170" s="28"/>
      <c r="Z170" s="28"/>
    </row>
    <row r="171" spans="1:26" ht="15.75" customHeight="1" x14ac:dyDescent="0.25">
      <c r="A171" s="9" t="s">
        <v>56</v>
      </c>
      <c r="B171" s="300"/>
      <c r="C171" s="47">
        <v>768.33333333333337</v>
      </c>
      <c r="D171" s="11">
        <v>777</v>
      </c>
      <c r="E171" s="11">
        <v>780</v>
      </c>
      <c r="F171" s="28"/>
      <c r="G171" s="28"/>
      <c r="H171" s="3"/>
      <c r="I171" s="28"/>
      <c r="J171" s="28"/>
      <c r="K171" s="28"/>
      <c r="L171" s="28"/>
      <c r="M171" s="28"/>
      <c r="N171" s="28"/>
      <c r="O171" s="28"/>
      <c r="P171" s="28"/>
      <c r="Q171" s="28"/>
      <c r="R171" s="28"/>
      <c r="S171" s="28"/>
      <c r="T171" s="28"/>
      <c r="U171" s="28"/>
      <c r="V171" s="28"/>
      <c r="W171" s="28"/>
      <c r="X171" s="28"/>
      <c r="Y171" s="28"/>
      <c r="Z171" s="28"/>
    </row>
    <row r="172" spans="1:26" ht="15.75" customHeight="1" x14ac:dyDescent="0.25">
      <c r="A172" s="49" t="s">
        <v>57</v>
      </c>
      <c r="B172" s="300"/>
      <c r="C172" s="50">
        <v>609</v>
      </c>
      <c r="D172" s="51">
        <v>643</v>
      </c>
      <c r="E172" s="51">
        <v>728</v>
      </c>
      <c r="F172" s="28"/>
      <c r="G172" s="28"/>
      <c r="H172" s="3"/>
      <c r="I172" s="28"/>
      <c r="J172" s="28"/>
      <c r="K172" s="28"/>
      <c r="L172" s="28"/>
      <c r="M172" s="28"/>
      <c r="N172" s="28"/>
      <c r="O172" s="28"/>
      <c r="P172" s="28"/>
      <c r="Q172" s="28"/>
      <c r="R172" s="28"/>
      <c r="S172" s="28"/>
      <c r="T172" s="28"/>
      <c r="U172" s="28"/>
      <c r="V172" s="28"/>
      <c r="W172" s="28"/>
      <c r="X172" s="28"/>
      <c r="Y172" s="28"/>
      <c r="Z172" s="28"/>
    </row>
    <row r="173" spans="1:26" ht="15.75" customHeight="1" x14ac:dyDescent="0.25">
      <c r="A173" s="79"/>
      <c r="B173" s="81"/>
      <c r="C173" s="81"/>
      <c r="D173" s="215"/>
      <c r="E173" s="215"/>
      <c r="F173" s="28"/>
      <c r="G173" s="28"/>
      <c r="H173" s="3"/>
      <c r="I173" s="28"/>
      <c r="J173" s="28"/>
      <c r="K173" s="28"/>
      <c r="L173" s="28"/>
      <c r="M173" s="28"/>
      <c r="N173" s="28"/>
      <c r="O173" s="28"/>
      <c r="P173" s="28"/>
      <c r="Q173" s="28"/>
      <c r="R173" s="28"/>
      <c r="S173" s="28"/>
      <c r="T173" s="28"/>
      <c r="U173" s="28"/>
      <c r="V173" s="28"/>
      <c r="W173" s="28"/>
      <c r="X173" s="28"/>
      <c r="Y173" s="28"/>
      <c r="Z173" s="28"/>
    </row>
    <row r="174" spans="1:26" ht="15.75" customHeight="1" x14ac:dyDescent="0.25">
      <c r="A174" s="9" t="s">
        <v>60</v>
      </c>
      <c r="B174" s="299" t="s">
        <v>62</v>
      </c>
      <c r="C174" s="47">
        <v>19.741666666666667</v>
      </c>
      <c r="D174" s="53">
        <v>40</v>
      </c>
      <c r="E174" s="53"/>
      <c r="F174" s="28"/>
      <c r="G174" s="28"/>
      <c r="H174" s="3"/>
      <c r="I174" s="28"/>
      <c r="J174" s="28"/>
      <c r="K174" s="28"/>
      <c r="L174" s="28"/>
      <c r="M174" s="28"/>
      <c r="N174" s="28"/>
      <c r="O174" s="28"/>
      <c r="P174" s="28"/>
      <c r="Q174" s="28"/>
      <c r="R174" s="28"/>
      <c r="S174" s="28"/>
      <c r="T174" s="28"/>
      <c r="U174" s="28"/>
      <c r="V174" s="28"/>
      <c r="W174" s="28"/>
      <c r="X174" s="28"/>
      <c r="Y174" s="28"/>
      <c r="Z174" s="28"/>
    </row>
    <row r="175" spans="1:26" ht="15.75" customHeight="1" x14ac:dyDescent="0.25">
      <c r="A175" s="9" t="s">
        <v>65</v>
      </c>
      <c r="B175" s="300"/>
      <c r="C175" s="11">
        <v>42</v>
      </c>
      <c r="D175" s="54">
        <v>52</v>
      </c>
      <c r="E175" s="54"/>
      <c r="F175" s="28"/>
      <c r="G175" s="28"/>
      <c r="H175" s="3"/>
      <c r="I175" s="28"/>
      <c r="J175" s="28"/>
      <c r="K175" s="28"/>
      <c r="L175" s="28"/>
      <c r="M175" s="28"/>
      <c r="N175" s="28"/>
      <c r="O175" s="28"/>
      <c r="P175" s="28"/>
      <c r="Q175" s="28"/>
      <c r="R175" s="28"/>
      <c r="S175" s="28"/>
      <c r="T175" s="28"/>
      <c r="U175" s="28"/>
      <c r="V175" s="28"/>
      <c r="W175" s="28"/>
      <c r="X175" s="28"/>
      <c r="Y175" s="28"/>
      <c r="Z175" s="28"/>
    </row>
    <row r="176" spans="1:26" ht="15.75" customHeight="1" x14ac:dyDescent="0.25">
      <c r="A176" s="9" t="s">
        <v>64</v>
      </c>
      <c r="B176" s="301"/>
      <c r="C176" s="11">
        <v>42</v>
      </c>
      <c r="D176" s="55">
        <v>45</v>
      </c>
      <c r="E176" s="55"/>
      <c r="F176" s="28"/>
      <c r="G176" s="28"/>
      <c r="H176" s="3"/>
      <c r="I176" s="28"/>
      <c r="J176" s="28"/>
      <c r="K176" s="28"/>
      <c r="L176" s="28"/>
      <c r="M176" s="28"/>
      <c r="N176" s="28"/>
      <c r="O176" s="28"/>
      <c r="P176" s="28"/>
      <c r="Q176" s="28"/>
      <c r="R176" s="28"/>
      <c r="S176" s="28"/>
      <c r="T176" s="28"/>
      <c r="U176" s="28"/>
      <c r="V176" s="28"/>
      <c r="W176" s="28"/>
      <c r="X176" s="28"/>
      <c r="Y176" s="28"/>
      <c r="Z176" s="28"/>
    </row>
    <row r="177" spans="1:26" ht="15.75" customHeight="1" x14ac:dyDescent="0.25">
      <c r="A177" s="41"/>
      <c r="B177" s="42"/>
      <c r="C177" s="42"/>
      <c r="D177" s="11"/>
      <c r="E177" s="11"/>
      <c r="F177" s="28"/>
      <c r="G177" s="28"/>
      <c r="H177" s="3"/>
      <c r="I177" s="28"/>
      <c r="J177" s="28"/>
      <c r="K177" s="28"/>
      <c r="L177" s="28"/>
      <c r="M177" s="28"/>
      <c r="N177" s="28"/>
      <c r="O177" s="28"/>
      <c r="P177" s="28"/>
      <c r="Q177" s="28"/>
      <c r="R177" s="28"/>
      <c r="S177" s="28"/>
      <c r="T177" s="28"/>
      <c r="U177" s="28"/>
      <c r="V177" s="28"/>
      <c r="W177" s="28"/>
      <c r="X177" s="28"/>
      <c r="Y177" s="28"/>
      <c r="Z177" s="28"/>
    </row>
    <row r="178" spans="1:26" ht="15.75" customHeight="1" x14ac:dyDescent="0.25">
      <c r="A178" s="9" t="s">
        <v>66</v>
      </c>
      <c r="B178" s="302" t="s">
        <v>68</v>
      </c>
      <c r="C178" s="47">
        <v>204.5</v>
      </c>
      <c r="D178" s="11">
        <v>207</v>
      </c>
      <c r="E178" s="11"/>
      <c r="F178" s="28"/>
      <c r="G178" s="28"/>
      <c r="H178" s="3"/>
      <c r="I178" s="28"/>
      <c r="J178" s="28"/>
      <c r="K178" s="28"/>
      <c r="L178" s="28"/>
      <c r="M178" s="28"/>
      <c r="N178" s="28"/>
      <c r="O178" s="28"/>
      <c r="P178" s="28"/>
      <c r="Q178" s="28"/>
      <c r="R178" s="28"/>
      <c r="S178" s="28"/>
      <c r="T178" s="28"/>
      <c r="U178" s="28"/>
      <c r="V178" s="28"/>
      <c r="W178" s="28"/>
      <c r="X178" s="28"/>
      <c r="Y178" s="28"/>
      <c r="Z178" s="28"/>
    </row>
    <row r="179" spans="1:26" ht="15.75" customHeight="1" x14ac:dyDescent="0.25">
      <c r="A179" s="49" t="s">
        <v>69</v>
      </c>
      <c r="B179" s="300"/>
      <c r="C179" s="50">
        <v>277.7</v>
      </c>
      <c r="D179" s="51">
        <v>272</v>
      </c>
      <c r="E179" s="51"/>
      <c r="F179" s="28"/>
      <c r="G179" s="28"/>
      <c r="H179" s="3"/>
      <c r="I179" s="28"/>
      <c r="J179" s="28"/>
      <c r="K179" s="28"/>
      <c r="L179" s="28"/>
      <c r="M179" s="28"/>
      <c r="N179" s="28"/>
      <c r="O179" s="28"/>
      <c r="P179" s="28"/>
      <c r="Q179" s="28"/>
      <c r="R179" s="28"/>
      <c r="S179" s="28"/>
      <c r="T179" s="28"/>
      <c r="U179" s="28"/>
      <c r="V179" s="28"/>
      <c r="W179" s="28"/>
      <c r="X179" s="28"/>
      <c r="Y179" s="28"/>
      <c r="Z179" s="28"/>
    </row>
    <row r="180" spans="1:26" ht="15.75" customHeight="1" x14ac:dyDescent="0.25">
      <c r="A180" s="44"/>
      <c r="B180" s="46"/>
      <c r="C180" s="46"/>
      <c r="D180" s="216"/>
      <c r="E180" s="216"/>
      <c r="F180" s="28"/>
      <c r="G180" s="28"/>
      <c r="H180" s="3"/>
      <c r="I180" s="28"/>
      <c r="J180" s="28"/>
      <c r="K180" s="28"/>
      <c r="L180" s="28"/>
      <c r="M180" s="28"/>
      <c r="N180" s="28"/>
      <c r="O180" s="28"/>
      <c r="P180" s="28"/>
      <c r="Q180" s="28"/>
      <c r="R180" s="28"/>
      <c r="S180" s="28"/>
      <c r="T180" s="28"/>
      <c r="U180" s="28"/>
      <c r="V180" s="28"/>
      <c r="W180" s="28"/>
      <c r="X180" s="28"/>
      <c r="Y180" s="28"/>
      <c r="Z180" s="28"/>
    </row>
    <row r="181" spans="1:26" ht="15.75" customHeight="1" x14ac:dyDescent="0.25">
      <c r="A181" s="56" t="s">
        <v>69</v>
      </c>
      <c r="B181" s="303" t="s">
        <v>71</v>
      </c>
      <c r="C181" s="47">
        <v>12</v>
      </c>
      <c r="D181" s="11">
        <v>13</v>
      </c>
      <c r="E181" s="11"/>
      <c r="F181" s="28"/>
      <c r="G181" s="28"/>
      <c r="H181" s="3"/>
      <c r="I181" s="28"/>
      <c r="J181" s="28"/>
      <c r="K181" s="28"/>
      <c r="L181" s="28"/>
      <c r="M181" s="28"/>
      <c r="N181" s="28"/>
      <c r="O181" s="28"/>
      <c r="P181" s="28"/>
      <c r="Q181" s="28"/>
      <c r="R181" s="28"/>
      <c r="S181" s="28"/>
      <c r="T181" s="28"/>
      <c r="U181" s="28"/>
      <c r="V181" s="28"/>
      <c r="W181" s="28"/>
      <c r="X181" s="28"/>
      <c r="Y181" s="28"/>
      <c r="Z181" s="28"/>
    </row>
    <row r="182" spans="1:26" ht="15.75" customHeight="1" x14ac:dyDescent="0.25">
      <c r="A182" s="56" t="s">
        <v>72</v>
      </c>
      <c r="B182" s="300"/>
      <c r="C182" s="47">
        <v>14</v>
      </c>
      <c r="D182" s="11">
        <v>16</v>
      </c>
      <c r="E182" s="11"/>
      <c r="F182" s="28"/>
      <c r="G182" s="28"/>
      <c r="H182" s="3"/>
      <c r="I182" s="28"/>
      <c r="J182" s="28"/>
      <c r="K182" s="28"/>
      <c r="L182" s="28"/>
      <c r="M182" s="28"/>
      <c r="N182" s="28"/>
      <c r="O182" s="28"/>
      <c r="P182" s="28"/>
      <c r="Q182" s="28"/>
      <c r="R182" s="28"/>
      <c r="S182" s="28"/>
      <c r="T182" s="28"/>
      <c r="U182" s="28"/>
      <c r="V182" s="28"/>
      <c r="W182" s="28"/>
      <c r="X182" s="28"/>
      <c r="Y182" s="28"/>
      <c r="Z182" s="28"/>
    </row>
    <row r="183" spans="1:26" ht="15.75" customHeight="1" x14ac:dyDescent="0.25">
      <c r="A183" s="56" t="s">
        <v>73</v>
      </c>
      <c r="B183" s="301"/>
      <c r="C183" s="47">
        <v>17.43333333333333</v>
      </c>
      <c r="D183" s="11">
        <v>20</v>
      </c>
      <c r="E183" s="11"/>
      <c r="F183" s="28"/>
      <c r="G183" s="28"/>
      <c r="H183" s="3"/>
      <c r="I183" s="28"/>
      <c r="J183" s="28"/>
      <c r="K183" s="28"/>
      <c r="L183" s="28"/>
      <c r="M183" s="28"/>
      <c r="N183" s="28"/>
      <c r="O183" s="28"/>
      <c r="P183" s="28"/>
      <c r="Q183" s="28"/>
      <c r="R183" s="28"/>
      <c r="S183" s="28"/>
      <c r="T183" s="28"/>
      <c r="U183" s="28"/>
      <c r="V183" s="28"/>
      <c r="W183" s="28"/>
      <c r="X183" s="28"/>
      <c r="Y183" s="28"/>
      <c r="Z183" s="28"/>
    </row>
    <row r="184" spans="1:26" ht="15.75" customHeight="1" x14ac:dyDescent="0.25">
      <c r="A184" s="92"/>
      <c r="B184" s="69"/>
      <c r="C184" s="69"/>
      <c r="D184" s="25"/>
      <c r="E184" s="25"/>
      <c r="F184" s="28"/>
      <c r="G184" s="28"/>
      <c r="H184" s="3"/>
      <c r="I184" s="28"/>
      <c r="J184" s="28"/>
      <c r="K184" s="28"/>
      <c r="L184" s="28"/>
      <c r="M184" s="28"/>
      <c r="N184" s="28"/>
      <c r="O184" s="28"/>
      <c r="P184" s="28"/>
      <c r="Q184" s="28"/>
      <c r="R184" s="28"/>
      <c r="S184" s="28"/>
      <c r="T184" s="28"/>
      <c r="U184" s="28"/>
      <c r="V184" s="28"/>
      <c r="W184" s="28"/>
      <c r="X184" s="28"/>
      <c r="Y184" s="28"/>
      <c r="Z184" s="28"/>
    </row>
    <row r="185" spans="1:26" ht="15.75" customHeight="1" x14ac:dyDescent="0.25">
      <c r="A185" s="56" t="s">
        <v>80</v>
      </c>
      <c r="B185" s="309" t="s">
        <v>77</v>
      </c>
      <c r="C185" s="47">
        <v>117</v>
      </c>
      <c r="D185" s="11">
        <v>132</v>
      </c>
      <c r="E185" s="11"/>
      <c r="F185" s="28"/>
      <c r="G185" s="28"/>
      <c r="H185" s="3"/>
      <c r="I185" s="28"/>
      <c r="J185" s="28"/>
      <c r="K185" s="28"/>
      <c r="L185" s="28"/>
      <c r="M185" s="28"/>
      <c r="N185" s="28"/>
      <c r="O185" s="28"/>
      <c r="P185" s="28"/>
      <c r="Q185" s="28"/>
      <c r="R185" s="28"/>
      <c r="S185" s="28"/>
      <c r="T185" s="28"/>
      <c r="U185" s="28"/>
      <c r="V185" s="28"/>
      <c r="W185" s="28"/>
      <c r="X185" s="28"/>
      <c r="Y185" s="28"/>
      <c r="Z185" s="28"/>
    </row>
    <row r="186" spans="1:26" ht="15.75" customHeight="1" x14ac:dyDescent="0.25">
      <c r="A186" s="56" t="s">
        <v>78</v>
      </c>
      <c r="B186" s="300"/>
      <c r="C186" s="47">
        <v>188</v>
      </c>
      <c r="D186" s="11">
        <v>192</v>
      </c>
      <c r="E186" s="11"/>
      <c r="F186" s="28"/>
      <c r="G186" s="28"/>
      <c r="H186" s="3"/>
      <c r="I186" s="28"/>
      <c r="J186" s="28"/>
      <c r="K186" s="28"/>
      <c r="L186" s="28"/>
      <c r="M186" s="28"/>
      <c r="N186" s="28"/>
      <c r="O186" s="28"/>
      <c r="P186" s="28"/>
      <c r="Q186" s="28"/>
      <c r="R186" s="28"/>
      <c r="S186" s="28"/>
      <c r="T186" s="28"/>
      <c r="U186" s="28"/>
      <c r="V186" s="28"/>
      <c r="W186" s="28"/>
      <c r="X186" s="28"/>
      <c r="Y186" s="28"/>
      <c r="Z186" s="28"/>
    </row>
    <row r="187" spans="1:26" ht="15.75" customHeight="1" x14ac:dyDescent="0.25">
      <c r="A187" s="56" t="s">
        <v>76</v>
      </c>
      <c r="B187" s="300"/>
      <c r="C187" s="47">
        <v>218</v>
      </c>
      <c r="D187" s="11">
        <v>219</v>
      </c>
      <c r="E187" s="11"/>
      <c r="F187" s="28"/>
      <c r="G187" s="28"/>
      <c r="H187" s="3"/>
      <c r="I187" s="28"/>
      <c r="J187" s="28"/>
      <c r="K187" s="28"/>
      <c r="L187" s="28"/>
      <c r="M187" s="28"/>
      <c r="N187" s="28"/>
      <c r="O187" s="28"/>
      <c r="P187" s="28"/>
      <c r="Q187" s="28"/>
      <c r="R187" s="28"/>
      <c r="S187" s="28"/>
      <c r="T187" s="28"/>
      <c r="U187" s="28"/>
      <c r="V187" s="28"/>
      <c r="W187" s="28"/>
      <c r="X187" s="28"/>
      <c r="Y187" s="28"/>
      <c r="Z187" s="28"/>
    </row>
    <row r="188" spans="1:26" ht="15.75" customHeight="1" x14ac:dyDescent="0.25">
      <c r="A188" s="57" t="s">
        <v>79</v>
      </c>
      <c r="B188" s="300"/>
      <c r="C188" s="50">
        <v>239</v>
      </c>
      <c r="D188" s="51">
        <v>238</v>
      </c>
      <c r="E188" s="51"/>
      <c r="F188" s="28"/>
      <c r="G188" s="28"/>
      <c r="H188" s="3"/>
      <c r="I188" s="28"/>
      <c r="J188" s="28"/>
      <c r="K188" s="28"/>
      <c r="L188" s="28"/>
      <c r="M188" s="28"/>
      <c r="N188" s="28"/>
      <c r="O188" s="28"/>
      <c r="P188" s="28"/>
      <c r="Q188" s="28"/>
      <c r="R188" s="28"/>
      <c r="S188" s="28"/>
      <c r="T188" s="28"/>
      <c r="U188" s="28"/>
      <c r="V188" s="28"/>
      <c r="W188" s="28"/>
      <c r="X188" s="28"/>
      <c r="Y188" s="28"/>
      <c r="Z188" s="28"/>
    </row>
    <row r="189" spans="1:26" ht="15.75" customHeight="1" x14ac:dyDescent="0.25">
      <c r="A189" s="44"/>
      <c r="B189" s="46"/>
      <c r="C189" s="46"/>
      <c r="D189" s="216"/>
      <c r="E189" s="216"/>
      <c r="F189" s="28"/>
      <c r="G189" s="28"/>
      <c r="H189" s="3"/>
      <c r="I189" s="28"/>
      <c r="J189" s="28"/>
      <c r="K189" s="28"/>
      <c r="L189" s="28"/>
      <c r="M189" s="28"/>
      <c r="N189" s="28"/>
      <c r="O189" s="28"/>
      <c r="P189" s="28"/>
      <c r="Q189" s="28"/>
      <c r="R189" s="28"/>
      <c r="S189" s="28"/>
      <c r="T189" s="28"/>
      <c r="U189" s="28"/>
      <c r="V189" s="28"/>
      <c r="W189" s="28"/>
      <c r="X189" s="28"/>
      <c r="Y189" s="28"/>
      <c r="Z189" s="28"/>
    </row>
    <row r="190" spans="1:26" ht="15.75" customHeight="1" x14ac:dyDescent="0.25">
      <c r="A190" s="9" t="s">
        <v>81</v>
      </c>
      <c r="B190" s="299" t="s">
        <v>82</v>
      </c>
      <c r="C190" s="11">
        <v>2</v>
      </c>
      <c r="D190" s="11">
        <v>7</v>
      </c>
      <c r="E190" s="11"/>
      <c r="F190" s="28"/>
      <c r="G190" s="28"/>
      <c r="H190" s="3"/>
      <c r="I190" s="28"/>
      <c r="J190" s="28"/>
      <c r="K190" s="28"/>
      <c r="L190" s="28"/>
      <c r="M190" s="28"/>
      <c r="N190" s="28"/>
      <c r="O190" s="28"/>
      <c r="P190" s="28"/>
      <c r="Q190" s="28"/>
      <c r="R190" s="28"/>
      <c r="S190" s="28"/>
      <c r="T190" s="28"/>
      <c r="U190" s="28"/>
      <c r="V190" s="28"/>
      <c r="W190" s="28"/>
      <c r="X190" s="28"/>
      <c r="Y190" s="28"/>
      <c r="Z190" s="28"/>
    </row>
    <row r="191" spans="1:26" ht="15.75" customHeight="1" x14ac:dyDescent="0.25">
      <c r="A191" s="9" t="s">
        <v>83</v>
      </c>
      <c r="B191" s="300"/>
      <c r="C191" s="11">
        <v>6</v>
      </c>
      <c r="D191" s="11">
        <v>8</v>
      </c>
      <c r="E191" s="11"/>
      <c r="F191" s="28"/>
      <c r="G191" s="28"/>
      <c r="H191" s="3"/>
      <c r="I191" s="28"/>
      <c r="J191" s="28"/>
      <c r="K191" s="28"/>
      <c r="L191" s="28"/>
      <c r="M191" s="28"/>
      <c r="N191" s="28"/>
      <c r="O191" s="28"/>
      <c r="P191" s="28"/>
      <c r="Q191" s="28"/>
      <c r="R191" s="28"/>
      <c r="S191" s="28"/>
      <c r="T191" s="28"/>
      <c r="U191" s="28"/>
      <c r="V191" s="28"/>
      <c r="W191" s="28"/>
      <c r="X191" s="28"/>
      <c r="Y191" s="28"/>
      <c r="Z191" s="28"/>
    </row>
    <row r="192" spans="1:26" ht="15.75" customHeight="1" x14ac:dyDescent="0.25">
      <c r="A192" s="9" t="s">
        <v>155</v>
      </c>
      <c r="B192" s="301"/>
      <c r="C192" s="47">
        <v>4.1066666666666665</v>
      </c>
      <c r="D192" s="11">
        <v>8</v>
      </c>
      <c r="E192" s="11"/>
      <c r="F192" s="28"/>
      <c r="G192" s="28"/>
      <c r="H192" s="3"/>
      <c r="I192" s="28"/>
      <c r="J192" s="28"/>
      <c r="K192" s="28"/>
      <c r="L192" s="28"/>
      <c r="M192" s="28"/>
      <c r="N192" s="28"/>
      <c r="O192" s="28"/>
      <c r="P192" s="28"/>
      <c r="Q192" s="28"/>
      <c r="R192" s="28"/>
      <c r="S192" s="28"/>
      <c r="T192" s="28"/>
      <c r="U192" s="28"/>
      <c r="V192" s="28"/>
      <c r="W192" s="28"/>
      <c r="X192" s="28"/>
      <c r="Y192" s="28"/>
      <c r="Z192" s="28"/>
    </row>
    <row r="193" spans="1:26" ht="15.75" customHeight="1" x14ac:dyDescent="0.25">
      <c r="A193" s="41"/>
      <c r="B193" s="42"/>
      <c r="C193" s="42"/>
      <c r="D193" s="201"/>
      <c r="E193" s="201"/>
      <c r="F193" s="28"/>
      <c r="G193" s="28"/>
      <c r="H193" s="3"/>
      <c r="I193" s="28"/>
      <c r="J193" s="28"/>
      <c r="K193" s="28"/>
      <c r="L193" s="28"/>
      <c r="M193" s="28"/>
      <c r="N193" s="28"/>
      <c r="O193" s="28"/>
      <c r="P193" s="28"/>
      <c r="Q193" s="28"/>
      <c r="R193" s="28"/>
      <c r="S193" s="28"/>
      <c r="T193" s="28"/>
      <c r="U193" s="28"/>
      <c r="V193" s="28"/>
      <c r="W193" s="28"/>
      <c r="X193" s="28"/>
      <c r="Y193" s="28"/>
      <c r="Z193" s="28"/>
    </row>
    <row r="194" spans="1:26" ht="15.75" customHeight="1" x14ac:dyDescent="0.25">
      <c r="A194" s="9" t="s">
        <v>86</v>
      </c>
      <c r="B194" s="302" t="s">
        <v>87</v>
      </c>
      <c r="C194" s="11">
        <v>19</v>
      </c>
      <c r="D194" s="11">
        <v>22</v>
      </c>
      <c r="E194" s="11"/>
      <c r="F194" s="28"/>
      <c r="G194" s="28"/>
      <c r="H194" s="3"/>
      <c r="I194" s="28"/>
      <c r="J194" s="28"/>
      <c r="K194" s="28"/>
      <c r="L194" s="28"/>
      <c r="M194" s="28"/>
      <c r="N194" s="28"/>
      <c r="O194" s="28"/>
      <c r="P194" s="28"/>
      <c r="Q194" s="28"/>
      <c r="R194" s="28"/>
      <c r="S194" s="28"/>
      <c r="T194" s="28"/>
      <c r="U194" s="28"/>
      <c r="V194" s="28"/>
      <c r="W194" s="28"/>
      <c r="X194" s="28"/>
      <c r="Y194" s="28"/>
      <c r="Z194" s="28"/>
    </row>
    <row r="195" spans="1:26" ht="15.75" customHeight="1" x14ac:dyDescent="0.25">
      <c r="A195" s="49" t="s">
        <v>88</v>
      </c>
      <c r="B195" s="300"/>
      <c r="C195" s="51">
        <v>20</v>
      </c>
      <c r="D195" s="51">
        <v>23</v>
      </c>
      <c r="E195" s="51"/>
      <c r="F195" s="28"/>
      <c r="G195" s="28"/>
      <c r="H195" s="3"/>
      <c r="I195" s="28"/>
      <c r="J195" s="28"/>
      <c r="K195" s="28"/>
      <c r="L195" s="28"/>
      <c r="M195" s="28"/>
      <c r="N195" s="28"/>
      <c r="O195" s="28"/>
      <c r="P195" s="28"/>
      <c r="Q195" s="28"/>
      <c r="R195" s="28"/>
      <c r="S195" s="28"/>
      <c r="T195" s="28"/>
      <c r="U195" s="28"/>
      <c r="V195" s="28"/>
      <c r="W195" s="28"/>
      <c r="X195" s="28"/>
      <c r="Y195" s="28"/>
      <c r="Z195" s="28"/>
    </row>
    <row r="196" spans="1:26" ht="15.75" customHeight="1" x14ac:dyDescent="0.25">
      <c r="A196" s="44"/>
      <c r="B196" s="46"/>
      <c r="C196" s="46"/>
      <c r="D196" s="216"/>
      <c r="E196" s="216"/>
      <c r="F196" s="28"/>
      <c r="G196" s="28"/>
      <c r="H196" s="3"/>
      <c r="I196" s="28"/>
      <c r="J196" s="28"/>
      <c r="K196" s="28"/>
      <c r="L196" s="28"/>
      <c r="M196" s="28"/>
      <c r="N196" s="28"/>
      <c r="O196" s="28"/>
      <c r="P196" s="28"/>
      <c r="Q196" s="28"/>
      <c r="R196" s="28"/>
      <c r="S196" s="28"/>
      <c r="T196" s="28"/>
      <c r="U196" s="28"/>
      <c r="V196" s="28"/>
      <c r="W196" s="28"/>
      <c r="X196" s="28"/>
      <c r="Y196" s="28"/>
      <c r="Z196" s="28"/>
    </row>
    <row r="197" spans="1:26" ht="15.75" customHeight="1" x14ac:dyDescent="0.25">
      <c r="A197" s="9" t="s">
        <v>89</v>
      </c>
      <c r="B197" s="299" t="s">
        <v>90</v>
      </c>
      <c r="C197" s="11">
        <v>6</v>
      </c>
      <c r="D197" s="11">
        <v>16</v>
      </c>
      <c r="E197" s="11"/>
      <c r="F197" s="28"/>
      <c r="G197" s="28"/>
      <c r="H197" s="3"/>
      <c r="I197" s="28"/>
      <c r="J197" s="28"/>
      <c r="K197" s="28"/>
      <c r="L197" s="28"/>
      <c r="M197" s="28"/>
      <c r="N197" s="28"/>
      <c r="O197" s="28"/>
      <c r="P197" s="28"/>
      <c r="Q197" s="28"/>
      <c r="R197" s="28"/>
      <c r="S197" s="28"/>
      <c r="T197" s="28"/>
      <c r="U197" s="28"/>
      <c r="V197" s="28"/>
      <c r="W197" s="28"/>
      <c r="X197" s="28"/>
      <c r="Y197" s="28"/>
      <c r="Z197" s="28"/>
    </row>
    <row r="198" spans="1:26" ht="15.75" customHeight="1" x14ac:dyDescent="0.25">
      <c r="A198" s="9" t="s">
        <v>91</v>
      </c>
      <c r="B198" s="300"/>
      <c r="C198" s="11">
        <v>17</v>
      </c>
      <c r="D198" s="11">
        <v>30</v>
      </c>
      <c r="E198" s="11"/>
      <c r="F198" s="28"/>
      <c r="G198" s="28"/>
      <c r="H198" s="3"/>
      <c r="I198" s="28"/>
      <c r="J198" s="28"/>
      <c r="K198" s="28"/>
      <c r="L198" s="28"/>
      <c r="M198" s="28"/>
      <c r="N198" s="28"/>
      <c r="O198" s="28"/>
      <c r="P198" s="28"/>
      <c r="Q198" s="28"/>
      <c r="R198" s="28"/>
      <c r="S198" s="28"/>
      <c r="T198" s="28"/>
      <c r="U198" s="28"/>
      <c r="V198" s="28"/>
      <c r="W198" s="28"/>
      <c r="X198" s="28"/>
      <c r="Y198" s="28"/>
      <c r="Z198" s="28"/>
    </row>
    <row r="199" spans="1:26" ht="15.75" customHeight="1" x14ac:dyDescent="0.25">
      <c r="A199" s="49" t="s">
        <v>92</v>
      </c>
      <c r="B199" s="300"/>
      <c r="C199" s="51"/>
      <c r="D199" s="11"/>
      <c r="E199" s="11"/>
      <c r="F199" s="28"/>
      <c r="G199" s="28"/>
      <c r="H199" s="3"/>
      <c r="I199" s="28"/>
      <c r="J199" s="28"/>
      <c r="K199" s="28"/>
      <c r="L199" s="28"/>
      <c r="M199" s="28"/>
      <c r="N199" s="28"/>
      <c r="O199" s="28"/>
      <c r="P199" s="28"/>
      <c r="Q199" s="28"/>
      <c r="R199" s="28"/>
      <c r="S199" s="28"/>
      <c r="T199" s="28"/>
      <c r="U199" s="28"/>
      <c r="V199" s="28"/>
      <c r="W199" s="28"/>
      <c r="X199" s="28"/>
      <c r="Y199" s="28"/>
      <c r="Z199" s="28"/>
    </row>
    <row r="200" spans="1:26" ht="15.75" customHeight="1" x14ac:dyDescent="0.25">
      <c r="A200" s="41"/>
      <c r="B200" s="42"/>
      <c r="C200" s="42"/>
      <c r="D200" s="201"/>
      <c r="E200" s="201"/>
      <c r="F200" s="28"/>
      <c r="G200" s="28"/>
      <c r="H200" s="3"/>
      <c r="I200" s="28"/>
      <c r="J200" s="28"/>
      <c r="K200" s="28"/>
      <c r="L200" s="28"/>
      <c r="M200" s="28"/>
      <c r="N200" s="28"/>
      <c r="O200" s="28"/>
      <c r="P200" s="28"/>
      <c r="Q200" s="28"/>
      <c r="R200" s="28"/>
      <c r="S200" s="28"/>
      <c r="T200" s="28"/>
      <c r="U200" s="28"/>
      <c r="V200" s="28"/>
      <c r="W200" s="28"/>
      <c r="X200" s="28"/>
      <c r="Y200" s="28"/>
      <c r="Z200" s="28"/>
    </row>
    <row r="201" spans="1:26" ht="15.75" customHeight="1" x14ac:dyDescent="0.25">
      <c r="A201" s="9" t="s">
        <v>94</v>
      </c>
      <c r="B201" s="299" t="s">
        <v>95</v>
      </c>
      <c r="C201" s="47">
        <v>49.666666666666664</v>
      </c>
      <c r="D201" s="11">
        <v>129</v>
      </c>
      <c r="E201" s="11"/>
      <c r="F201" s="28"/>
      <c r="G201" s="28"/>
      <c r="H201" s="3"/>
      <c r="I201" s="28"/>
      <c r="J201" s="28"/>
      <c r="K201" s="28"/>
      <c r="L201" s="28"/>
      <c r="M201" s="28"/>
      <c r="N201" s="28"/>
      <c r="O201" s="28"/>
      <c r="P201" s="28"/>
      <c r="Q201" s="28"/>
      <c r="R201" s="28"/>
      <c r="S201" s="28"/>
      <c r="T201" s="28"/>
      <c r="U201" s="28"/>
      <c r="V201" s="28"/>
      <c r="W201" s="28"/>
      <c r="X201" s="28"/>
      <c r="Y201" s="28"/>
      <c r="Z201" s="28"/>
    </row>
    <row r="202" spans="1:26" ht="15.75" customHeight="1" x14ac:dyDescent="0.25">
      <c r="A202" s="9" t="s">
        <v>96</v>
      </c>
      <c r="B202" s="300"/>
      <c r="C202" s="47">
        <v>130</v>
      </c>
      <c r="D202" s="11">
        <v>152</v>
      </c>
      <c r="E202" s="11"/>
      <c r="F202" s="28"/>
      <c r="G202" s="28"/>
      <c r="H202" s="3"/>
      <c r="I202" s="28"/>
      <c r="J202" s="28"/>
      <c r="K202" s="28"/>
      <c r="L202" s="28"/>
      <c r="M202" s="28"/>
      <c r="N202" s="28"/>
      <c r="O202" s="28"/>
      <c r="P202" s="28"/>
      <c r="Q202" s="28"/>
      <c r="R202" s="28"/>
      <c r="S202" s="28"/>
      <c r="T202" s="28"/>
      <c r="U202" s="28"/>
      <c r="V202" s="28"/>
      <c r="W202" s="28"/>
      <c r="X202" s="28"/>
      <c r="Y202" s="28"/>
      <c r="Z202" s="28"/>
    </row>
    <row r="203" spans="1:26" ht="15.75" customHeight="1" x14ac:dyDescent="0.25">
      <c r="A203" s="9" t="s">
        <v>97</v>
      </c>
      <c r="B203" s="300"/>
      <c r="C203" s="47">
        <v>122</v>
      </c>
      <c r="D203" s="11">
        <v>137</v>
      </c>
      <c r="E203" s="11"/>
      <c r="F203" s="28"/>
      <c r="G203" s="28"/>
      <c r="H203" s="3"/>
      <c r="I203" s="28"/>
      <c r="J203" s="28"/>
      <c r="K203" s="28"/>
      <c r="L203" s="28"/>
      <c r="M203" s="28"/>
      <c r="N203" s="28"/>
      <c r="O203" s="28"/>
      <c r="P203" s="28"/>
      <c r="Q203" s="28"/>
      <c r="R203" s="28"/>
      <c r="S203" s="28"/>
      <c r="T203" s="28"/>
      <c r="U203" s="28"/>
      <c r="V203" s="28"/>
      <c r="W203" s="28"/>
      <c r="X203" s="28"/>
      <c r="Y203" s="28"/>
      <c r="Z203" s="28"/>
    </row>
    <row r="204" spans="1:26" ht="15.75" customHeight="1" x14ac:dyDescent="0.25">
      <c r="A204" s="9" t="s">
        <v>98</v>
      </c>
      <c r="B204" s="300"/>
      <c r="C204" s="47">
        <v>142</v>
      </c>
      <c r="D204" s="11">
        <v>161</v>
      </c>
      <c r="E204" s="11"/>
      <c r="F204" s="28"/>
      <c r="G204" s="28"/>
      <c r="H204" s="3"/>
      <c r="I204" s="28"/>
      <c r="J204" s="28"/>
      <c r="K204" s="28"/>
      <c r="L204" s="28"/>
      <c r="M204" s="28"/>
      <c r="N204" s="28"/>
      <c r="O204" s="28"/>
      <c r="P204" s="28"/>
      <c r="Q204" s="28"/>
      <c r="R204" s="28"/>
      <c r="S204" s="28"/>
      <c r="T204" s="28"/>
      <c r="U204" s="28"/>
      <c r="V204" s="28"/>
      <c r="W204" s="28"/>
      <c r="X204" s="28"/>
      <c r="Y204" s="28"/>
      <c r="Z204" s="28"/>
    </row>
    <row r="205" spans="1:26" ht="15.75" customHeight="1" x14ac:dyDescent="0.25">
      <c r="A205" s="9" t="s">
        <v>99</v>
      </c>
      <c r="B205" s="301"/>
      <c r="C205" s="47">
        <v>146</v>
      </c>
      <c r="D205" s="11">
        <v>174</v>
      </c>
      <c r="E205" s="11"/>
      <c r="F205" s="28"/>
      <c r="G205" s="28"/>
      <c r="H205" s="3"/>
      <c r="I205" s="28"/>
      <c r="J205" s="28"/>
      <c r="K205" s="28"/>
      <c r="L205" s="28"/>
      <c r="M205" s="28"/>
      <c r="N205" s="28"/>
      <c r="O205" s="28"/>
      <c r="P205" s="28"/>
      <c r="Q205" s="28"/>
      <c r="R205" s="28"/>
      <c r="S205" s="28"/>
      <c r="T205" s="28"/>
      <c r="U205" s="28"/>
      <c r="V205" s="28"/>
      <c r="W205" s="28"/>
      <c r="X205" s="28"/>
      <c r="Y205" s="28"/>
      <c r="Z205" s="28"/>
    </row>
    <row r="206" spans="1:26" ht="15.75" customHeight="1" x14ac:dyDescent="0.2"/>
    <row r="207" spans="1:26" ht="15.75" customHeight="1" x14ac:dyDescent="0.2"/>
    <row r="208" spans="1:26"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70">
    <mergeCell ref="A46:E46"/>
    <mergeCell ref="L64:Q64"/>
    <mergeCell ref="S64:W64"/>
    <mergeCell ref="G65:J65"/>
    <mergeCell ref="L65:Q66"/>
    <mergeCell ref="G66:J66"/>
    <mergeCell ref="S65:W65"/>
    <mergeCell ref="A66:E66"/>
    <mergeCell ref="A33:E33"/>
    <mergeCell ref="B34:B36"/>
    <mergeCell ref="B38:B41"/>
    <mergeCell ref="A42:E42"/>
    <mergeCell ref="B43:B45"/>
    <mergeCell ref="B181:B183"/>
    <mergeCell ref="A4:E4"/>
    <mergeCell ref="G5:L5"/>
    <mergeCell ref="B6:B10"/>
    <mergeCell ref="G6:I6"/>
    <mergeCell ref="J6:L6"/>
    <mergeCell ref="A11:D11"/>
    <mergeCell ref="A17:E17"/>
    <mergeCell ref="B12:B16"/>
    <mergeCell ref="B18:B19"/>
    <mergeCell ref="A20:D20"/>
    <mergeCell ref="B21:B25"/>
    <mergeCell ref="A26:E26"/>
    <mergeCell ref="B27:B29"/>
    <mergeCell ref="A30:D30"/>
    <mergeCell ref="B31:B32"/>
    <mergeCell ref="B159:B163"/>
    <mergeCell ref="B165:B166"/>
    <mergeCell ref="B168:B172"/>
    <mergeCell ref="B174:B176"/>
    <mergeCell ref="B178:B179"/>
    <mergeCell ref="B185:B188"/>
    <mergeCell ref="B190:B192"/>
    <mergeCell ref="B194:B195"/>
    <mergeCell ref="B197:B199"/>
    <mergeCell ref="B201:B205"/>
    <mergeCell ref="G153:I153"/>
    <mergeCell ref="J153:L153"/>
    <mergeCell ref="B109:B113"/>
    <mergeCell ref="B115:B117"/>
    <mergeCell ref="B119:B120"/>
    <mergeCell ref="B122:B124"/>
    <mergeCell ref="B126:B129"/>
    <mergeCell ref="B131:B133"/>
    <mergeCell ref="B135:B136"/>
    <mergeCell ref="B153:B157"/>
    <mergeCell ref="B100:B104"/>
    <mergeCell ref="B106:B107"/>
    <mergeCell ref="B138:B140"/>
    <mergeCell ref="B142:B146"/>
    <mergeCell ref="G152:L152"/>
    <mergeCell ref="A92:E92"/>
    <mergeCell ref="G93:L93"/>
    <mergeCell ref="B94:B98"/>
    <mergeCell ref="G94:I94"/>
    <mergeCell ref="J94:L94"/>
    <mergeCell ref="S72:W74"/>
    <mergeCell ref="L74:Q75"/>
    <mergeCell ref="B47:B48"/>
    <mergeCell ref="A49:E49"/>
    <mergeCell ref="B50:B52"/>
    <mergeCell ref="A53:E53"/>
    <mergeCell ref="B54:B58"/>
    <mergeCell ref="A61:Y61"/>
    <mergeCell ref="Y62:Y83"/>
    <mergeCell ref="G70:J70"/>
    <mergeCell ref="A71:E71"/>
  </mergeCells>
  <pageMargins left="0.7" right="0.7" top="0.75" bottom="0.75" header="0" footer="0"/>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Y1000"/>
  <sheetViews>
    <sheetView workbookViewId="0"/>
  </sheetViews>
  <sheetFormatPr baseColWidth="10" defaultColWidth="12.625" defaultRowHeight="15" customHeight="1" x14ac:dyDescent="0.2"/>
  <cols>
    <col min="1" max="1" width="10" customWidth="1"/>
    <col min="2" max="2" width="14.625" customWidth="1"/>
    <col min="3" max="26" width="10" customWidth="1"/>
  </cols>
  <sheetData>
    <row r="1" spans="1:25" x14ac:dyDescent="0.25">
      <c r="A1" s="345"/>
      <c r="B1" s="297"/>
      <c r="C1" s="297"/>
      <c r="D1" s="297"/>
      <c r="E1" s="297"/>
      <c r="F1" s="297"/>
      <c r="G1" s="297"/>
      <c r="H1" s="297"/>
      <c r="I1" s="297"/>
      <c r="J1" s="297"/>
      <c r="K1" s="297"/>
      <c r="L1" s="297"/>
      <c r="M1" s="297"/>
      <c r="N1" s="297"/>
      <c r="O1" s="297"/>
      <c r="P1" s="297"/>
      <c r="Q1" s="297"/>
      <c r="R1" s="297"/>
      <c r="S1" s="297"/>
      <c r="T1" s="297"/>
      <c r="U1" s="297"/>
      <c r="V1" s="297"/>
      <c r="W1" s="297"/>
      <c r="X1" s="297"/>
      <c r="Y1" s="298"/>
    </row>
    <row r="2" spans="1:25" ht="18.75" x14ac:dyDescent="0.3">
      <c r="A2" s="161" t="s">
        <v>353</v>
      </c>
      <c r="B2" s="163" t="s">
        <v>1473</v>
      </c>
      <c r="Y2" s="346"/>
    </row>
    <row r="3" spans="1:25" ht="18.75" x14ac:dyDescent="0.3">
      <c r="A3" s="164" t="s">
        <v>360</v>
      </c>
      <c r="B3" s="165">
        <v>43172</v>
      </c>
      <c r="Y3" s="300"/>
    </row>
    <row r="4" spans="1:25" ht="18.75" x14ac:dyDescent="0.3">
      <c r="L4" s="320" t="s">
        <v>153</v>
      </c>
      <c r="M4" s="297"/>
      <c r="N4" s="297"/>
      <c r="O4" s="297"/>
      <c r="P4" s="297"/>
      <c r="Q4" s="298"/>
      <c r="S4" s="321" t="s">
        <v>154</v>
      </c>
      <c r="T4" s="322"/>
      <c r="U4" s="322"/>
      <c r="V4" s="322"/>
      <c r="W4" s="323"/>
      <c r="Y4" s="300"/>
    </row>
    <row r="5" spans="1:25" ht="36" x14ac:dyDescent="0.2">
      <c r="A5" s="156" t="s">
        <v>0</v>
      </c>
      <c r="B5" s="157" t="s">
        <v>1</v>
      </c>
      <c r="C5" s="157" t="s">
        <v>42</v>
      </c>
      <c r="D5" s="157" t="s">
        <v>43</v>
      </c>
      <c r="E5" s="157" t="s">
        <v>44</v>
      </c>
      <c r="G5" s="296" t="s">
        <v>45</v>
      </c>
      <c r="H5" s="297"/>
      <c r="I5" s="297"/>
      <c r="J5" s="298"/>
      <c r="L5" s="311" t="s">
        <v>157</v>
      </c>
      <c r="M5" s="312"/>
      <c r="N5" s="312"/>
      <c r="O5" s="312"/>
      <c r="P5" s="312"/>
      <c r="Q5" s="313"/>
      <c r="S5" s="325" t="s">
        <v>157</v>
      </c>
      <c r="T5" s="297"/>
      <c r="U5" s="297"/>
      <c r="V5" s="297"/>
      <c r="W5" s="298"/>
      <c r="Y5" s="300"/>
    </row>
    <row r="6" spans="1:25" ht="45" x14ac:dyDescent="0.2">
      <c r="A6" s="310" t="s">
        <v>8</v>
      </c>
      <c r="B6" s="297"/>
      <c r="C6" s="297"/>
      <c r="D6" s="297"/>
      <c r="E6" s="298"/>
      <c r="G6" s="305" t="s">
        <v>10</v>
      </c>
      <c r="H6" s="297"/>
      <c r="I6" s="297"/>
      <c r="J6" s="298"/>
      <c r="L6" s="317"/>
      <c r="M6" s="318"/>
      <c r="N6" s="318"/>
      <c r="O6" s="318"/>
      <c r="P6" s="318"/>
      <c r="Q6" s="319"/>
      <c r="S6" s="58" t="s">
        <v>160</v>
      </c>
      <c r="T6" s="59" t="s">
        <v>161</v>
      </c>
      <c r="U6" s="59" t="s">
        <v>162</v>
      </c>
      <c r="V6" s="61" t="s">
        <v>163</v>
      </c>
      <c r="W6" s="62" t="s">
        <v>165</v>
      </c>
      <c r="Y6" s="300"/>
    </row>
    <row r="7" spans="1:25" x14ac:dyDescent="0.25">
      <c r="A7" s="9" t="s">
        <v>11</v>
      </c>
      <c r="B7" s="9" t="s">
        <v>12</v>
      </c>
      <c r="C7" s="11">
        <v>520</v>
      </c>
      <c r="D7" s="22">
        <v>521</v>
      </c>
      <c r="E7" s="11">
        <v>487</v>
      </c>
      <c r="G7" s="12"/>
      <c r="H7" s="12" t="s">
        <v>52</v>
      </c>
      <c r="I7" s="12" t="s">
        <v>53</v>
      </c>
      <c r="J7" s="12"/>
      <c r="L7" s="63" t="s">
        <v>168</v>
      </c>
      <c r="M7" s="64" t="s">
        <v>169</v>
      </c>
      <c r="N7" s="64" t="s">
        <v>171</v>
      </c>
      <c r="O7" s="64" t="s">
        <v>172</v>
      </c>
      <c r="P7" s="65" t="s">
        <v>173</v>
      </c>
      <c r="Q7" s="66" t="s">
        <v>175</v>
      </c>
      <c r="S7" s="63" t="s">
        <v>176</v>
      </c>
      <c r="T7" s="67">
        <v>0.83499999999999996</v>
      </c>
      <c r="U7" s="68">
        <v>2.653</v>
      </c>
      <c r="V7" s="70">
        <f t="shared" ref="V7:V11" si="0">+U7/T7</f>
        <v>3.1772455089820362</v>
      </c>
      <c r="W7" s="72"/>
      <c r="X7" s="21" t="s">
        <v>1340</v>
      </c>
      <c r="Y7" s="300"/>
    </row>
    <row r="8" spans="1:25" ht="15.75" x14ac:dyDescent="0.25">
      <c r="A8" s="9" t="s">
        <v>11</v>
      </c>
      <c r="B8" s="12" t="s">
        <v>18</v>
      </c>
      <c r="C8" s="11">
        <v>0</v>
      </c>
      <c r="D8" s="22">
        <v>0</v>
      </c>
      <c r="E8" s="11">
        <v>0</v>
      </c>
      <c r="G8" s="12" t="s">
        <v>12</v>
      </c>
      <c r="H8" s="17">
        <v>520</v>
      </c>
      <c r="I8" s="11">
        <v>487</v>
      </c>
      <c r="J8" s="17" t="s">
        <v>1474</v>
      </c>
      <c r="L8" s="73">
        <v>440</v>
      </c>
      <c r="M8" s="74">
        <v>20</v>
      </c>
      <c r="N8" s="74">
        <f>+U7</f>
        <v>2.653</v>
      </c>
      <c r="O8" s="76">
        <f>+U10</f>
        <v>0</v>
      </c>
      <c r="P8" s="77">
        <f>+U8</f>
        <v>2.1779999999999999</v>
      </c>
      <c r="Q8" s="78">
        <f>(L8-M8)*(N8-O8)/(P8-O8)+M8</f>
        <v>531.59779614325066</v>
      </c>
      <c r="S8" s="80" t="s">
        <v>188</v>
      </c>
      <c r="T8" s="74">
        <v>0.13900000000000001</v>
      </c>
      <c r="U8" s="82">
        <v>2.1779999999999999</v>
      </c>
      <c r="V8" s="84">
        <f t="shared" si="0"/>
        <v>15.669064748201437</v>
      </c>
      <c r="W8" s="86">
        <f>(U8-U10)/(U7-U10)</f>
        <v>0.82095740670938555</v>
      </c>
      <c r="X8" s="21">
        <v>0.31</v>
      </c>
      <c r="Y8" s="300"/>
    </row>
    <row r="9" spans="1:25" x14ac:dyDescent="0.25">
      <c r="A9" s="9" t="s">
        <v>21</v>
      </c>
      <c r="B9" s="12" t="s">
        <v>59</v>
      </c>
      <c r="C9" s="11">
        <v>440</v>
      </c>
      <c r="D9" s="22">
        <v>527</v>
      </c>
      <c r="E9" s="11">
        <v>447</v>
      </c>
      <c r="G9" s="12" t="s">
        <v>18</v>
      </c>
      <c r="H9" s="17">
        <v>0</v>
      </c>
      <c r="I9" s="11">
        <v>0</v>
      </c>
      <c r="J9" s="17" t="s">
        <v>1475</v>
      </c>
      <c r="L9" s="73" t="s">
        <v>168</v>
      </c>
      <c r="M9" s="74" t="s">
        <v>171</v>
      </c>
      <c r="N9" s="74" t="s">
        <v>190</v>
      </c>
      <c r="O9" s="74" t="s">
        <v>191</v>
      </c>
      <c r="P9" s="77" t="s">
        <v>173</v>
      </c>
      <c r="Q9" s="87" t="s">
        <v>192</v>
      </c>
      <c r="S9" s="80" t="s">
        <v>193</v>
      </c>
      <c r="T9" s="74">
        <v>0.109</v>
      </c>
      <c r="U9" s="82">
        <v>1.0209999999999999</v>
      </c>
      <c r="V9" s="84">
        <f t="shared" si="0"/>
        <v>9.3669724770642198</v>
      </c>
      <c r="W9" s="86">
        <f>(U9-U10)/(U7-U10)</f>
        <v>0.38484734263098375</v>
      </c>
      <c r="Y9" s="300"/>
    </row>
    <row r="10" spans="1:25" x14ac:dyDescent="0.25">
      <c r="A10" s="49" t="s">
        <v>21</v>
      </c>
      <c r="B10" s="10" t="s">
        <v>63</v>
      </c>
      <c r="C10" s="51">
        <v>160</v>
      </c>
      <c r="D10" s="169">
        <v>178</v>
      </c>
      <c r="E10" s="51">
        <v>161</v>
      </c>
      <c r="G10" s="305" t="s">
        <v>23</v>
      </c>
      <c r="H10" s="297"/>
      <c r="I10" s="297"/>
      <c r="J10" s="298"/>
      <c r="L10" s="73">
        <v>160</v>
      </c>
      <c r="M10" s="74">
        <f>+U7</f>
        <v>2.653</v>
      </c>
      <c r="N10" s="76">
        <f>+U10</f>
        <v>0</v>
      </c>
      <c r="O10" s="89">
        <f>+Q8</f>
        <v>531.59779614325066</v>
      </c>
      <c r="P10" s="77">
        <f>+U9</f>
        <v>1.0209999999999999</v>
      </c>
      <c r="Q10" s="90">
        <f>(L10*(M10-N10)-O10*(P10-N10))/(M10-P10)</f>
        <v>-72.476317317560543</v>
      </c>
      <c r="S10" s="80" t="s">
        <v>194</v>
      </c>
      <c r="T10" s="74">
        <v>0.4</v>
      </c>
      <c r="U10" s="91">
        <v>0</v>
      </c>
      <c r="V10" s="84">
        <f t="shared" si="0"/>
        <v>0</v>
      </c>
      <c r="W10" s="86"/>
      <c r="Y10" s="300"/>
    </row>
    <row r="11" spans="1:25" x14ac:dyDescent="0.25">
      <c r="A11" s="310" t="s">
        <v>29</v>
      </c>
      <c r="B11" s="297"/>
      <c r="C11" s="297"/>
      <c r="D11" s="297"/>
      <c r="E11" s="298"/>
      <c r="G11" s="12" t="s">
        <v>12</v>
      </c>
      <c r="H11" s="17" t="s">
        <v>540</v>
      </c>
      <c r="I11" s="11" t="s">
        <v>540</v>
      </c>
      <c r="J11" s="17" t="s">
        <v>1476</v>
      </c>
      <c r="L11" s="80" t="s">
        <v>196</v>
      </c>
      <c r="M11" s="93"/>
      <c r="N11" s="93"/>
      <c r="O11" s="93"/>
      <c r="P11" s="94"/>
      <c r="Q11" s="95"/>
      <c r="S11" s="96" t="s">
        <v>197</v>
      </c>
      <c r="T11" s="97">
        <v>0.1</v>
      </c>
      <c r="U11" s="99">
        <v>0.43</v>
      </c>
      <c r="V11" s="100">
        <f t="shared" si="0"/>
        <v>4.3</v>
      </c>
      <c r="W11" s="101">
        <f>+(U11-U10)/(U7-U10)</f>
        <v>0.16208066339992461</v>
      </c>
      <c r="Y11" s="300"/>
    </row>
    <row r="12" spans="1:25" x14ac:dyDescent="0.2">
      <c r="A12" s="9" t="s">
        <v>11</v>
      </c>
      <c r="B12" s="9" t="s">
        <v>12</v>
      </c>
      <c r="C12" s="11" t="s">
        <v>540</v>
      </c>
      <c r="D12" s="22" t="s">
        <v>540</v>
      </c>
      <c r="E12" s="22" t="s">
        <v>540</v>
      </c>
      <c r="G12" s="12" t="s">
        <v>18</v>
      </c>
      <c r="H12" s="17" t="s">
        <v>540</v>
      </c>
      <c r="I12" s="11" t="s">
        <v>540</v>
      </c>
      <c r="J12" s="17" t="s">
        <v>1477</v>
      </c>
      <c r="L12" s="80" t="s">
        <v>199</v>
      </c>
      <c r="M12" s="93" t="s">
        <v>169</v>
      </c>
      <c r="N12" s="93" t="s">
        <v>200</v>
      </c>
      <c r="O12" s="93" t="s">
        <v>201</v>
      </c>
      <c r="P12" s="94" t="s">
        <v>191</v>
      </c>
      <c r="Q12" s="87" t="s">
        <v>202</v>
      </c>
      <c r="S12" s="311" t="s">
        <v>203</v>
      </c>
      <c r="T12" s="312"/>
      <c r="U12" s="312"/>
      <c r="V12" s="312"/>
      <c r="W12" s="313"/>
      <c r="Y12" s="300"/>
    </row>
    <row r="13" spans="1:25" x14ac:dyDescent="0.2">
      <c r="A13" s="9" t="s">
        <v>11</v>
      </c>
      <c r="B13" s="12" t="s">
        <v>18</v>
      </c>
      <c r="C13" s="11" t="s">
        <v>540</v>
      </c>
      <c r="D13" s="22" t="s">
        <v>540</v>
      </c>
      <c r="E13" s="22" t="s">
        <v>540</v>
      </c>
      <c r="L13" s="102">
        <f>+U11</f>
        <v>0.43</v>
      </c>
      <c r="M13" s="103">
        <f>+Q10</f>
        <v>-72.476317317560543</v>
      </c>
      <c r="N13" s="97">
        <f>+U7</f>
        <v>2.653</v>
      </c>
      <c r="O13" s="104">
        <f>+U10</f>
        <v>0</v>
      </c>
      <c r="P13" s="105">
        <f>+Q8</f>
        <v>531.59779614325066</v>
      </c>
      <c r="Q13" s="106">
        <f>M13+(P13-M13)*(L13-O13)/(N13-O13)</f>
        <v>25.432415734889048</v>
      </c>
      <c r="S13" s="314"/>
      <c r="T13" s="315"/>
      <c r="U13" s="315"/>
      <c r="V13" s="315"/>
      <c r="W13" s="316"/>
      <c r="Y13" s="300"/>
    </row>
    <row r="14" spans="1:25" ht="14.25" x14ac:dyDescent="0.2">
      <c r="A14" s="9" t="s">
        <v>21</v>
      </c>
      <c r="B14" s="12" t="s">
        <v>59</v>
      </c>
      <c r="C14" s="11" t="s">
        <v>540</v>
      </c>
      <c r="D14" s="22" t="s">
        <v>540</v>
      </c>
      <c r="E14" s="22" t="s">
        <v>540</v>
      </c>
      <c r="L14" s="311" t="s">
        <v>204</v>
      </c>
      <c r="M14" s="312"/>
      <c r="N14" s="312"/>
      <c r="O14" s="312"/>
      <c r="P14" s="312"/>
      <c r="Q14" s="313"/>
      <c r="S14" s="317"/>
      <c r="T14" s="318"/>
      <c r="U14" s="318"/>
      <c r="V14" s="318"/>
      <c r="W14" s="319"/>
      <c r="Y14" s="300"/>
    </row>
    <row r="15" spans="1:25" ht="45" x14ac:dyDescent="0.2">
      <c r="A15" s="9" t="s">
        <v>21</v>
      </c>
      <c r="B15" s="12" t="s">
        <v>63</v>
      </c>
      <c r="C15" s="11" t="s">
        <v>540</v>
      </c>
      <c r="D15" s="22" t="s">
        <v>540</v>
      </c>
      <c r="E15" s="22" t="s">
        <v>540</v>
      </c>
      <c r="L15" s="317"/>
      <c r="M15" s="318"/>
      <c r="N15" s="318"/>
      <c r="O15" s="318"/>
      <c r="P15" s="318"/>
      <c r="Q15" s="319"/>
      <c r="S15" s="58" t="s">
        <v>160</v>
      </c>
      <c r="T15" s="59" t="s">
        <v>161</v>
      </c>
      <c r="U15" s="59" t="s">
        <v>162</v>
      </c>
      <c r="V15" s="61" t="s">
        <v>163</v>
      </c>
      <c r="W15" s="62" t="s">
        <v>165</v>
      </c>
      <c r="Y15" s="300"/>
    </row>
    <row r="16" spans="1:25" x14ac:dyDescent="0.25">
      <c r="L16" s="63" t="s">
        <v>168</v>
      </c>
      <c r="M16" s="64" t="s">
        <v>169</v>
      </c>
      <c r="N16" s="64" t="s">
        <v>171</v>
      </c>
      <c r="O16" s="64" t="s">
        <v>172</v>
      </c>
      <c r="P16" s="65" t="s">
        <v>173</v>
      </c>
      <c r="Q16" s="66" t="s">
        <v>175</v>
      </c>
      <c r="S16" s="63" t="s">
        <v>176</v>
      </c>
      <c r="T16" s="67">
        <v>0.13800000000000001</v>
      </c>
      <c r="U16" s="68">
        <v>1.877</v>
      </c>
      <c r="V16" s="70">
        <f t="shared" ref="V16:V20" si="1">+U16/T16</f>
        <v>13.601449275362318</v>
      </c>
      <c r="W16" s="107"/>
      <c r="Y16" s="300"/>
    </row>
    <row r="17" spans="12:25" ht="15.75" x14ac:dyDescent="0.25">
      <c r="L17" s="73">
        <v>420</v>
      </c>
      <c r="M17" s="74">
        <v>-22.5</v>
      </c>
      <c r="N17" s="74">
        <f>+U16</f>
        <v>1.877</v>
      </c>
      <c r="O17" s="76">
        <f>+U19</f>
        <v>0</v>
      </c>
      <c r="P17" s="77">
        <f>+U17</f>
        <v>1.474</v>
      </c>
      <c r="Q17" s="108">
        <f>(L17-M17)*(N17-O17)/(P17-O17)+M17</f>
        <v>540.98202170963361</v>
      </c>
      <c r="S17" s="80" t="s">
        <v>188</v>
      </c>
      <c r="T17" s="74">
        <v>0.125</v>
      </c>
      <c r="U17" s="82">
        <v>1.474</v>
      </c>
      <c r="V17" s="84">
        <f t="shared" si="1"/>
        <v>11.792</v>
      </c>
      <c r="W17" s="86">
        <f>(U17-U19)/(U16-U19)</f>
        <v>0.78529568460309007</v>
      </c>
      <c r="Y17" s="300"/>
    </row>
    <row r="18" spans="12:25" x14ac:dyDescent="0.25">
      <c r="L18" s="73" t="s">
        <v>168</v>
      </c>
      <c r="M18" s="74" t="s">
        <v>171</v>
      </c>
      <c r="N18" s="74" t="s">
        <v>190</v>
      </c>
      <c r="O18" s="74" t="s">
        <v>191</v>
      </c>
      <c r="P18" s="77" t="s">
        <v>173</v>
      </c>
      <c r="Q18" s="87" t="s">
        <v>192</v>
      </c>
      <c r="S18" s="80" t="s">
        <v>193</v>
      </c>
      <c r="T18" s="74">
        <v>0.112</v>
      </c>
      <c r="U18" s="91">
        <v>0.53800000000000003</v>
      </c>
      <c r="V18" s="84">
        <f t="shared" si="1"/>
        <v>4.8035714285714288</v>
      </c>
      <c r="W18" s="86">
        <f>(U18-U19)/(U16-U19)</f>
        <v>0.28662759722962178</v>
      </c>
      <c r="Y18" s="300"/>
    </row>
    <row r="19" spans="12:25" ht="15.75" x14ac:dyDescent="0.25">
      <c r="L19" s="73">
        <v>140</v>
      </c>
      <c r="M19" s="74">
        <f>+U16</f>
        <v>1.877</v>
      </c>
      <c r="N19" s="76">
        <f>+U19</f>
        <v>0</v>
      </c>
      <c r="O19" s="74">
        <f>+Q17</f>
        <v>540.98202170963361</v>
      </c>
      <c r="P19" s="109">
        <f>+U18</f>
        <v>0.53800000000000003</v>
      </c>
      <c r="Q19" s="78">
        <f>(L19*(M19-N19)-O19*(P19-N19))/(M19-P19)</f>
        <v>-21.11152179222027</v>
      </c>
      <c r="S19" s="80" t="s">
        <v>194</v>
      </c>
      <c r="T19" s="74">
        <v>0.10299999999999999</v>
      </c>
      <c r="U19" s="91">
        <v>0</v>
      </c>
      <c r="V19" s="84">
        <f t="shared" si="1"/>
        <v>0</v>
      </c>
      <c r="W19" s="86"/>
      <c r="Y19" s="300"/>
    </row>
    <row r="20" spans="12:25" x14ac:dyDescent="0.25">
      <c r="L20" s="80" t="s">
        <v>196</v>
      </c>
      <c r="M20" s="93"/>
      <c r="N20" s="93"/>
      <c r="O20" s="93"/>
      <c r="P20" s="94"/>
      <c r="Q20" s="95"/>
      <c r="S20" s="111" t="s">
        <v>197</v>
      </c>
      <c r="T20" s="112">
        <v>0.105</v>
      </c>
      <c r="U20" s="113">
        <v>0.155</v>
      </c>
      <c r="V20" s="114">
        <f t="shared" si="1"/>
        <v>1.4761904761904763</v>
      </c>
      <c r="W20" s="115">
        <f>+(U20-U19)/(U16-U19)</f>
        <v>8.2578582844965373E-2</v>
      </c>
      <c r="Y20" s="300"/>
    </row>
    <row r="21" spans="12:25" ht="15.75" customHeight="1" x14ac:dyDescent="0.2">
      <c r="L21" s="80" t="s">
        <v>199</v>
      </c>
      <c r="M21" s="93" t="s">
        <v>169</v>
      </c>
      <c r="N21" s="93" t="s">
        <v>200</v>
      </c>
      <c r="O21" s="93" t="s">
        <v>201</v>
      </c>
      <c r="P21" s="94" t="s">
        <v>191</v>
      </c>
      <c r="Q21" s="87" t="s">
        <v>202</v>
      </c>
      <c r="Y21" s="300"/>
    </row>
    <row r="22" spans="12:25" ht="15.75" customHeight="1" x14ac:dyDescent="0.2">
      <c r="L22" s="116">
        <f>+U20</f>
        <v>0.155</v>
      </c>
      <c r="M22" s="117">
        <f>+Q19</f>
        <v>-21.11152179222027</v>
      </c>
      <c r="N22" s="112">
        <f>+U16</f>
        <v>1.877</v>
      </c>
      <c r="O22" s="118">
        <f>+U19</f>
        <v>0</v>
      </c>
      <c r="P22" s="119">
        <f>+Q17</f>
        <v>540.98202170963361</v>
      </c>
      <c r="Q22" s="78">
        <f>M22+(P22-M22)*(L22-O22)/(N22-O22)</f>
        <v>25.30536645646772</v>
      </c>
      <c r="T22" s="121"/>
      <c r="Y22" s="300"/>
    </row>
    <row r="23" spans="12:25" ht="15.75" customHeight="1" x14ac:dyDescent="0.2">
      <c r="Y23" s="301"/>
    </row>
    <row r="24" spans="12:25" ht="15.75" customHeight="1" x14ac:dyDescent="0.2"/>
    <row r="25" spans="12:25" ht="15.75" customHeight="1" x14ac:dyDescent="0.2"/>
    <row r="26" spans="12:25" ht="15.75" customHeight="1" x14ac:dyDescent="0.2"/>
    <row r="27" spans="12:25" ht="15.75" customHeight="1" x14ac:dyDescent="0.2"/>
    <row r="28" spans="12:25" ht="15.75" customHeight="1" x14ac:dyDescent="0.2"/>
    <row r="29" spans="12:25" ht="15.75" customHeight="1" x14ac:dyDescent="0.2"/>
    <row r="30" spans="12:25" ht="15.75" customHeight="1" x14ac:dyDescent="0.2"/>
    <row r="31" spans="12:25" ht="15.75" customHeight="1" x14ac:dyDescent="0.2"/>
    <row r="32" spans="12:2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3">
    <mergeCell ref="A1:Y1"/>
    <mergeCell ref="Y2:Y23"/>
    <mergeCell ref="L4:Q4"/>
    <mergeCell ref="S4:W4"/>
    <mergeCell ref="L5:Q6"/>
    <mergeCell ref="S5:W5"/>
    <mergeCell ref="A6:E6"/>
    <mergeCell ref="G5:J5"/>
    <mergeCell ref="G6:J6"/>
    <mergeCell ref="G10:J10"/>
    <mergeCell ref="A11:E11"/>
    <mergeCell ref="S12:W14"/>
    <mergeCell ref="L14:Q15"/>
  </mergeCells>
  <pageMargins left="0.7" right="0.7" top="0.75" bottom="0.75" header="0" footer="0"/>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1000"/>
  <sheetViews>
    <sheetView workbookViewId="0"/>
  </sheetViews>
  <sheetFormatPr baseColWidth="10" defaultColWidth="12.625" defaultRowHeight="15" customHeight="1" x14ac:dyDescent="0.2"/>
  <cols>
    <col min="1" max="26" width="10" customWidth="1"/>
  </cols>
  <sheetData>
    <row r="1" spans="1:26" x14ac:dyDescent="0.25">
      <c r="A1" s="245" t="s">
        <v>353</v>
      </c>
      <c r="B1" s="246" t="s">
        <v>1488</v>
      </c>
    </row>
    <row r="2" spans="1:26" x14ac:dyDescent="0.25">
      <c r="A2" s="247" t="s">
        <v>1412</v>
      </c>
      <c r="B2" s="248">
        <v>43096</v>
      </c>
    </row>
    <row r="3" spans="1:26" ht="18.75" x14ac:dyDescent="0.3">
      <c r="A3" s="332" t="s">
        <v>1489</v>
      </c>
      <c r="B3" s="297"/>
      <c r="C3" s="297"/>
      <c r="D3" s="297"/>
      <c r="E3" s="298"/>
      <c r="G3" s="296" t="s">
        <v>45</v>
      </c>
      <c r="H3" s="297"/>
      <c r="I3" s="297"/>
      <c r="J3" s="298"/>
      <c r="L3" s="320" t="s">
        <v>153</v>
      </c>
      <c r="M3" s="297"/>
      <c r="N3" s="297"/>
      <c r="O3" s="297"/>
      <c r="P3" s="297"/>
      <c r="Q3" s="298"/>
      <c r="S3" s="321" t="s">
        <v>154</v>
      </c>
      <c r="T3" s="322"/>
      <c r="U3" s="322"/>
      <c r="V3" s="322"/>
      <c r="W3" s="323"/>
    </row>
    <row r="4" spans="1:26" ht="36" x14ac:dyDescent="0.2">
      <c r="A4" s="4" t="s">
        <v>0</v>
      </c>
      <c r="B4" s="5" t="s">
        <v>1</v>
      </c>
      <c r="C4" s="5" t="s">
        <v>42</v>
      </c>
      <c r="D4" s="5" t="s">
        <v>43</v>
      </c>
      <c r="E4" s="5" t="s">
        <v>44</v>
      </c>
      <c r="G4" s="305" t="s">
        <v>10</v>
      </c>
      <c r="H4" s="297"/>
      <c r="I4" s="297"/>
      <c r="J4" s="298"/>
      <c r="L4" s="311" t="s">
        <v>157</v>
      </c>
      <c r="M4" s="312"/>
      <c r="N4" s="312"/>
      <c r="O4" s="312"/>
      <c r="P4" s="312"/>
      <c r="Q4" s="313"/>
      <c r="S4" s="325" t="s">
        <v>157</v>
      </c>
      <c r="T4" s="297"/>
      <c r="U4" s="297"/>
      <c r="V4" s="297"/>
      <c r="W4" s="298"/>
    </row>
    <row r="5" spans="1:26" ht="45" x14ac:dyDescent="0.2">
      <c r="A5" s="310" t="s">
        <v>8</v>
      </c>
      <c r="B5" s="297"/>
      <c r="C5" s="297"/>
      <c r="D5" s="297"/>
      <c r="E5" s="298"/>
      <c r="G5" s="12"/>
      <c r="H5" s="12" t="s">
        <v>52</v>
      </c>
      <c r="I5" s="12" t="s">
        <v>53</v>
      </c>
      <c r="J5" s="12"/>
      <c r="L5" s="317"/>
      <c r="M5" s="318"/>
      <c r="N5" s="318"/>
      <c r="O5" s="318"/>
      <c r="P5" s="318"/>
      <c r="Q5" s="319"/>
      <c r="S5" s="58" t="s">
        <v>160</v>
      </c>
      <c r="T5" s="59" t="s">
        <v>161</v>
      </c>
      <c r="U5" s="59" t="s">
        <v>162</v>
      </c>
      <c r="V5" s="61" t="s">
        <v>163</v>
      </c>
      <c r="W5" s="62" t="s">
        <v>165</v>
      </c>
    </row>
    <row r="6" spans="1:26" x14ac:dyDescent="0.25">
      <c r="A6" s="9" t="s">
        <v>11</v>
      </c>
      <c r="B6" s="12" t="s">
        <v>12</v>
      </c>
      <c r="C6" s="17"/>
      <c r="D6" s="177">
        <v>944</v>
      </c>
      <c r="E6" s="17">
        <v>790</v>
      </c>
      <c r="G6" s="12" t="s">
        <v>12</v>
      </c>
      <c r="H6" s="17">
        <v>944</v>
      </c>
      <c r="I6" s="17">
        <v>790</v>
      </c>
      <c r="J6" s="17" t="s">
        <v>1494</v>
      </c>
      <c r="L6" s="63" t="s">
        <v>168</v>
      </c>
      <c r="M6" s="64" t="s">
        <v>169</v>
      </c>
      <c r="N6" s="64" t="s">
        <v>171</v>
      </c>
      <c r="O6" s="64" t="s">
        <v>172</v>
      </c>
      <c r="P6" s="65" t="s">
        <v>173</v>
      </c>
      <c r="Q6" s="66" t="s">
        <v>175</v>
      </c>
      <c r="S6" s="63" t="s">
        <v>176</v>
      </c>
      <c r="T6" s="67">
        <v>0.83499999999999996</v>
      </c>
      <c r="U6" s="68">
        <v>3.1640000000000001</v>
      </c>
      <c r="V6" s="70">
        <f t="shared" ref="V6:V10" si="0">+U6/T6</f>
        <v>3.7892215568862277</v>
      </c>
      <c r="W6" s="72"/>
    </row>
    <row r="7" spans="1:26" ht="15.75" x14ac:dyDescent="0.25">
      <c r="A7" s="9" t="s">
        <v>11</v>
      </c>
      <c r="B7" s="12" t="s">
        <v>18</v>
      </c>
      <c r="C7" s="17">
        <v>0</v>
      </c>
      <c r="D7" s="177">
        <v>0</v>
      </c>
      <c r="E7" s="17">
        <v>0</v>
      </c>
      <c r="G7" s="12" t="s">
        <v>18</v>
      </c>
      <c r="H7" s="17"/>
      <c r="I7" s="17">
        <v>0</v>
      </c>
      <c r="J7" s="17" t="s">
        <v>1498</v>
      </c>
      <c r="L7" s="73">
        <v>440</v>
      </c>
      <c r="M7" s="74">
        <v>20</v>
      </c>
      <c r="N7" s="74">
        <f>+U6</f>
        <v>3.1640000000000001</v>
      </c>
      <c r="O7" s="76">
        <f>+U9</f>
        <v>3.5999999999999997E-2</v>
      </c>
      <c r="P7" s="77">
        <f>+U7</f>
        <v>1.6679999999999999</v>
      </c>
      <c r="Q7" s="78">
        <f>(L7-M7)*(N7-O7)/(P7-O7)+M7</f>
        <v>825</v>
      </c>
      <c r="S7" s="80" t="s">
        <v>188</v>
      </c>
      <c r="T7" s="74">
        <v>0.13900000000000001</v>
      </c>
      <c r="U7" s="82">
        <v>1.6679999999999999</v>
      </c>
      <c r="V7" s="84">
        <f t="shared" si="0"/>
        <v>11.999999999999998</v>
      </c>
      <c r="W7" s="86">
        <f>(U7-U9)/(U6-U9)</f>
        <v>0.52173913043478259</v>
      </c>
    </row>
    <row r="8" spans="1:26" ht="25.5" x14ac:dyDescent="0.25">
      <c r="A8" s="9" t="s">
        <v>21</v>
      </c>
      <c r="B8" s="12" t="s">
        <v>59</v>
      </c>
      <c r="C8" s="17">
        <v>440</v>
      </c>
      <c r="D8" s="177">
        <v>778</v>
      </c>
      <c r="E8" s="17">
        <v>445</v>
      </c>
      <c r="L8" s="73" t="s">
        <v>168</v>
      </c>
      <c r="M8" s="74" t="s">
        <v>171</v>
      </c>
      <c r="N8" s="74" t="s">
        <v>190</v>
      </c>
      <c r="O8" s="74" t="s">
        <v>191</v>
      </c>
      <c r="P8" s="77" t="s">
        <v>173</v>
      </c>
      <c r="Q8" s="87" t="s">
        <v>192</v>
      </c>
      <c r="S8" s="80" t="s">
        <v>193</v>
      </c>
      <c r="T8" s="74">
        <v>0.109</v>
      </c>
      <c r="U8" s="82">
        <v>0.504</v>
      </c>
      <c r="V8" s="84">
        <f t="shared" si="0"/>
        <v>4.6238532110091741</v>
      </c>
      <c r="W8" s="86">
        <f>(U8-U9)/(U6-U9)</f>
        <v>0.14961636828644501</v>
      </c>
    </row>
    <row r="9" spans="1:26" ht="25.5" x14ac:dyDescent="0.25">
      <c r="A9" s="9" t="s">
        <v>21</v>
      </c>
      <c r="B9" s="12" t="s">
        <v>63</v>
      </c>
      <c r="C9" s="17">
        <v>160</v>
      </c>
      <c r="D9" s="177">
        <v>243</v>
      </c>
      <c r="E9" s="17">
        <v>152</v>
      </c>
      <c r="L9" s="73">
        <v>160</v>
      </c>
      <c r="M9" s="74">
        <f>+U6</f>
        <v>3.1640000000000001</v>
      </c>
      <c r="N9" s="76">
        <f>+U9</f>
        <v>3.5999999999999997E-2</v>
      </c>
      <c r="O9" s="89">
        <f>+Q7</f>
        <v>825</v>
      </c>
      <c r="P9" s="77">
        <f>+U8</f>
        <v>0.504</v>
      </c>
      <c r="Q9" s="90">
        <f>(L9*(M9-N9)-O9*(P9-N9))/(M9-P9)</f>
        <v>42.999999999999993</v>
      </c>
      <c r="S9" s="80" t="s">
        <v>194</v>
      </c>
      <c r="T9" s="74">
        <v>0.4</v>
      </c>
      <c r="U9" s="91">
        <v>3.5999999999999997E-2</v>
      </c>
      <c r="V9" s="84">
        <f t="shared" si="0"/>
        <v>8.9999999999999983E-2</v>
      </c>
      <c r="W9" s="86"/>
    </row>
    <row r="10" spans="1:26" x14ac:dyDescent="0.25">
      <c r="A10" s="9" t="s">
        <v>21</v>
      </c>
      <c r="B10" s="12" t="s">
        <v>218</v>
      </c>
      <c r="C10" s="17">
        <v>0</v>
      </c>
      <c r="D10" s="177"/>
      <c r="E10" s="17">
        <v>0</v>
      </c>
      <c r="L10" s="80" t="s">
        <v>196</v>
      </c>
      <c r="M10" s="93"/>
      <c r="N10" s="93"/>
      <c r="O10" s="93"/>
      <c r="P10" s="94"/>
      <c r="Q10" s="95"/>
      <c r="S10" s="96" t="s">
        <v>197</v>
      </c>
      <c r="T10" s="97">
        <v>0.1</v>
      </c>
      <c r="U10" s="99">
        <v>0</v>
      </c>
      <c r="V10" s="100">
        <f t="shared" si="0"/>
        <v>0</v>
      </c>
      <c r="W10" s="101">
        <f>+(U10-U9)/(U6-U9)</f>
        <v>-1.1508951406649615E-2</v>
      </c>
    </row>
    <row r="11" spans="1:26" ht="15" customHeight="1" x14ac:dyDescent="0.2">
      <c r="L11" s="80" t="s">
        <v>199</v>
      </c>
      <c r="M11" s="93" t="s">
        <v>169</v>
      </c>
      <c r="N11" s="93" t="s">
        <v>200</v>
      </c>
      <c r="O11" s="93" t="s">
        <v>201</v>
      </c>
      <c r="P11" s="94" t="s">
        <v>191</v>
      </c>
      <c r="Q11" s="87" t="s">
        <v>202</v>
      </c>
      <c r="S11" s="250"/>
      <c r="T11" s="251"/>
      <c r="U11" s="251"/>
      <c r="V11" s="251"/>
      <c r="W11" s="252"/>
    </row>
    <row r="12" spans="1:26" ht="15.75" customHeight="1" x14ac:dyDescent="0.2">
      <c r="L12" s="102">
        <f>+U10</f>
        <v>0</v>
      </c>
      <c r="M12" s="103">
        <f>+Q9</f>
        <v>42.999999999999993</v>
      </c>
      <c r="N12" s="97">
        <f>+U6</f>
        <v>3.1640000000000001</v>
      </c>
      <c r="O12" s="104">
        <f>+U9</f>
        <v>3.5999999999999997E-2</v>
      </c>
      <c r="P12" s="105">
        <f>+Q7</f>
        <v>825</v>
      </c>
      <c r="Q12" s="106">
        <f>M12+(P12-M12)*(L12-O12)/(N12-O12)</f>
        <v>33.999999999999993</v>
      </c>
      <c r="S12" s="253"/>
      <c r="T12" s="254"/>
      <c r="U12" s="254"/>
      <c r="V12" s="254"/>
      <c r="W12" s="255"/>
    </row>
    <row r="13" spans="1:26" ht="15.75" customHeight="1" x14ac:dyDescent="0.2">
      <c r="L13" s="250"/>
      <c r="M13" s="251"/>
      <c r="N13" s="251"/>
      <c r="O13" s="251"/>
      <c r="P13" s="251"/>
      <c r="Q13" s="252"/>
      <c r="S13" s="256"/>
      <c r="T13" s="257"/>
      <c r="U13" s="257"/>
      <c r="V13" s="257"/>
      <c r="W13" s="258"/>
    </row>
    <row r="14" spans="1:26" ht="15.75" customHeight="1" x14ac:dyDescent="0.2">
      <c r="L14" s="256"/>
      <c r="M14" s="257"/>
      <c r="N14" s="257"/>
      <c r="O14" s="257"/>
      <c r="P14" s="257"/>
      <c r="Q14" s="258"/>
      <c r="S14" s="58"/>
      <c r="T14" s="59"/>
      <c r="U14" s="59"/>
      <c r="V14" s="61"/>
      <c r="W14" s="62"/>
    </row>
    <row r="15" spans="1:26" x14ac:dyDescent="0.25">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8" spans="1:26" x14ac:dyDescent="0.25">
      <c r="A18" s="245" t="s">
        <v>353</v>
      </c>
      <c r="B18" s="246" t="s">
        <v>1488</v>
      </c>
      <c r="C18" s="28"/>
      <c r="D18" s="28"/>
      <c r="E18" s="28"/>
      <c r="F18" s="28"/>
      <c r="G18" s="28"/>
      <c r="H18" s="28"/>
      <c r="I18" s="28"/>
      <c r="J18" s="28"/>
      <c r="K18" s="28"/>
      <c r="L18" s="28"/>
      <c r="M18" s="28"/>
      <c r="N18" s="28"/>
      <c r="O18" s="28"/>
      <c r="P18" s="28"/>
      <c r="Q18" s="28"/>
      <c r="R18" s="28"/>
      <c r="S18" s="28"/>
      <c r="T18" s="28"/>
      <c r="U18" s="28"/>
      <c r="V18" s="28"/>
      <c r="W18" s="28"/>
      <c r="X18" s="28"/>
      <c r="Y18" s="28"/>
      <c r="Z18" s="28"/>
    </row>
    <row r="19" spans="1:26" x14ac:dyDescent="0.25">
      <c r="A19" s="247" t="s">
        <v>1412</v>
      </c>
      <c r="B19" s="248">
        <v>43842</v>
      </c>
      <c r="C19" s="28"/>
      <c r="D19" s="28"/>
      <c r="E19" s="28"/>
      <c r="F19" s="28"/>
      <c r="G19" s="28"/>
      <c r="H19" s="28"/>
      <c r="I19" s="28"/>
      <c r="J19" s="28"/>
      <c r="K19" s="28"/>
      <c r="L19" s="28"/>
      <c r="M19" s="28"/>
      <c r="N19" s="28"/>
      <c r="O19" s="28"/>
      <c r="P19" s="28"/>
      <c r="Q19" s="28"/>
      <c r="R19" s="28"/>
      <c r="S19" s="28"/>
      <c r="T19" s="28"/>
      <c r="U19" s="28"/>
      <c r="V19" s="28"/>
      <c r="W19" s="28"/>
      <c r="X19" s="28"/>
      <c r="Y19" s="28"/>
      <c r="Z19" s="28"/>
    </row>
    <row r="20" spans="1:26" ht="18.75" x14ac:dyDescent="0.3">
      <c r="A20" s="332" t="s">
        <v>1489</v>
      </c>
      <c r="B20" s="297"/>
      <c r="C20" s="297"/>
      <c r="D20" s="297"/>
      <c r="E20" s="298"/>
      <c r="F20" s="28"/>
      <c r="G20" s="296" t="s">
        <v>45</v>
      </c>
      <c r="H20" s="297"/>
      <c r="I20" s="297"/>
      <c r="J20" s="298"/>
      <c r="K20" s="28"/>
      <c r="L20" s="320"/>
      <c r="M20" s="297"/>
      <c r="N20" s="297"/>
      <c r="O20" s="297"/>
      <c r="P20" s="297"/>
      <c r="Q20" s="298"/>
      <c r="R20" s="28"/>
      <c r="S20" s="321"/>
      <c r="T20" s="322"/>
      <c r="U20" s="322"/>
      <c r="V20" s="322"/>
      <c r="W20" s="323"/>
      <c r="X20" s="28"/>
      <c r="Y20" s="28"/>
      <c r="Z20" s="28"/>
    </row>
    <row r="21" spans="1:26" ht="15.75" customHeight="1" x14ac:dyDescent="0.25">
      <c r="A21" s="4" t="s">
        <v>0</v>
      </c>
      <c r="B21" s="5" t="s">
        <v>1</v>
      </c>
      <c r="C21" s="5" t="s">
        <v>42</v>
      </c>
      <c r="D21" s="5" t="s">
        <v>43</v>
      </c>
      <c r="E21" s="5" t="s">
        <v>44</v>
      </c>
      <c r="F21" s="28"/>
      <c r="G21" s="305" t="s">
        <v>10</v>
      </c>
      <c r="H21" s="297"/>
      <c r="I21" s="297"/>
      <c r="J21" s="298"/>
      <c r="K21" s="28"/>
      <c r="L21" s="311"/>
      <c r="M21" s="312"/>
      <c r="N21" s="312"/>
      <c r="O21" s="312"/>
      <c r="P21" s="312"/>
      <c r="Q21" s="313"/>
      <c r="R21" s="28"/>
      <c r="S21" s="325"/>
      <c r="T21" s="297"/>
      <c r="U21" s="297"/>
      <c r="V21" s="297"/>
      <c r="W21" s="298"/>
      <c r="X21" s="28"/>
      <c r="Y21" s="28"/>
      <c r="Z21" s="28"/>
    </row>
    <row r="22" spans="1:26" ht="15.75" customHeight="1" x14ac:dyDescent="0.25">
      <c r="A22" s="310" t="s">
        <v>8</v>
      </c>
      <c r="B22" s="297"/>
      <c r="C22" s="297"/>
      <c r="D22" s="297"/>
      <c r="E22" s="298"/>
      <c r="F22" s="28"/>
      <c r="G22" s="12"/>
      <c r="H22" s="12" t="s">
        <v>52</v>
      </c>
      <c r="I22" s="12" t="s">
        <v>53</v>
      </c>
      <c r="J22" s="12"/>
      <c r="K22" s="28"/>
      <c r="L22" s="317"/>
      <c r="M22" s="318"/>
      <c r="N22" s="318"/>
      <c r="O22" s="318"/>
      <c r="P22" s="318"/>
      <c r="Q22" s="319"/>
      <c r="R22" s="28"/>
      <c r="S22" s="58"/>
      <c r="T22" s="59"/>
      <c r="U22" s="59"/>
      <c r="V22" s="61"/>
      <c r="W22" s="62"/>
      <c r="X22" s="28"/>
      <c r="Y22" s="28"/>
      <c r="Z22" s="28"/>
    </row>
    <row r="23" spans="1:26" ht="15.75" customHeight="1" x14ac:dyDescent="0.25">
      <c r="A23" s="9" t="s">
        <v>11</v>
      </c>
      <c r="B23" s="12" t="s">
        <v>12</v>
      </c>
      <c r="C23" s="17">
        <v>790</v>
      </c>
      <c r="D23" s="177">
        <v>790</v>
      </c>
      <c r="E23" s="17">
        <v>900</v>
      </c>
      <c r="F23" s="28"/>
      <c r="G23" s="12" t="s">
        <v>12</v>
      </c>
      <c r="H23" s="17">
        <v>790</v>
      </c>
      <c r="I23" s="17">
        <f>E23</f>
        <v>900</v>
      </c>
      <c r="J23" s="17" t="s">
        <v>1508</v>
      </c>
      <c r="K23" s="28"/>
      <c r="L23" s="63"/>
      <c r="M23" s="64"/>
      <c r="N23" s="64"/>
      <c r="O23" s="64"/>
      <c r="P23" s="65"/>
      <c r="Q23" s="66"/>
      <c r="R23" s="28"/>
      <c r="S23" s="63"/>
      <c r="T23" s="67"/>
      <c r="U23" s="68"/>
      <c r="V23" s="70"/>
      <c r="W23" s="72"/>
      <c r="X23" s="28"/>
      <c r="Y23" s="28"/>
      <c r="Z23" s="28"/>
    </row>
    <row r="24" spans="1:26" ht="15.75" customHeight="1" x14ac:dyDescent="0.25">
      <c r="A24" s="9" t="s">
        <v>11</v>
      </c>
      <c r="B24" s="12" t="s">
        <v>18</v>
      </c>
      <c r="C24" s="17">
        <v>0</v>
      </c>
      <c r="D24" s="177">
        <v>0</v>
      </c>
      <c r="E24" s="17">
        <v>0</v>
      </c>
      <c r="F24" s="28"/>
      <c r="G24" s="12" t="s">
        <v>18</v>
      </c>
      <c r="H24" s="17">
        <v>0</v>
      </c>
      <c r="I24" s="17">
        <v>0</v>
      </c>
      <c r="J24" s="17" t="s">
        <v>1509</v>
      </c>
      <c r="K24" s="28"/>
      <c r="L24" s="73"/>
      <c r="M24" s="74"/>
      <c r="N24" s="74"/>
      <c r="O24" s="74"/>
      <c r="P24" s="77"/>
      <c r="Q24" s="78"/>
      <c r="R24" s="28"/>
      <c r="S24" s="80"/>
      <c r="T24" s="74"/>
      <c r="U24" s="82"/>
      <c r="V24" s="84"/>
      <c r="W24" s="86"/>
      <c r="X24" s="28"/>
      <c r="Y24" s="28"/>
      <c r="Z24" s="28"/>
    </row>
    <row r="25" spans="1:26" ht="15.75" customHeight="1" x14ac:dyDescent="0.25">
      <c r="A25" s="9" t="s">
        <v>21</v>
      </c>
      <c r="B25" s="12" t="s">
        <v>59</v>
      </c>
      <c r="C25" s="17">
        <v>440</v>
      </c>
      <c r="D25" s="177">
        <v>380</v>
      </c>
      <c r="E25" s="17">
        <v>454</v>
      </c>
      <c r="F25" s="28"/>
      <c r="G25" s="28"/>
      <c r="H25" s="28"/>
      <c r="I25" s="28"/>
      <c r="J25" s="28"/>
      <c r="K25" s="28"/>
      <c r="L25" s="73"/>
      <c r="M25" s="74"/>
      <c r="N25" s="74"/>
      <c r="O25" s="74"/>
      <c r="P25" s="77"/>
      <c r="Q25" s="87"/>
      <c r="R25" s="28"/>
      <c r="S25" s="80"/>
      <c r="T25" s="74"/>
      <c r="U25" s="82"/>
      <c r="V25" s="84"/>
      <c r="W25" s="86"/>
      <c r="X25" s="28"/>
      <c r="Y25" s="28"/>
      <c r="Z25" s="28"/>
    </row>
    <row r="26" spans="1:26" ht="15.75" customHeight="1" x14ac:dyDescent="0.25">
      <c r="A26" s="9" t="s">
        <v>21</v>
      </c>
      <c r="B26" s="12" t="s">
        <v>63</v>
      </c>
      <c r="C26" s="17">
        <v>160</v>
      </c>
      <c r="D26" s="177">
        <v>0</v>
      </c>
      <c r="E26" s="17">
        <v>130</v>
      </c>
      <c r="F26" s="28"/>
      <c r="G26" s="28"/>
      <c r="H26" s="28"/>
      <c r="I26" s="28"/>
      <c r="J26" s="28"/>
      <c r="K26" s="28"/>
      <c r="L26" s="73"/>
      <c r="M26" s="74"/>
      <c r="N26" s="74"/>
      <c r="O26" s="74"/>
      <c r="P26" s="77"/>
      <c r="Q26" s="90"/>
      <c r="R26" s="28"/>
      <c r="S26" s="80"/>
      <c r="T26" s="74"/>
      <c r="U26" s="91"/>
      <c r="V26" s="84"/>
      <c r="W26" s="86"/>
      <c r="X26" s="28"/>
      <c r="Y26" s="28"/>
      <c r="Z26" s="28"/>
    </row>
    <row r="27" spans="1:26" ht="15.75" customHeight="1" x14ac:dyDescent="0.25">
      <c r="A27" s="9" t="s">
        <v>21</v>
      </c>
      <c r="B27" s="12" t="s">
        <v>218</v>
      </c>
      <c r="C27" s="17">
        <v>0</v>
      </c>
      <c r="D27" s="177">
        <v>0</v>
      </c>
      <c r="E27" s="17">
        <v>0</v>
      </c>
      <c r="F27" s="28"/>
      <c r="G27" s="28"/>
      <c r="H27" s="28"/>
      <c r="I27" s="28"/>
      <c r="J27" s="28"/>
      <c r="K27" s="28"/>
      <c r="L27" s="80"/>
      <c r="M27" s="93"/>
      <c r="N27" s="93"/>
      <c r="O27" s="93"/>
      <c r="P27" s="94"/>
      <c r="Q27" s="95"/>
      <c r="R27" s="28"/>
      <c r="S27" s="96"/>
      <c r="T27" s="97"/>
      <c r="U27" s="99"/>
      <c r="V27" s="100"/>
      <c r="W27" s="101"/>
      <c r="X27" s="28"/>
      <c r="Y27" s="28"/>
      <c r="Z27" s="28"/>
    </row>
    <row r="28" spans="1:26" ht="15" customHeight="1" x14ac:dyDescent="0.25">
      <c r="A28" s="28"/>
      <c r="B28" s="28"/>
      <c r="C28" s="28"/>
      <c r="D28" s="28"/>
      <c r="E28" s="28"/>
      <c r="F28" s="28"/>
      <c r="G28" s="28"/>
      <c r="H28" s="28"/>
      <c r="I28" s="28"/>
      <c r="J28" s="28"/>
      <c r="K28" s="28"/>
      <c r="L28" s="80"/>
      <c r="M28" s="93"/>
      <c r="N28" s="93"/>
      <c r="O28" s="93"/>
      <c r="P28" s="94"/>
      <c r="Q28" s="87"/>
      <c r="R28" s="28"/>
      <c r="S28" s="250"/>
      <c r="T28" s="251"/>
      <c r="U28" s="251"/>
      <c r="V28" s="251"/>
      <c r="W28" s="252"/>
      <c r="X28" s="28"/>
      <c r="Y28" s="28"/>
      <c r="Z28" s="28"/>
    </row>
    <row r="29" spans="1:26" ht="15.75" customHeight="1" x14ac:dyDescent="0.25">
      <c r="A29" s="28"/>
      <c r="B29" s="28"/>
      <c r="C29" s="28"/>
      <c r="D29" s="28"/>
      <c r="E29" s="28"/>
      <c r="F29" s="28"/>
      <c r="G29" s="28"/>
      <c r="H29" s="28"/>
      <c r="I29" s="28"/>
      <c r="J29" s="28"/>
      <c r="K29" s="28"/>
      <c r="L29" s="260"/>
      <c r="M29" s="97"/>
      <c r="N29" s="97"/>
      <c r="O29" s="97"/>
      <c r="P29" s="219"/>
      <c r="Q29" s="106"/>
      <c r="R29" s="28"/>
      <c r="S29" s="253"/>
      <c r="T29" s="254"/>
      <c r="U29" s="254"/>
      <c r="V29" s="254"/>
      <c r="W29" s="255"/>
      <c r="X29" s="28"/>
      <c r="Y29" s="28"/>
      <c r="Z29" s="28"/>
    </row>
    <row r="30" spans="1:26" ht="15.75" customHeight="1" x14ac:dyDescent="0.25">
      <c r="A30" s="28"/>
      <c r="B30" s="28"/>
      <c r="C30" s="28"/>
      <c r="D30" s="28"/>
      <c r="E30" s="28"/>
      <c r="F30" s="28"/>
      <c r="G30" s="28"/>
      <c r="H30" s="28"/>
      <c r="I30" s="28"/>
      <c r="J30" s="28"/>
      <c r="K30" s="28"/>
      <c r="L30" s="250"/>
      <c r="M30" s="251"/>
      <c r="N30" s="251"/>
      <c r="O30" s="251"/>
      <c r="P30" s="251"/>
      <c r="Q30" s="252"/>
      <c r="R30" s="28"/>
      <c r="S30" s="256"/>
      <c r="T30" s="257"/>
      <c r="U30" s="257"/>
      <c r="V30" s="257"/>
      <c r="W30" s="258"/>
      <c r="X30" s="28"/>
      <c r="Y30" s="28"/>
      <c r="Z30" s="28"/>
    </row>
    <row r="31" spans="1:26" ht="15.75" customHeight="1" x14ac:dyDescent="0.25">
      <c r="A31" s="28"/>
      <c r="B31" s="28"/>
      <c r="C31" s="28"/>
      <c r="D31" s="28"/>
      <c r="E31" s="28"/>
      <c r="F31" s="28"/>
      <c r="G31" s="28"/>
      <c r="H31" s="28"/>
      <c r="I31" s="28"/>
      <c r="J31" s="28"/>
      <c r="K31" s="28"/>
      <c r="L31" s="256"/>
      <c r="M31" s="257"/>
      <c r="N31" s="257"/>
      <c r="O31" s="257"/>
      <c r="P31" s="257"/>
      <c r="Q31" s="258"/>
      <c r="R31" s="28"/>
      <c r="S31" s="58"/>
      <c r="T31" s="59"/>
      <c r="U31" s="59"/>
      <c r="V31" s="61"/>
      <c r="W31" s="62"/>
      <c r="X31" s="28"/>
      <c r="Y31" s="28"/>
      <c r="Z31" s="28"/>
    </row>
    <row r="32" spans="1:2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6">
    <mergeCell ref="S20:W20"/>
    <mergeCell ref="G21:J21"/>
    <mergeCell ref="L21:Q22"/>
    <mergeCell ref="S21:W21"/>
    <mergeCell ref="A20:E20"/>
    <mergeCell ref="A22:E22"/>
    <mergeCell ref="G20:J20"/>
    <mergeCell ref="L20:Q20"/>
    <mergeCell ref="A3:E3"/>
    <mergeCell ref="G3:J3"/>
    <mergeCell ref="L3:Q3"/>
    <mergeCell ref="S3:W3"/>
    <mergeCell ref="G4:J4"/>
    <mergeCell ref="L4:Q5"/>
    <mergeCell ref="S4:W4"/>
    <mergeCell ref="A5:E5"/>
  </mergeCells>
  <pageMargins left="0.7" right="0.7" top="0.75" bottom="0.75" header="0" footer="0"/>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Z1000"/>
  <sheetViews>
    <sheetView workbookViewId="0"/>
  </sheetViews>
  <sheetFormatPr baseColWidth="10" defaultColWidth="12.625" defaultRowHeight="15" customHeight="1" x14ac:dyDescent="0.2"/>
  <cols>
    <col min="1" max="5" width="10" customWidth="1"/>
    <col min="6" max="6" width="13.375" customWidth="1"/>
    <col min="7" max="26" width="10" customWidth="1"/>
  </cols>
  <sheetData>
    <row r="1" spans="1:26" x14ac:dyDescent="0.25">
      <c r="A1" s="28"/>
      <c r="B1" s="28" t="s">
        <v>1510</v>
      </c>
      <c r="C1" s="28"/>
      <c r="D1" s="28"/>
      <c r="E1" s="28"/>
      <c r="F1" s="28"/>
      <c r="G1" s="28"/>
      <c r="H1" s="28"/>
      <c r="I1" s="28"/>
      <c r="J1" s="28"/>
      <c r="K1" s="28"/>
      <c r="L1" s="28"/>
      <c r="M1" s="28"/>
      <c r="N1" s="28"/>
      <c r="O1" s="28"/>
      <c r="P1" s="28"/>
      <c r="Q1" s="28"/>
      <c r="R1" s="28"/>
      <c r="S1" s="28"/>
      <c r="T1" s="28"/>
      <c r="U1" s="28"/>
      <c r="V1" s="28"/>
      <c r="W1" s="28"/>
      <c r="X1" s="28"/>
      <c r="Y1" s="28"/>
      <c r="Z1" s="28"/>
    </row>
    <row r="2" spans="1:26" x14ac:dyDescent="0.25">
      <c r="A2" s="28"/>
      <c r="B2" s="28"/>
      <c r="C2" s="23"/>
      <c r="D2" s="23"/>
      <c r="E2" s="23"/>
      <c r="F2" s="23"/>
      <c r="G2" s="28"/>
      <c r="H2" s="28"/>
      <c r="I2" s="28"/>
      <c r="J2" s="28"/>
      <c r="K2" s="28"/>
      <c r="L2" s="28"/>
      <c r="M2" s="28"/>
      <c r="N2" s="28"/>
      <c r="O2" s="28"/>
      <c r="P2" s="28"/>
      <c r="Q2" s="28"/>
      <c r="R2" s="28"/>
      <c r="S2" s="28"/>
      <c r="T2" s="28"/>
      <c r="U2" s="28"/>
      <c r="V2" s="28"/>
      <c r="W2" s="28"/>
      <c r="X2" s="28"/>
      <c r="Y2" s="28"/>
      <c r="Z2" s="28"/>
    </row>
    <row r="3" spans="1:26" x14ac:dyDescent="0.25">
      <c r="A3" s="28"/>
      <c r="B3" s="332" t="s">
        <v>1511</v>
      </c>
      <c r="C3" s="297"/>
      <c r="D3" s="297"/>
      <c r="E3" s="297"/>
      <c r="F3" s="298"/>
      <c r="G3" s="28"/>
      <c r="H3" s="28"/>
      <c r="I3" s="28"/>
      <c r="J3" s="28"/>
      <c r="K3" s="28"/>
      <c r="L3" s="28"/>
      <c r="M3" s="28"/>
      <c r="N3" s="28"/>
      <c r="O3" s="28"/>
      <c r="P3" s="28"/>
      <c r="Q3" s="28"/>
      <c r="R3" s="28"/>
      <c r="S3" s="28"/>
      <c r="T3" s="28"/>
      <c r="U3" s="28"/>
      <c r="V3" s="28"/>
      <c r="W3" s="28"/>
      <c r="X3" s="28"/>
      <c r="Y3" s="28"/>
      <c r="Z3" s="28"/>
    </row>
    <row r="4" spans="1:26" ht="24" x14ac:dyDescent="0.25">
      <c r="A4" s="28"/>
      <c r="B4" s="4" t="s">
        <v>0</v>
      </c>
      <c r="C4" s="5" t="s">
        <v>1</v>
      </c>
      <c r="D4" s="5" t="s">
        <v>42</v>
      </c>
      <c r="E4" s="5" t="s">
        <v>43</v>
      </c>
      <c r="F4" s="5" t="s">
        <v>44</v>
      </c>
      <c r="G4" s="28"/>
      <c r="H4" s="28"/>
      <c r="I4" s="296" t="s">
        <v>45</v>
      </c>
      <c r="J4" s="297"/>
      <c r="K4" s="297"/>
      <c r="L4" s="298"/>
      <c r="M4" s="28"/>
      <c r="N4" s="28"/>
      <c r="O4" s="28"/>
      <c r="P4" s="28"/>
      <c r="Q4" s="28"/>
      <c r="R4" s="28"/>
      <c r="S4" s="28"/>
      <c r="T4" s="28"/>
      <c r="U4" s="28"/>
      <c r="V4" s="28"/>
      <c r="W4" s="28"/>
      <c r="X4" s="28"/>
      <c r="Y4" s="28"/>
      <c r="Z4" s="28"/>
    </row>
    <row r="5" spans="1:26" x14ac:dyDescent="0.25">
      <c r="A5" s="28"/>
      <c r="B5" s="310" t="s">
        <v>275</v>
      </c>
      <c r="C5" s="297"/>
      <c r="D5" s="297"/>
      <c r="E5" s="297"/>
      <c r="F5" s="298"/>
      <c r="G5" s="28"/>
      <c r="H5" s="28"/>
      <c r="I5" s="305" t="s">
        <v>275</v>
      </c>
      <c r="J5" s="297"/>
      <c r="K5" s="297"/>
      <c r="L5" s="298"/>
      <c r="M5" s="28"/>
      <c r="N5" s="28"/>
      <c r="O5" s="28"/>
      <c r="P5" s="28"/>
      <c r="Q5" s="28"/>
      <c r="R5" s="28"/>
      <c r="S5" s="28"/>
      <c r="T5" s="28"/>
      <c r="U5" s="28"/>
      <c r="V5" s="28"/>
      <c r="W5" s="28"/>
      <c r="X5" s="28"/>
      <c r="Y5" s="28"/>
      <c r="Z5" s="28"/>
    </row>
    <row r="6" spans="1:26" x14ac:dyDescent="0.25">
      <c r="A6" s="28"/>
      <c r="B6" s="9" t="s">
        <v>11</v>
      </c>
      <c r="C6" s="12" t="s">
        <v>12</v>
      </c>
      <c r="D6" s="17">
        <v>700</v>
      </c>
      <c r="E6" s="22">
        <v>699</v>
      </c>
      <c r="F6" s="11">
        <v>930</v>
      </c>
      <c r="G6" s="28"/>
      <c r="H6" s="28"/>
      <c r="I6" s="12"/>
      <c r="J6" s="12" t="s">
        <v>52</v>
      </c>
      <c r="K6" s="12" t="s">
        <v>53</v>
      </c>
      <c r="L6" s="12"/>
      <c r="M6" s="28"/>
      <c r="N6" s="28"/>
      <c r="O6" s="28"/>
      <c r="P6" s="28"/>
      <c r="Q6" s="28"/>
      <c r="R6" s="28"/>
      <c r="S6" s="28"/>
      <c r="T6" s="28"/>
      <c r="U6" s="28"/>
      <c r="V6" s="28"/>
      <c r="W6" s="28"/>
      <c r="X6" s="28"/>
      <c r="Y6" s="28"/>
      <c r="Z6" s="28"/>
    </row>
    <row r="7" spans="1:26" x14ac:dyDescent="0.25">
      <c r="A7" s="28"/>
      <c r="B7" s="9" t="s">
        <v>11</v>
      </c>
      <c r="C7" s="12" t="s">
        <v>18</v>
      </c>
      <c r="D7" s="17">
        <v>0</v>
      </c>
      <c r="E7" s="22">
        <v>0</v>
      </c>
      <c r="F7" s="11">
        <v>0</v>
      </c>
      <c r="G7" s="28"/>
      <c r="H7" s="28"/>
      <c r="I7" s="12" t="s">
        <v>12</v>
      </c>
      <c r="J7" s="17">
        <v>700</v>
      </c>
      <c r="K7" s="11"/>
      <c r="L7" s="17" t="s">
        <v>1513</v>
      </c>
      <c r="M7" s="28"/>
      <c r="N7" s="28"/>
      <c r="O7" s="28"/>
      <c r="P7" s="28"/>
      <c r="Q7" s="28"/>
      <c r="R7" s="28"/>
      <c r="S7" s="28"/>
      <c r="T7" s="28"/>
      <c r="U7" s="28"/>
      <c r="V7" s="28"/>
      <c r="W7" s="28"/>
      <c r="X7" s="28"/>
      <c r="Y7" s="28"/>
      <c r="Z7" s="28"/>
    </row>
    <row r="8" spans="1:26" ht="25.5" x14ac:dyDescent="0.25">
      <c r="A8" s="28"/>
      <c r="B8" s="9" t="s">
        <v>21</v>
      </c>
      <c r="C8" s="12" t="s">
        <v>59</v>
      </c>
      <c r="D8" s="17">
        <v>440</v>
      </c>
      <c r="E8" s="22">
        <v>317</v>
      </c>
      <c r="F8" s="11">
        <v>427</v>
      </c>
      <c r="G8" s="28"/>
      <c r="H8" s="28"/>
      <c r="I8" s="12" t="s">
        <v>18</v>
      </c>
      <c r="J8" s="24">
        <v>0</v>
      </c>
      <c r="K8" s="25"/>
      <c r="L8" s="24" t="s">
        <v>1514</v>
      </c>
      <c r="M8" s="28"/>
      <c r="N8" s="28"/>
      <c r="O8" s="28"/>
      <c r="P8" s="28"/>
      <c r="Q8" s="28"/>
      <c r="R8" s="28"/>
      <c r="S8" s="28"/>
      <c r="T8" s="28"/>
      <c r="U8" s="28"/>
      <c r="V8" s="28"/>
      <c r="W8" s="28"/>
      <c r="X8" s="28"/>
      <c r="Y8" s="28"/>
      <c r="Z8" s="28"/>
    </row>
    <row r="9" spans="1:26" ht="25.5" x14ac:dyDescent="0.25">
      <c r="A9" s="28"/>
      <c r="B9" s="12" t="s">
        <v>21</v>
      </c>
      <c r="C9" s="12" t="s">
        <v>63</v>
      </c>
      <c r="D9" s="24">
        <v>160</v>
      </c>
      <c r="E9" s="26">
        <v>142</v>
      </c>
      <c r="F9" s="25">
        <v>162</v>
      </c>
      <c r="G9" s="28"/>
      <c r="H9" s="28"/>
      <c r="I9" s="330"/>
      <c r="J9" s="315"/>
      <c r="K9" s="315"/>
      <c r="L9" s="315"/>
      <c r="M9" s="28"/>
      <c r="N9" s="28"/>
      <c r="O9" s="28"/>
      <c r="P9" s="28"/>
      <c r="Q9" s="28"/>
      <c r="R9" s="28"/>
      <c r="S9" s="28"/>
      <c r="T9" s="28"/>
      <c r="U9" s="28"/>
      <c r="V9" s="28"/>
      <c r="W9" s="28"/>
      <c r="X9" s="28"/>
      <c r="Y9" s="28"/>
      <c r="Z9" s="28"/>
    </row>
    <row r="10" spans="1:26" x14ac:dyDescent="0.25">
      <c r="A10" s="28"/>
      <c r="B10" s="12" t="s">
        <v>21</v>
      </c>
      <c r="C10" s="12" t="s">
        <v>218</v>
      </c>
      <c r="D10" s="24">
        <v>0</v>
      </c>
      <c r="E10" s="26">
        <v>120</v>
      </c>
      <c r="F10" s="25">
        <v>0</v>
      </c>
      <c r="G10" s="28"/>
      <c r="H10" s="28"/>
      <c r="I10" s="28"/>
      <c r="J10" s="28"/>
      <c r="K10" s="28"/>
      <c r="L10" s="28"/>
      <c r="M10" s="28"/>
      <c r="N10" s="28"/>
      <c r="O10" s="28"/>
      <c r="P10" s="28"/>
      <c r="Q10" s="28"/>
      <c r="R10" s="28"/>
      <c r="S10" s="28"/>
      <c r="T10" s="28"/>
      <c r="U10" s="28"/>
      <c r="V10" s="28"/>
      <c r="W10" s="28"/>
      <c r="X10" s="28"/>
      <c r="Y10" s="28"/>
      <c r="Z10" s="28"/>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
    <mergeCell ref="B3:F3"/>
    <mergeCell ref="I4:L4"/>
    <mergeCell ref="B5:F5"/>
    <mergeCell ref="I5:L5"/>
    <mergeCell ref="I9:L9"/>
  </mergeCells>
  <pageMargins left="0.7" right="0.7" top="0.75" bottom="0.75" header="0" footer="0"/>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1000"/>
  <sheetViews>
    <sheetView workbookViewId="0"/>
  </sheetViews>
  <sheetFormatPr baseColWidth="10" defaultColWidth="12.625" defaultRowHeight="15" customHeight="1" x14ac:dyDescent="0.2"/>
  <cols>
    <col min="1" max="3" width="8" customWidth="1"/>
    <col min="4" max="4" width="11.5" customWidth="1"/>
    <col min="5" max="5" width="8" customWidth="1"/>
    <col min="6" max="6" width="14.5" customWidth="1"/>
    <col min="7" max="26" width="8" customWidth="1"/>
  </cols>
  <sheetData>
    <row r="1" spans="1:11" x14ac:dyDescent="0.25">
      <c r="A1" s="28"/>
      <c r="B1" s="28" t="s">
        <v>1512</v>
      </c>
      <c r="C1" s="28"/>
      <c r="D1" s="184"/>
      <c r="E1" s="28"/>
      <c r="F1" s="28"/>
      <c r="G1" s="28"/>
      <c r="H1" s="28"/>
      <c r="I1" s="28"/>
      <c r="J1" s="28"/>
      <c r="K1" s="28"/>
    </row>
    <row r="2" spans="1:11" x14ac:dyDescent="0.25">
      <c r="A2" s="28"/>
      <c r="B2" s="28"/>
      <c r="C2" s="23"/>
      <c r="D2" s="185"/>
      <c r="E2" s="23"/>
      <c r="F2" s="23"/>
      <c r="G2" s="28"/>
      <c r="H2" s="28"/>
      <c r="I2" s="28"/>
      <c r="J2" s="28"/>
      <c r="K2" s="28"/>
    </row>
    <row r="3" spans="1:11" x14ac:dyDescent="0.25">
      <c r="A3" s="28"/>
      <c r="B3" s="332" t="s">
        <v>634</v>
      </c>
      <c r="C3" s="297"/>
      <c r="D3" s="297"/>
      <c r="E3" s="297"/>
      <c r="F3" s="297"/>
      <c r="G3" s="28"/>
      <c r="H3" s="28"/>
      <c r="I3" s="28"/>
      <c r="J3" s="28"/>
      <c r="K3" s="28"/>
    </row>
    <row r="4" spans="1:11" ht="24" x14ac:dyDescent="0.25">
      <c r="A4" s="28"/>
      <c r="B4" s="4" t="s">
        <v>0</v>
      </c>
      <c r="C4" s="5" t="s">
        <v>1</v>
      </c>
      <c r="D4" s="186" t="s">
        <v>42</v>
      </c>
      <c r="E4" s="5" t="s">
        <v>43</v>
      </c>
      <c r="F4" s="5" t="s">
        <v>44</v>
      </c>
      <c r="G4" s="28"/>
      <c r="H4" s="296" t="s">
        <v>45</v>
      </c>
      <c r="I4" s="297"/>
      <c r="J4" s="297"/>
      <c r="K4" s="298"/>
    </row>
    <row r="5" spans="1:11" x14ac:dyDescent="0.25">
      <c r="A5" s="28"/>
      <c r="B5" s="310" t="s">
        <v>275</v>
      </c>
      <c r="C5" s="297"/>
      <c r="D5" s="297"/>
      <c r="E5" s="297"/>
      <c r="F5" s="306"/>
      <c r="G5" s="28"/>
      <c r="H5" s="305" t="s">
        <v>275</v>
      </c>
      <c r="I5" s="297"/>
      <c r="J5" s="297"/>
      <c r="K5" s="298"/>
    </row>
    <row r="6" spans="1:11" x14ac:dyDescent="0.25">
      <c r="A6" s="28"/>
      <c r="B6" s="9" t="s">
        <v>11</v>
      </c>
      <c r="C6" s="12" t="s">
        <v>12</v>
      </c>
      <c r="D6" s="187">
        <v>900</v>
      </c>
      <c r="E6" s="22">
        <v>600</v>
      </c>
      <c r="F6" s="11">
        <v>600</v>
      </c>
      <c r="G6" s="28"/>
      <c r="H6" s="12"/>
      <c r="I6" s="12" t="s">
        <v>52</v>
      </c>
      <c r="J6" s="12" t="s">
        <v>53</v>
      </c>
      <c r="K6" s="12"/>
    </row>
    <row r="7" spans="1:11" ht="27" x14ac:dyDescent="0.25">
      <c r="A7" s="28"/>
      <c r="B7" s="9" t="s">
        <v>11</v>
      </c>
      <c r="C7" s="12" t="s">
        <v>18</v>
      </c>
      <c r="D7" s="187">
        <v>0</v>
      </c>
      <c r="E7" s="22">
        <v>0</v>
      </c>
      <c r="F7" s="11">
        <v>0</v>
      </c>
      <c r="G7" s="28"/>
      <c r="H7" s="12" t="s">
        <v>12</v>
      </c>
      <c r="I7" s="17">
        <v>900</v>
      </c>
      <c r="J7" s="11">
        <v>600</v>
      </c>
      <c r="K7" s="17" t="s">
        <v>1515</v>
      </c>
    </row>
    <row r="8" spans="1:11" ht="27" x14ac:dyDescent="0.25">
      <c r="A8" s="28"/>
      <c r="B8" s="9" t="s">
        <v>21</v>
      </c>
      <c r="C8" s="12" t="s">
        <v>59</v>
      </c>
      <c r="D8" s="187">
        <v>440</v>
      </c>
      <c r="E8" s="22">
        <v>410</v>
      </c>
      <c r="F8" s="11">
        <v>457</v>
      </c>
      <c r="G8" s="28"/>
      <c r="H8" s="12" t="s">
        <v>18</v>
      </c>
      <c r="I8" s="17">
        <v>0</v>
      </c>
      <c r="J8" s="11">
        <v>0</v>
      </c>
      <c r="K8" s="17" t="s">
        <v>1516</v>
      </c>
    </row>
    <row r="9" spans="1:11" ht="25.5" x14ac:dyDescent="0.25">
      <c r="A9" s="28"/>
      <c r="B9" s="9" t="s">
        <v>21</v>
      </c>
      <c r="C9" s="12" t="s">
        <v>63</v>
      </c>
      <c r="D9" s="187">
        <v>160</v>
      </c>
      <c r="E9" s="22">
        <v>120</v>
      </c>
      <c r="F9" s="11">
        <v>147</v>
      </c>
      <c r="G9" s="28"/>
      <c r="H9" s="305" t="s">
        <v>313</v>
      </c>
      <c r="I9" s="297"/>
      <c r="J9" s="297"/>
      <c r="K9" s="298"/>
    </row>
    <row r="10" spans="1:11" ht="27" x14ac:dyDescent="0.25">
      <c r="A10" s="28"/>
      <c r="B10" s="9" t="s">
        <v>21</v>
      </c>
      <c r="C10" s="12" t="s">
        <v>218</v>
      </c>
      <c r="D10" s="187">
        <v>0</v>
      </c>
      <c r="E10" s="22">
        <v>0</v>
      </c>
      <c r="F10" s="11">
        <v>0</v>
      </c>
      <c r="G10" s="28"/>
      <c r="H10" s="12" t="s">
        <v>12</v>
      </c>
      <c r="I10" s="17">
        <v>580</v>
      </c>
      <c r="J10" s="11">
        <v>580</v>
      </c>
      <c r="K10" s="17" t="s">
        <v>1517</v>
      </c>
    </row>
    <row r="11" spans="1:11" ht="27" x14ac:dyDescent="0.25">
      <c r="A11" s="28"/>
      <c r="B11" s="310" t="s">
        <v>313</v>
      </c>
      <c r="C11" s="297"/>
      <c r="D11" s="297"/>
      <c r="E11" s="297"/>
      <c r="F11" s="306"/>
      <c r="G11" s="28"/>
      <c r="H11" s="12" t="s">
        <v>18</v>
      </c>
      <c r="I11" s="17">
        <v>0</v>
      </c>
      <c r="J11" s="11">
        <v>0</v>
      </c>
      <c r="K11" s="17" t="s">
        <v>1518</v>
      </c>
    </row>
    <row r="12" spans="1:11" x14ac:dyDescent="0.25">
      <c r="A12" s="28"/>
      <c r="B12" s="9" t="s">
        <v>11</v>
      </c>
      <c r="C12" s="12" t="s">
        <v>12</v>
      </c>
      <c r="D12" s="187">
        <v>675</v>
      </c>
      <c r="E12" s="22">
        <v>580</v>
      </c>
      <c r="F12" s="22">
        <v>500</v>
      </c>
      <c r="G12" s="28"/>
      <c r="H12" s="28"/>
      <c r="I12" s="28"/>
      <c r="J12" s="28"/>
      <c r="K12" s="28"/>
    </row>
    <row r="13" spans="1:11" x14ac:dyDescent="0.25">
      <c r="A13" s="28"/>
      <c r="B13" s="9" t="s">
        <v>11</v>
      </c>
      <c r="C13" s="12" t="s">
        <v>18</v>
      </c>
      <c r="D13" s="187">
        <v>0</v>
      </c>
      <c r="E13" s="22">
        <v>0</v>
      </c>
      <c r="F13" s="22">
        <v>0</v>
      </c>
      <c r="G13" s="28"/>
      <c r="H13" s="28"/>
      <c r="I13" s="28"/>
      <c r="J13" s="28"/>
      <c r="K13" s="28"/>
    </row>
    <row r="14" spans="1:11" ht="25.5" x14ac:dyDescent="0.25">
      <c r="A14" s="28"/>
      <c r="B14" s="9" t="s">
        <v>21</v>
      </c>
      <c r="C14" s="12" t="s">
        <v>59</v>
      </c>
      <c r="D14" s="187">
        <v>430</v>
      </c>
      <c r="E14" s="22">
        <v>450</v>
      </c>
      <c r="F14" s="22">
        <v>438</v>
      </c>
      <c r="G14" s="28"/>
      <c r="H14" s="28"/>
      <c r="I14" s="28"/>
      <c r="J14" s="28"/>
      <c r="K14" s="28"/>
    </row>
    <row r="15" spans="1:11" ht="25.5" x14ac:dyDescent="0.25">
      <c r="A15" s="28"/>
      <c r="B15" s="9" t="s">
        <v>21</v>
      </c>
      <c r="C15" s="12" t="s">
        <v>63</v>
      </c>
      <c r="D15" s="187">
        <v>150</v>
      </c>
      <c r="E15" s="22">
        <v>150</v>
      </c>
      <c r="F15" s="22">
        <v>141</v>
      </c>
      <c r="G15" s="28"/>
      <c r="H15" s="28"/>
      <c r="I15" s="28"/>
      <c r="J15" s="28"/>
      <c r="K15" s="28"/>
    </row>
    <row r="16" spans="1:11" x14ac:dyDescent="0.25">
      <c r="A16" s="28"/>
      <c r="B16" s="9" t="s">
        <v>21</v>
      </c>
      <c r="C16" s="12" t="s">
        <v>218</v>
      </c>
      <c r="D16" s="187">
        <v>0</v>
      </c>
      <c r="E16" s="22">
        <v>0</v>
      </c>
      <c r="F16" s="11">
        <v>0</v>
      </c>
      <c r="G16" s="28"/>
      <c r="H16" s="28"/>
      <c r="I16" s="28"/>
      <c r="J16" s="28"/>
      <c r="K16" s="28"/>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6">
    <mergeCell ref="B11:F11"/>
    <mergeCell ref="B3:F3"/>
    <mergeCell ref="H4:K4"/>
    <mergeCell ref="B5:F5"/>
    <mergeCell ref="H5:K5"/>
    <mergeCell ref="H9:K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48</vt:i4>
      </vt:variant>
    </vt:vector>
  </HeadingPairs>
  <TitlesOfParts>
    <vt:vector size="48" baseType="lpstr">
      <vt:lpstr>CONSORCIO 4C</vt:lpstr>
      <vt:lpstr>CONSORCIO PROSPERIDAD</vt:lpstr>
      <vt:lpstr>Pintuco Colombia SA</vt:lpstr>
      <vt:lpstr>Odinsa Servicios SA</vt:lpstr>
      <vt:lpstr>AIM INGENIEROS CIVILES LTDA</vt:lpstr>
      <vt:lpstr>Yesid Ferreira</vt:lpstr>
      <vt:lpstr>DEVISAB</vt:lpstr>
      <vt:lpstr>CONSRCIO CCFC</vt:lpstr>
      <vt:lpstr>Arquitectura y Señalizaciòn</vt:lpstr>
      <vt:lpstr>CANO JIMENEZ ESTUDIOS</vt:lpstr>
      <vt:lpstr>CSS CONSTRUCTORES</vt:lpstr>
      <vt:lpstr>CONSORCIO INTERCONCESIONES</vt:lpstr>
      <vt:lpstr>CONCESIONARIA VIAL DE COLOMBIA</vt:lpstr>
      <vt:lpstr>PLUSVIAL</vt:lpstr>
      <vt:lpstr>SABANAS DE OCCIDENTE</vt:lpstr>
      <vt:lpstr>VIAS Y SEÑALES</vt:lpstr>
      <vt:lpstr>Señales LTDA</vt:lpstr>
      <vt:lpstr>Autopistas Uraba SAS</vt:lpstr>
      <vt:lpstr>GMP S.A.</vt:lpstr>
      <vt:lpstr>VALORCON S.A.</vt:lpstr>
      <vt:lpstr>ZAÑARTU MAB VELNEC</vt:lpstr>
      <vt:lpstr>INGEANDINA</vt:lpstr>
      <vt:lpstr>COLORQUIMICA</vt:lpstr>
      <vt:lpstr>J&amp;C ING VIAL</vt:lpstr>
      <vt:lpstr>CONSORCIO ERU</vt:lpstr>
      <vt:lpstr>CON STA MTA RCH PARAGUACHON</vt:lpstr>
      <vt:lpstr>ACI Proyectos SAS</vt:lpstr>
      <vt:lpstr>CONS COSTERA CARTAG BARRANQUILL</vt:lpstr>
      <vt:lpstr>AUTOPISTA LLANOS S.A.</vt:lpstr>
      <vt:lpstr>CR CONCESIONES</vt:lpstr>
      <vt:lpstr>Concesión Ruta al Mar S.A.S</vt:lpstr>
      <vt:lpstr>Consorcio Interventor PEB-ET</vt:lpstr>
      <vt:lpstr>Semavial SAS</vt:lpstr>
      <vt:lpstr>CONSORCIO EL SOL</vt:lpstr>
      <vt:lpstr>VIA PACIFICO SAS</vt:lpstr>
      <vt:lpstr>El Condor SAS</vt:lpstr>
      <vt:lpstr>AUTO VIA BUCARAMANGA PAMPLONA</vt:lpstr>
      <vt:lpstr>Consorcio Intervias 4G</vt:lpstr>
      <vt:lpstr>Cons Pacifico 3</vt:lpstr>
      <vt:lpstr>GMP SA</vt:lpstr>
      <vt:lpstr>JOSE ALEXANDER ROMAN RUIZ</vt:lpstr>
      <vt:lpstr>C. PLANES HIDRO C,</vt:lpstr>
      <vt:lpstr>COVIANDES S.A</vt:lpstr>
      <vt:lpstr>VIA 40</vt:lpstr>
      <vt:lpstr>COMSEVIAS SAS</vt:lpstr>
      <vt:lpstr>SEÑALIZACION NUEVO MILENIO SAS</vt:lpstr>
      <vt:lpstr>Concesion San Rafael S.A.</vt:lpstr>
      <vt:lpstr>Autop. Del Cafe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ING HARDWARE</cp:lastModifiedBy>
  <dcterms:modified xsi:type="dcterms:W3CDTF">2020-06-25T16:35:10Z</dcterms:modified>
</cp:coreProperties>
</file>