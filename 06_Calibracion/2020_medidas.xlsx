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USUARIO\Desktop\Proyectos\2020\RETRO VERTICAL\"/>
    </mc:Choice>
  </mc:AlternateContent>
  <xr:revisionPtr revIDLastSave="0" documentId="13_ncr:1_{FF737D0D-3F20-4287-A188-EA730CF6F342}" xr6:coauthVersionLast="36" xr6:coauthVersionMax="45" xr10:uidLastSave="{00000000-0000-0000-0000-000000000000}"/>
  <bookViews>
    <workbookView xWindow="-120" yWindow="-120" windowWidth="29040" windowHeight="15840" activeTab="4" xr2:uid="{00000000-000D-0000-FFFF-FFFF00000000}"/>
  </bookViews>
  <sheets>
    <sheet name="Hoja1" sheetId="1" r:id="rId1"/>
    <sheet name="Hoja3" sheetId="3" r:id="rId2"/>
    <sheet name="Hoja2" sheetId="2" r:id="rId3"/>
    <sheet name="Hoja4" sheetId="4" r:id="rId4"/>
    <sheet name="real" sheetId="5" r:id="rId5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0" i="5"/>
  <c r="H11" i="5"/>
  <c r="H2" i="5"/>
  <c r="S20" i="1" l="1"/>
  <c r="T20" i="1"/>
  <c r="U20" i="1"/>
  <c r="V20" i="1"/>
  <c r="S19" i="1"/>
  <c r="T19" i="1"/>
  <c r="U19" i="1"/>
  <c r="V19" i="1"/>
</calcChain>
</file>

<file path=xl/sharedStrings.xml><?xml version="1.0" encoding="utf-8"?>
<sst xmlns="http://schemas.openxmlformats.org/spreadsheetml/2006/main" count="291" uniqueCount="92">
  <si>
    <t>p33</t>
  </si>
  <si>
    <t>p32</t>
  </si>
  <si>
    <t>p34</t>
  </si>
  <si>
    <t>p37</t>
  </si>
  <si>
    <t>p20</t>
  </si>
  <si>
    <t>p17</t>
  </si>
  <si>
    <t>p19</t>
  </si>
  <si>
    <t>p18</t>
  </si>
  <si>
    <t>p15</t>
  </si>
  <si>
    <t>p16</t>
  </si>
  <si>
    <t>P16</t>
  </si>
  <si>
    <t>Amarillo I.</t>
  </si>
  <si>
    <t>P33</t>
  </si>
  <si>
    <t>P37</t>
  </si>
  <si>
    <t>P18</t>
  </si>
  <si>
    <t>Amarillo O.</t>
  </si>
  <si>
    <t>P20</t>
  </si>
  <si>
    <t>P17</t>
  </si>
  <si>
    <t>P19</t>
  </si>
  <si>
    <t>P15</t>
  </si>
  <si>
    <t>acri</t>
  </si>
  <si>
    <t xml:space="preserve">  </t>
  </si>
  <si>
    <t>bolsa2</t>
  </si>
  <si>
    <t>bolsa1</t>
  </si>
  <si>
    <t>bolsaG2</t>
  </si>
  <si>
    <t>bolsas3huecos</t>
  </si>
  <si>
    <t>otros</t>
  </si>
  <si>
    <t>bolsa bici</t>
  </si>
  <si>
    <t>arcri raspa</t>
  </si>
  <si>
    <t>bolsa bicidoble</t>
  </si>
  <si>
    <t>cuadrodoble</t>
  </si>
  <si>
    <t>cuadrosimple</t>
  </si>
  <si>
    <t>blanco</t>
  </si>
  <si>
    <t>protector</t>
  </si>
  <si>
    <t>TESTIGO</t>
  </si>
  <si>
    <t>COLOR</t>
  </si>
  <si>
    <t>VALOR ESPERADO</t>
  </si>
  <si>
    <t>VALOR LLEGADA</t>
  </si>
  <si>
    <t>VALOR SALIDA</t>
  </si>
  <si>
    <t xml:space="preserve"> PAPEL AMARILLO</t>
  </si>
  <si>
    <t>PAPEL BLANCO</t>
  </si>
  <si>
    <t>P29</t>
  </si>
  <si>
    <t>Blanco I.</t>
  </si>
  <si>
    <t>P28</t>
  </si>
  <si>
    <t>p36</t>
  </si>
  <si>
    <t>Blanco O.</t>
  </si>
  <si>
    <t>P4</t>
  </si>
  <si>
    <t>p31</t>
  </si>
  <si>
    <t>p3</t>
  </si>
  <si>
    <t>p5</t>
  </si>
  <si>
    <t>PAPEL NARANJA</t>
  </si>
  <si>
    <t>P27</t>
  </si>
  <si>
    <t>Naranja I.</t>
  </si>
  <si>
    <t>P26</t>
  </si>
  <si>
    <t>P24</t>
  </si>
  <si>
    <t>P39</t>
  </si>
  <si>
    <t>Naranja O.</t>
  </si>
  <si>
    <t>P38</t>
  </si>
  <si>
    <t>PAPEL ROJO</t>
  </si>
  <si>
    <t>Rojo I.</t>
  </si>
  <si>
    <t>P6</t>
  </si>
  <si>
    <t>P7</t>
  </si>
  <si>
    <t>P9</t>
  </si>
  <si>
    <t>Rojo O.</t>
  </si>
  <si>
    <t>P40</t>
  </si>
  <si>
    <t>P8</t>
  </si>
  <si>
    <t>P41</t>
  </si>
  <si>
    <t>PAPEL AZUL</t>
  </si>
  <si>
    <t>P48a</t>
  </si>
  <si>
    <t>Azul I.</t>
  </si>
  <si>
    <t>P45</t>
  </si>
  <si>
    <t>P21</t>
  </si>
  <si>
    <t>P23</t>
  </si>
  <si>
    <t>Azul O.</t>
  </si>
  <si>
    <t>P23A</t>
  </si>
  <si>
    <t>PAPEL VERDE</t>
  </si>
  <si>
    <t>P10</t>
  </si>
  <si>
    <t>Verde I.</t>
  </si>
  <si>
    <t>P11</t>
  </si>
  <si>
    <t>P43</t>
  </si>
  <si>
    <t>Verde O.</t>
  </si>
  <si>
    <t>P44</t>
  </si>
  <si>
    <t>P14</t>
  </si>
  <si>
    <t>P13</t>
  </si>
  <si>
    <t>P42</t>
  </si>
  <si>
    <t>P47</t>
  </si>
  <si>
    <t>luz calida</t>
  </si>
  <si>
    <t>optica gris</t>
  </si>
  <si>
    <t>luz fria</t>
  </si>
  <si>
    <t>ref</t>
  </si>
  <si>
    <t>luz laser</t>
  </si>
  <si>
    <t>LUZ FRIA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</si>
</sst>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b/>
      <sz val="9"/>
      <color theme="1"/>
      <name val="Arial"/>
      <family val="2"/>
    </font>
    <font>
      <b/>
      <sz val="24"/>
      <color theme="1"/>
      <name val="Arial"/>
      <family val="2"/>
    </font>
    <font>
      <b/>
      <sz val="24"/>
      <name val="Arial"/>
      <family val="2"/>
    </font>
    <font>
      <b/>
      <sz val="10"/>
      <color theme="1"/>
      <name val="Arial"/>
    </font>
    <font>
      <sz val="10"/>
      <color theme="1"/>
      <name val="Arial"/>
    </font>
    <font>
      <sz val="11"/>
      <name val="Arial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rgb="FFFFFF00"/>
        <bgColor rgb="FFEAF1DD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rgb="FFFFFF00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rgb="FFFFFF00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rgb="FFFFFF00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FFFF00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1" fontId="2" fillId="2" borderId="10" xfId="0" applyNumberFormat="1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" fontId="2" fillId="2" borderId="12" xfId="0" applyNumberFormat="1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4" fillId="6" borderId="11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2" fontId="4" fillId="6" borderId="1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1" fillId="9" borderId="5" xfId="0" applyFont="1" applyFill="1" applyBorder="1" applyAlignment="1">
      <alignment vertical="center" wrapText="1"/>
    </xf>
    <xf numFmtId="0" fontId="1" fillId="9" borderId="6" xfId="0" applyFont="1" applyFill="1" applyBorder="1" applyAlignment="1">
      <alignment vertical="center" wrapText="1"/>
    </xf>
    <xf numFmtId="0" fontId="1" fillId="9" borderId="7" xfId="0" applyFont="1" applyFill="1" applyBorder="1" applyAlignment="1">
      <alignment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" fontId="2" fillId="0" borderId="12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11" borderId="5" xfId="0" applyFont="1" applyFill="1" applyBorder="1" applyAlignment="1">
      <alignment vertical="center" wrapText="1"/>
    </xf>
    <xf numFmtId="0" fontId="1" fillId="11" borderId="6" xfId="0" applyFont="1" applyFill="1" applyBorder="1" applyAlignment="1">
      <alignment vertical="center" wrapText="1"/>
    </xf>
    <xf numFmtId="0" fontId="1" fillId="11" borderId="7" xfId="0" applyFont="1" applyFill="1" applyBorder="1" applyAlignment="1">
      <alignment vertical="center" wrapText="1"/>
    </xf>
    <xf numFmtId="0" fontId="2" fillId="11" borderId="3" xfId="0" applyFont="1" applyFill="1" applyBorder="1" applyAlignment="1">
      <alignment horizontal="center" vertical="center" wrapText="1"/>
    </xf>
    <xf numFmtId="1" fontId="2" fillId="11" borderId="3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13" borderId="5" xfId="0" applyNumberFormat="1" applyFont="1" applyFill="1" applyBorder="1" applyAlignment="1">
      <alignment vertical="center" wrapText="1"/>
    </xf>
    <xf numFmtId="1" fontId="1" fillId="13" borderId="7" xfId="0" applyNumberFormat="1" applyFont="1" applyFill="1" applyBorder="1" applyAlignment="1">
      <alignment vertical="center" wrapText="1"/>
    </xf>
    <xf numFmtId="0" fontId="2" fillId="13" borderId="3" xfId="0" applyFont="1" applyFill="1" applyBorder="1" applyAlignment="1">
      <alignment horizontal="center" vertical="center" wrapText="1"/>
    </xf>
    <xf numFmtId="1" fontId="2" fillId="13" borderId="3" xfId="0" applyNumberFormat="1" applyFont="1" applyFill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2" fillId="0" borderId="11" xfId="0" applyNumberFormat="1" applyFont="1" applyBorder="1" applyAlignment="1">
      <alignment horizontal="center" vertical="center" wrapText="1"/>
    </xf>
    <xf numFmtId="0" fontId="1" fillId="15" borderId="5" xfId="0" applyFont="1" applyFill="1" applyBorder="1" applyAlignment="1">
      <alignment vertical="center" wrapText="1"/>
    </xf>
    <xf numFmtId="0" fontId="1" fillId="15" borderId="6" xfId="0" applyFont="1" applyFill="1" applyBorder="1" applyAlignment="1">
      <alignment vertical="center" wrapText="1"/>
    </xf>
    <xf numFmtId="0" fontId="1" fillId="15" borderId="7" xfId="0" applyFont="1" applyFill="1" applyBorder="1" applyAlignment="1">
      <alignment vertical="center" wrapText="1"/>
    </xf>
    <xf numFmtId="0" fontId="2" fillId="15" borderId="3" xfId="0" applyFont="1" applyFill="1" applyBorder="1" applyAlignment="1">
      <alignment horizontal="center" vertical="center" wrapText="1"/>
    </xf>
    <xf numFmtId="1" fontId="2" fillId="15" borderId="3" xfId="0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17" borderId="8" xfId="0" applyFont="1" applyFill="1" applyBorder="1" applyAlignment="1">
      <alignment vertical="center" wrapText="1"/>
    </xf>
    <xf numFmtId="0" fontId="1" fillId="17" borderId="13" xfId="0" applyFont="1" applyFill="1" applyBorder="1" applyAlignment="1">
      <alignment vertical="center" wrapText="1"/>
    </xf>
    <xf numFmtId="0" fontId="1" fillId="17" borderId="12" xfId="0" applyFont="1" applyFill="1" applyBorder="1" applyAlignment="1">
      <alignment vertical="center" wrapText="1"/>
    </xf>
    <xf numFmtId="1" fontId="2" fillId="17" borderId="3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9" fillId="0" borderId="4" xfId="0" applyFont="1" applyBorder="1" applyAlignment="1"/>
    <xf numFmtId="0" fontId="7" fillId="18" borderId="5" xfId="0" applyFont="1" applyFill="1" applyBorder="1" applyAlignment="1">
      <alignment vertical="center" wrapText="1"/>
    </xf>
    <xf numFmtId="0" fontId="9" fillId="0" borderId="7" xfId="0" applyFont="1" applyBorder="1" applyAlignment="1"/>
    <xf numFmtId="0" fontId="7" fillId="0" borderId="4" xfId="0" applyFont="1" applyBorder="1" applyAlignment="1">
      <alignment vertical="center" wrapText="1"/>
    </xf>
    <xf numFmtId="0" fontId="9" fillId="0" borderId="1" xfId="0" applyFont="1" applyBorder="1" applyAlignment="1"/>
    <xf numFmtId="9" fontId="7" fillId="18" borderId="5" xfId="0" applyNumberFormat="1" applyFont="1" applyFill="1" applyBorder="1" applyAlignment="1">
      <alignment vertical="center" wrapText="1"/>
    </xf>
    <xf numFmtId="164" fontId="7" fillId="0" borderId="10" xfId="0" applyNumberFormat="1" applyFont="1" applyBorder="1" applyAlignment="1">
      <alignment vertical="center" wrapText="1"/>
    </xf>
    <xf numFmtId="164" fontId="9" fillId="0" borderId="10" xfId="0" applyNumberFormat="1" applyFont="1" applyBorder="1" applyAlignment="1"/>
    <xf numFmtId="164" fontId="9" fillId="0" borderId="3" xfId="0" applyNumberFormat="1" applyFont="1" applyBorder="1" applyAlignment="1"/>
    <xf numFmtId="164" fontId="9" fillId="0" borderId="7" xfId="0" applyNumberFormat="1" applyFont="1" applyBorder="1" applyAlignment="1"/>
    <xf numFmtId="164" fontId="0" fillId="0" borderId="0" xfId="0" applyNumberFormat="1"/>
    <xf numFmtId="1" fontId="8" fillId="2" borderId="3" xfId="0" applyNumberFormat="1" applyFont="1" applyFill="1" applyBorder="1" applyAlignment="1">
      <alignment horizontal="center" vertical="center" wrapText="1"/>
    </xf>
    <xf numFmtId="1" fontId="8" fillId="2" borderId="10" xfId="0" applyNumberFormat="1" applyFont="1" applyFill="1" applyBorder="1" applyAlignment="1">
      <alignment horizontal="center" vertical="center" wrapText="1"/>
    </xf>
    <xf numFmtId="0" fontId="0" fillId="0" borderId="14" xfId="0" applyBorder="1"/>
    <xf numFmtId="1" fontId="8" fillId="2" borderId="14" xfId="0" applyNumberFormat="1" applyFont="1" applyFill="1" applyBorder="1" applyAlignment="1">
      <alignment horizontal="center" vertical="center" wrapText="1"/>
    </xf>
    <xf numFmtId="1" fontId="8" fillId="2" borderId="12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1" xfId="0" applyFont="1" applyBorder="1"/>
    <xf numFmtId="0" fontId="1" fillId="0" borderId="4" xfId="0" applyFont="1" applyBorder="1" applyAlignment="1">
      <alignment horizontal="center" vertical="center" wrapText="1"/>
    </xf>
    <xf numFmtId="9" fontId="5" fillId="10" borderId="5" xfId="0" applyNumberFormat="1" applyFont="1" applyFill="1" applyBorder="1" applyAlignment="1">
      <alignment horizontal="center" vertical="center" wrapText="1"/>
    </xf>
    <xf numFmtId="9" fontId="5" fillId="10" borderId="7" xfId="0" applyNumberFormat="1" applyFont="1" applyFill="1" applyBorder="1" applyAlignment="1">
      <alignment horizontal="center" vertical="center" wrapText="1"/>
    </xf>
    <xf numFmtId="0" fontId="6" fillId="12" borderId="5" xfId="0" applyFont="1" applyFill="1" applyBorder="1" applyAlignment="1">
      <alignment horizontal="center" vertical="center" wrapText="1"/>
    </xf>
    <xf numFmtId="0" fontId="6" fillId="12" borderId="7" xfId="0" applyFont="1" applyFill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5" fillId="14" borderId="8" xfId="0" applyFont="1" applyFill="1" applyBorder="1" applyAlignment="1">
      <alignment horizontal="center"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6" borderId="5" xfId="0" applyFont="1" applyFill="1" applyBorder="1" applyAlignment="1">
      <alignment horizontal="center" vertical="center" wrapText="1"/>
    </xf>
    <xf numFmtId="0" fontId="5" fillId="16" borderId="7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9" fontId="5" fillId="8" borderId="5" xfId="0" applyNumberFormat="1" applyFont="1" applyFill="1" applyBorder="1" applyAlignment="1">
      <alignment horizontal="center" vertical="center" wrapText="1"/>
    </xf>
    <xf numFmtId="9" fontId="5" fillId="8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Hoja1!$C$13:$C$23</c:f>
              <c:numCache>
                <c:formatCode>0</c:formatCode>
                <c:ptCount val="11"/>
                <c:pt idx="0">
                  <c:v>28.1</c:v>
                </c:pt>
                <c:pt idx="1">
                  <c:v>63.911000000000001</c:v>
                </c:pt>
                <c:pt idx="2">
                  <c:v>69.921999999999997</c:v>
                </c:pt>
                <c:pt idx="3">
                  <c:v>96.744</c:v>
                </c:pt>
                <c:pt idx="4">
                  <c:v>128.11000000000001</c:v>
                </c:pt>
                <c:pt idx="6">
                  <c:v>207.78</c:v>
                </c:pt>
                <c:pt idx="7">
                  <c:v>444.11</c:v>
                </c:pt>
                <c:pt idx="8">
                  <c:v>579.55999999999995</c:v>
                </c:pt>
                <c:pt idx="9">
                  <c:v>746.22</c:v>
                </c:pt>
                <c:pt idx="10">
                  <c:v>869.5</c:v>
                </c:pt>
              </c:numCache>
            </c:numRef>
          </c:xVal>
          <c:yVal>
            <c:numRef>
              <c:f>Hoja1!$O$13:$O$23</c:f>
              <c:numCache>
                <c:formatCode>General</c:formatCode>
                <c:ptCount val="11"/>
                <c:pt idx="0">
                  <c:v>844</c:v>
                </c:pt>
                <c:pt idx="1">
                  <c:v>885</c:v>
                </c:pt>
                <c:pt idx="2">
                  <c:v>881</c:v>
                </c:pt>
                <c:pt idx="3">
                  <c:v>914</c:v>
                </c:pt>
                <c:pt idx="4">
                  <c:v>1030</c:v>
                </c:pt>
                <c:pt idx="6">
                  <c:v>930</c:v>
                </c:pt>
                <c:pt idx="7">
                  <c:v>948</c:v>
                </c:pt>
                <c:pt idx="8">
                  <c:v>1016</c:v>
                </c:pt>
                <c:pt idx="9">
                  <c:v>1178</c:v>
                </c:pt>
                <c:pt idx="10">
                  <c:v>1312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38-497C-99C2-5FDED230C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479640"/>
        <c:axId val="439473408"/>
      </c:scatterChart>
      <c:valAx>
        <c:axId val="439479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39473408"/>
        <c:crosses val="autoZero"/>
        <c:crossBetween val="midCat"/>
      </c:valAx>
      <c:valAx>
        <c:axId val="43947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39479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Hoja1!$M$13:$M$23</c:f>
              <c:numCache>
                <c:formatCode>General</c:formatCode>
                <c:ptCount val="11"/>
                <c:pt idx="0">
                  <c:v>1148</c:v>
                </c:pt>
                <c:pt idx="1">
                  <c:v>1184</c:v>
                </c:pt>
                <c:pt idx="2">
                  <c:v>1173</c:v>
                </c:pt>
                <c:pt idx="3">
                  <c:v>1178</c:v>
                </c:pt>
                <c:pt idx="4">
                  <c:v>1300</c:v>
                </c:pt>
                <c:pt idx="6">
                  <c:v>1143</c:v>
                </c:pt>
                <c:pt idx="7">
                  <c:v>1198</c:v>
                </c:pt>
                <c:pt idx="8">
                  <c:v>1240</c:v>
                </c:pt>
                <c:pt idx="9">
                  <c:v>1343</c:v>
                </c:pt>
                <c:pt idx="10">
                  <c:v>1600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53-4050-852E-008E4462C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500632"/>
        <c:axId val="439498992"/>
      </c:scatterChart>
      <c:valAx>
        <c:axId val="43950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39498992"/>
        <c:crosses val="autoZero"/>
        <c:crossBetween val="midCat"/>
      </c:valAx>
      <c:valAx>
        <c:axId val="43949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3950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luz fria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2877864279462621"/>
                  <c:y val="-5.8252427184466023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</c:trendlineLbl>
          </c:trendline>
          <c:xVal>
            <c:numRef>
              <c:f>Hoja4!$C$2:$C$6</c:f>
              <c:numCache>
                <c:formatCode>0.000</c:formatCode>
                <c:ptCount val="5"/>
                <c:pt idx="0">
                  <c:v>0.32</c:v>
                </c:pt>
                <c:pt idx="1">
                  <c:v>0.48</c:v>
                </c:pt>
                <c:pt idx="2">
                  <c:v>0.48</c:v>
                </c:pt>
                <c:pt idx="3">
                  <c:v>0.64</c:v>
                </c:pt>
                <c:pt idx="4">
                  <c:v>1.37</c:v>
                </c:pt>
              </c:numCache>
            </c:numRef>
          </c:xVal>
          <c:yVal>
            <c:numRef>
              <c:f>Hoja4!$D$2:$D$6</c:f>
              <c:numCache>
                <c:formatCode>General</c:formatCode>
                <c:ptCount val="5"/>
                <c:pt idx="0">
                  <c:v>28.1</c:v>
                </c:pt>
                <c:pt idx="1">
                  <c:v>63.911000000000001</c:v>
                </c:pt>
                <c:pt idx="2">
                  <c:v>69.921999999999997</c:v>
                </c:pt>
                <c:pt idx="3">
                  <c:v>96.744</c:v>
                </c:pt>
                <c:pt idx="4">
                  <c:v>128.11000000000001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98-48D0-AE5A-DB1058B51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216272"/>
        <c:axId val="637207744"/>
      </c:scatterChart>
      <c:valAx>
        <c:axId val="63721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37207744"/>
        <c:crosses val="autoZero"/>
        <c:crossBetween val="midCat"/>
      </c:valAx>
      <c:valAx>
        <c:axId val="63720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37216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Hoja4!$C$13:$C$14</c:f>
              <c:numCache>
                <c:formatCode>0.000</c:formatCode>
                <c:ptCount val="2"/>
                <c:pt idx="0">
                  <c:v>0.6</c:v>
                </c:pt>
                <c:pt idx="1">
                  <c:v>0.62</c:v>
                </c:pt>
              </c:numCache>
            </c:numRef>
          </c:xVal>
          <c:yVal>
            <c:numRef>
              <c:f>Hoja4!$D$13:$D$14</c:f>
              <c:numCache>
                <c:formatCode>General</c:formatCode>
                <c:ptCount val="2"/>
                <c:pt idx="0">
                  <c:v>88.4</c:v>
                </c:pt>
                <c:pt idx="1">
                  <c:v>94.6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BF-4B01-91AA-C3FF0A36B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216272"/>
        <c:axId val="637207744"/>
      </c:scatterChart>
      <c:valAx>
        <c:axId val="63721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37207744"/>
        <c:crosses val="autoZero"/>
        <c:crossBetween val="midCat"/>
      </c:valAx>
      <c:valAx>
        <c:axId val="63720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37216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Hoja4!$C$21:$C$23</c:f>
              <c:numCache>
                <c:formatCode>0.000</c:formatCode>
                <c:ptCount val="3"/>
                <c:pt idx="0">
                  <c:v>0.23</c:v>
                </c:pt>
                <c:pt idx="1">
                  <c:v>0.39</c:v>
                </c:pt>
                <c:pt idx="2">
                  <c:v>0.33</c:v>
                </c:pt>
              </c:numCache>
            </c:numRef>
          </c:xVal>
          <c:yVal>
            <c:numRef>
              <c:f>Hoja4!$D$21:$D$23</c:f>
              <c:numCache>
                <c:formatCode>General</c:formatCode>
                <c:ptCount val="3"/>
                <c:pt idx="0">
                  <c:v>19.36</c:v>
                </c:pt>
                <c:pt idx="1">
                  <c:v>33.31</c:v>
                </c:pt>
                <c:pt idx="2">
                  <c:v>41.74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31-41F8-89F1-A2494E135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216272"/>
        <c:axId val="637207744"/>
      </c:scatterChart>
      <c:valAx>
        <c:axId val="63721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37207744"/>
        <c:crosses val="autoZero"/>
        <c:crossBetween val="midCat"/>
      </c:valAx>
      <c:valAx>
        <c:axId val="63720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37216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Hoja4!$C$27:$C$29</c:f>
              <c:numCache>
                <c:formatCode>0.000</c:formatCode>
                <c:ptCount val="3"/>
                <c:pt idx="0">
                  <c:v>0.17</c:v>
                </c:pt>
                <c:pt idx="1">
                  <c:v>0.17</c:v>
                </c:pt>
                <c:pt idx="2">
                  <c:v>0.28000000000000003</c:v>
                </c:pt>
              </c:numCache>
            </c:numRef>
          </c:xVal>
          <c:yVal>
            <c:numRef>
              <c:f>Hoja4!$D$27:$D$29</c:f>
              <c:numCache>
                <c:formatCode>General</c:formatCode>
                <c:ptCount val="3"/>
                <c:pt idx="0">
                  <c:v>10.283300000000001</c:v>
                </c:pt>
                <c:pt idx="1">
                  <c:v>11.8833</c:v>
                </c:pt>
                <c:pt idx="2">
                  <c:v>17.433299999999999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E7-4CAD-BC13-D557721E6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216272"/>
        <c:axId val="637207744"/>
      </c:scatterChart>
      <c:valAx>
        <c:axId val="63721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37207744"/>
        <c:crosses val="autoZero"/>
        <c:crossBetween val="midCat"/>
      </c:valAx>
      <c:valAx>
        <c:axId val="63720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37216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Hoja4!$C$35:$C$37</c:f>
              <c:numCache>
                <c:formatCode>0.000</c:formatCode>
                <c:ptCount val="3"/>
                <c:pt idx="0">
                  <c:v>3.5999999999999997E-2</c:v>
                </c:pt>
                <c:pt idx="1">
                  <c:v>7.9000000000000001E-2</c:v>
                </c:pt>
                <c:pt idx="2">
                  <c:v>8.4000000000000005E-2</c:v>
                </c:pt>
              </c:numCache>
            </c:numRef>
          </c:xVal>
          <c:yVal>
            <c:numRef>
              <c:f>Hoja4!$D$35:$D$37</c:f>
              <c:numCache>
                <c:formatCode>General</c:formatCode>
                <c:ptCount val="3"/>
                <c:pt idx="0">
                  <c:v>2</c:v>
                </c:pt>
                <c:pt idx="1">
                  <c:v>7.133</c:v>
                </c:pt>
                <c:pt idx="2">
                  <c:v>10.72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F3-4214-AC77-6376C66F6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216272"/>
        <c:axId val="637207744"/>
      </c:scatterChart>
      <c:valAx>
        <c:axId val="63721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37207744"/>
        <c:crosses val="autoZero"/>
        <c:crossBetween val="midCat"/>
      </c:valAx>
      <c:valAx>
        <c:axId val="63720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37216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Hoja4!$C$41:$C$43</c:f>
              <c:numCache>
                <c:formatCode>0.000</c:formatCode>
                <c:ptCount val="3"/>
                <c:pt idx="0">
                  <c:v>4.8000000000000001E-2</c:v>
                </c:pt>
                <c:pt idx="1">
                  <c:v>8.8999999999999996E-2</c:v>
                </c:pt>
                <c:pt idx="2">
                  <c:v>0.12</c:v>
                </c:pt>
              </c:numCache>
            </c:numRef>
          </c:xVal>
          <c:yVal>
            <c:numRef>
              <c:f>Hoja4!$D$41:$D$43</c:f>
              <c:numCache>
                <c:formatCode>General</c:formatCode>
                <c:ptCount val="3"/>
                <c:pt idx="0">
                  <c:v>5.15</c:v>
                </c:pt>
                <c:pt idx="1">
                  <c:v>16.2</c:v>
                </c:pt>
                <c:pt idx="2">
                  <c:v>50.082999999999998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77-46A8-8BF9-FE697526F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216272"/>
        <c:axId val="637207744"/>
      </c:scatterChart>
      <c:valAx>
        <c:axId val="63721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37207744"/>
        <c:crosses val="autoZero"/>
        <c:crossBetween val="midCat"/>
      </c:valAx>
      <c:valAx>
        <c:axId val="63720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37216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Hoja4!$C$2:$C$47</c:f>
              <c:numCache>
                <c:formatCode>0.000</c:formatCode>
                <c:ptCount val="46"/>
                <c:pt idx="0">
                  <c:v>0.32</c:v>
                </c:pt>
                <c:pt idx="1">
                  <c:v>0.48</c:v>
                </c:pt>
                <c:pt idx="2">
                  <c:v>0.48</c:v>
                </c:pt>
                <c:pt idx="3">
                  <c:v>0.64</c:v>
                </c:pt>
                <c:pt idx="4">
                  <c:v>1.37</c:v>
                </c:pt>
                <c:pt idx="5">
                  <c:v>0.8</c:v>
                </c:pt>
                <c:pt idx="6">
                  <c:v>1.7</c:v>
                </c:pt>
                <c:pt idx="7">
                  <c:v>1.98</c:v>
                </c:pt>
                <c:pt idx="8">
                  <c:v>3.58</c:v>
                </c:pt>
                <c:pt idx="9">
                  <c:v>3.92</c:v>
                </c:pt>
                <c:pt idx="11">
                  <c:v>0.6</c:v>
                </c:pt>
                <c:pt idx="12">
                  <c:v>0.62</c:v>
                </c:pt>
                <c:pt idx="13">
                  <c:v>1.1100000000000001</c:v>
                </c:pt>
                <c:pt idx="14">
                  <c:v>1.91</c:v>
                </c:pt>
                <c:pt idx="15">
                  <c:v>2.8</c:v>
                </c:pt>
                <c:pt idx="16">
                  <c:v>4.03</c:v>
                </c:pt>
                <c:pt idx="17">
                  <c:v>2.4300000000000002</c:v>
                </c:pt>
                <c:pt idx="19">
                  <c:v>0.23</c:v>
                </c:pt>
                <c:pt idx="20">
                  <c:v>0.39</c:v>
                </c:pt>
                <c:pt idx="21">
                  <c:v>0.33</c:v>
                </c:pt>
                <c:pt idx="22">
                  <c:v>1.74</c:v>
                </c:pt>
                <c:pt idx="23">
                  <c:v>2.35</c:v>
                </c:pt>
                <c:pt idx="25">
                  <c:v>0.17</c:v>
                </c:pt>
                <c:pt idx="26">
                  <c:v>0.17</c:v>
                </c:pt>
                <c:pt idx="27">
                  <c:v>0.28000000000000003</c:v>
                </c:pt>
                <c:pt idx="28">
                  <c:v>0.77</c:v>
                </c:pt>
                <c:pt idx="29">
                  <c:v>0.91</c:v>
                </c:pt>
                <c:pt idx="30">
                  <c:v>2.06</c:v>
                </c:pt>
                <c:pt idx="31">
                  <c:v>1.2</c:v>
                </c:pt>
                <c:pt idx="33">
                  <c:v>3.5999999999999997E-2</c:v>
                </c:pt>
                <c:pt idx="34">
                  <c:v>7.9000000000000001E-2</c:v>
                </c:pt>
                <c:pt idx="35">
                  <c:v>8.4000000000000005E-2</c:v>
                </c:pt>
                <c:pt idx="36">
                  <c:v>0.24299999999999999</c:v>
                </c:pt>
                <c:pt idx="37">
                  <c:v>0.23200000000000001</c:v>
                </c:pt>
                <c:pt idx="39">
                  <c:v>4.8000000000000001E-2</c:v>
                </c:pt>
                <c:pt idx="40">
                  <c:v>8.8999999999999996E-2</c:v>
                </c:pt>
                <c:pt idx="41">
                  <c:v>0.12</c:v>
                </c:pt>
                <c:pt idx="42">
                  <c:v>0.315</c:v>
                </c:pt>
                <c:pt idx="43">
                  <c:v>0.22500000000000001</c:v>
                </c:pt>
                <c:pt idx="44">
                  <c:v>0.316</c:v>
                </c:pt>
                <c:pt idx="45">
                  <c:v>0.39500000000000002</c:v>
                </c:pt>
              </c:numCache>
            </c:numRef>
          </c:xVal>
          <c:yVal>
            <c:numRef>
              <c:f>Hoja4!$D$2:$D$47</c:f>
              <c:numCache>
                <c:formatCode>General</c:formatCode>
                <c:ptCount val="46"/>
                <c:pt idx="0">
                  <c:v>28.1</c:v>
                </c:pt>
                <c:pt idx="1">
                  <c:v>63.911000000000001</c:v>
                </c:pt>
                <c:pt idx="2">
                  <c:v>69.921999999999997</c:v>
                </c:pt>
                <c:pt idx="3">
                  <c:v>96.744</c:v>
                </c:pt>
                <c:pt idx="4">
                  <c:v>128.11000000000001</c:v>
                </c:pt>
                <c:pt idx="5">
                  <c:v>207.78</c:v>
                </c:pt>
                <c:pt idx="6">
                  <c:v>444.11</c:v>
                </c:pt>
                <c:pt idx="7">
                  <c:v>579.55999999999995</c:v>
                </c:pt>
                <c:pt idx="8">
                  <c:v>746.22</c:v>
                </c:pt>
                <c:pt idx="9">
                  <c:v>869.5</c:v>
                </c:pt>
                <c:pt idx="11">
                  <c:v>88.4</c:v>
                </c:pt>
                <c:pt idx="12">
                  <c:v>94.6</c:v>
                </c:pt>
                <c:pt idx="13">
                  <c:v>271.44400000000002</c:v>
                </c:pt>
                <c:pt idx="14">
                  <c:v>550.22199999999998</c:v>
                </c:pt>
                <c:pt idx="15">
                  <c:v>609</c:v>
                </c:pt>
                <c:pt idx="16">
                  <c:v>739.11099999999999</c:v>
                </c:pt>
                <c:pt idx="17">
                  <c:v>746.88900000000001</c:v>
                </c:pt>
                <c:pt idx="19">
                  <c:v>19.36</c:v>
                </c:pt>
                <c:pt idx="20">
                  <c:v>33.31</c:v>
                </c:pt>
                <c:pt idx="21">
                  <c:v>41.74</c:v>
                </c:pt>
                <c:pt idx="22">
                  <c:v>204.5</c:v>
                </c:pt>
                <c:pt idx="23">
                  <c:v>277.7</c:v>
                </c:pt>
                <c:pt idx="25">
                  <c:v>10.283300000000001</c:v>
                </c:pt>
                <c:pt idx="26">
                  <c:v>11.8833</c:v>
                </c:pt>
                <c:pt idx="27">
                  <c:v>17.433299999999999</c:v>
                </c:pt>
                <c:pt idx="28">
                  <c:v>117.467</c:v>
                </c:pt>
                <c:pt idx="29">
                  <c:v>187.833</c:v>
                </c:pt>
                <c:pt idx="30">
                  <c:v>218.333</c:v>
                </c:pt>
                <c:pt idx="31">
                  <c:v>238.5</c:v>
                </c:pt>
                <c:pt idx="33">
                  <c:v>2</c:v>
                </c:pt>
                <c:pt idx="34">
                  <c:v>7.133</c:v>
                </c:pt>
                <c:pt idx="35">
                  <c:v>10.72</c:v>
                </c:pt>
                <c:pt idx="36">
                  <c:v>20.466999999999999</c:v>
                </c:pt>
                <c:pt idx="37">
                  <c:v>20.367000000000001</c:v>
                </c:pt>
                <c:pt idx="39">
                  <c:v>5.15</c:v>
                </c:pt>
                <c:pt idx="40">
                  <c:v>16.2</c:v>
                </c:pt>
                <c:pt idx="41">
                  <c:v>50.082999999999998</c:v>
                </c:pt>
                <c:pt idx="42">
                  <c:v>93.992999999999995</c:v>
                </c:pt>
                <c:pt idx="43">
                  <c:v>95.516999999999996</c:v>
                </c:pt>
                <c:pt idx="44">
                  <c:v>100.92</c:v>
                </c:pt>
                <c:pt idx="45">
                  <c:v>115.37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84-478D-A9DC-B51B1B539ED4}"/>
            </c:ext>
          </c:extLst>
        </c:ser>
        <c:ser>
          <c:idx val="1"/>
          <c:order val="1"/>
          <c:tx>
            <c:v>amarillo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Hoja4!$C$2:$C$11</c:f>
              <c:numCache>
                <c:formatCode>0.000</c:formatCode>
                <c:ptCount val="10"/>
                <c:pt idx="0">
                  <c:v>0.32</c:v>
                </c:pt>
                <c:pt idx="1">
                  <c:v>0.48</c:v>
                </c:pt>
                <c:pt idx="2">
                  <c:v>0.48</c:v>
                </c:pt>
                <c:pt idx="3">
                  <c:v>0.64</c:v>
                </c:pt>
                <c:pt idx="4">
                  <c:v>1.37</c:v>
                </c:pt>
                <c:pt idx="5">
                  <c:v>0.8</c:v>
                </c:pt>
                <c:pt idx="6">
                  <c:v>1.7</c:v>
                </c:pt>
                <c:pt idx="7">
                  <c:v>1.98</c:v>
                </c:pt>
                <c:pt idx="8">
                  <c:v>3.58</c:v>
                </c:pt>
                <c:pt idx="9">
                  <c:v>3.92</c:v>
                </c:pt>
              </c:numCache>
            </c:numRef>
          </c:xVal>
          <c:yVal>
            <c:numRef>
              <c:f>Hoja4!$D$2:$D$11</c:f>
              <c:numCache>
                <c:formatCode>General</c:formatCode>
                <c:ptCount val="10"/>
                <c:pt idx="0">
                  <c:v>28.1</c:v>
                </c:pt>
                <c:pt idx="1">
                  <c:v>63.911000000000001</c:v>
                </c:pt>
                <c:pt idx="2">
                  <c:v>69.921999999999997</c:v>
                </c:pt>
                <c:pt idx="3">
                  <c:v>96.744</c:v>
                </c:pt>
                <c:pt idx="4">
                  <c:v>128.11000000000001</c:v>
                </c:pt>
                <c:pt idx="5">
                  <c:v>207.78</c:v>
                </c:pt>
                <c:pt idx="6">
                  <c:v>444.11</c:v>
                </c:pt>
                <c:pt idx="7">
                  <c:v>579.55999999999995</c:v>
                </c:pt>
                <c:pt idx="8">
                  <c:v>746.22</c:v>
                </c:pt>
                <c:pt idx="9">
                  <c:v>869.5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84-478D-A9DC-B51B1B539ED4}"/>
            </c:ext>
          </c:extLst>
        </c:ser>
        <c:ser>
          <c:idx val="2"/>
          <c:order val="2"/>
          <c:tx>
            <c:v>blanco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Hoja4!$C$13:$C$19</c:f>
              <c:numCache>
                <c:formatCode>0.000</c:formatCode>
                <c:ptCount val="7"/>
                <c:pt idx="0">
                  <c:v>0.6</c:v>
                </c:pt>
                <c:pt idx="1">
                  <c:v>0.62</c:v>
                </c:pt>
                <c:pt idx="2">
                  <c:v>1.1100000000000001</c:v>
                </c:pt>
                <c:pt idx="3">
                  <c:v>1.91</c:v>
                </c:pt>
                <c:pt idx="4">
                  <c:v>2.8</c:v>
                </c:pt>
                <c:pt idx="5">
                  <c:v>4.03</c:v>
                </c:pt>
                <c:pt idx="6">
                  <c:v>2.4300000000000002</c:v>
                </c:pt>
              </c:numCache>
            </c:numRef>
          </c:xVal>
          <c:yVal>
            <c:numRef>
              <c:f>Hoja4!$D$13:$D$19</c:f>
              <c:numCache>
                <c:formatCode>General</c:formatCode>
                <c:ptCount val="7"/>
                <c:pt idx="0">
                  <c:v>88.4</c:v>
                </c:pt>
                <c:pt idx="1">
                  <c:v>94.6</c:v>
                </c:pt>
                <c:pt idx="2">
                  <c:v>271.44400000000002</c:v>
                </c:pt>
                <c:pt idx="3">
                  <c:v>550.22199999999998</c:v>
                </c:pt>
                <c:pt idx="4">
                  <c:v>609</c:v>
                </c:pt>
                <c:pt idx="5">
                  <c:v>739.11099999999999</c:v>
                </c:pt>
                <c:pt idx="6">
                  <c:v>746.88900000000001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84-478D-A9DC-B51B1B539ED4}"/>
            </c:ext>
          </c:extLst>
        </c:ser>
        <c:ser>
          <c:idx val="3"/>
          <c:order val="3"/>
          <c:tx>
            <c:v>naranja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Hoja4!$C$21:$C$25</c:f>
              <c:numCache>
                <c:formatCode>0.000</c:formatCode>
                <c:ptCount val="5"/>
                <c:pt idx="0">
                  <c:v>0.23</c:v>
                </c:pt>
                <c:pt idx="1">
                  <c:v>0.39</c:v>
                </c:pt>
                <c:pt idx="2">
                  <c:v>0.33</c:v>
                </c:pt>
                <c:pt idx="3">
                  <c:v>1.74</c:v>
                </c:pt>
                <c:pt idx="4">
                  <c:v>2.35</c:v>
                </c:pt>
              </c:numCache>
            </c:numRef>
          </c:xVal>
          <c:yVal>
            <c:numRef>
              <c:f>Hoja4!$D$21:$D$25</c:f>
              <c:numCache>
                <c:formatCode>General</c:formatCode>
                <c:ptCount val="5"/>
                <c:pt idx="0">
                  <c:v>19.36</c:v>
                </c:pt>
                <c:pt idx="1">
                  <c:v>33.31</c:v>
                </c:pt>
                <c:pt idx="2">
                  <c:v>41.74</c:v>
                </c:pt>
                <c:pt idx="3">
                  <c:v>204.5</c:v>
                </c:pt>
                <c:pt idx="4">
                  <c:v>277.7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084-478D-A9DC-B51B1B539ED4}"/>
            </c:ext>
          </c:extLst>
        </c:ser>
        <c:ser>
          <c:idx val="4"/>
          <c:order val="4"/>
          <c:tx>
            <c:v>rojo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Hoja4!$C$27:$C$33</c:f>
              <c:numCache>
                <c:formatCode>0.000</c:formatCode>
                <c:ptCount val="7"/>
                <c:pt idx="0">
                  <c:v>0.17</c:v>
                </c:pt>
                <c:pt idx="1">
                  <c:v>0.17</c:v>
                </c:pt>
                <c:pt idx="2">
                  <c:v>0.28000000000000003</c:v>
                </c:pt>
                <c:pt idx="3">
                  <c:v>0.77</c:v>
                </c:pt>
                <c:pt idx="4">
                  <c:v>0.91</c:v>
                </c:pt>
                <c:pt idx="5">
                  <c:v>2.06</c:v>
                </c:pt>
                <c:pt idx="6">
                  <c:v>1.2</c:v>
                </c:pt>
              </c:numCache>
            </c:numRef>
          </c:xVal>
          <c:yVal>
            <c:numRef>
              <c:f>Hoja4!$D$27:$D$33</c:f>
              <c:numCache>
                <c:formatCode>General</c:formatCode>
                <c:ptCount val="7"/>
                <c:pt idx="0">
                  <c:v>10.283300000000001</c:v>
                </c:pt>
                <c:pt idx="1">
                  <c:v>11.8833</c:v>
                </c:pt>
                <c:pt idx="2">
                  <c:v>17.433299999999999</c:v>
                </c:pt>
                <c:pt idx="3">
                  <c:v>117.467</c:v>
                </c:pt>
                <c:pt idx="4">
                  <c:v>187.833</c:v>
                </c:pt>
                <c:pt idx="5">
                  <c:v>218.333</c:v>
                </c:pt>
                <c:pt idx="6">
                  <c:v>238.5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084-478D-A9DC-B51B1B539ED4}"/>
            </c:ext>
          </c:extLst>
        </c:ser>
        <c:ser>
          <c:idx val="5"/>
          <c:order val="5"/>
          <c:tx>
            <c:v>azul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Hoja4!$C$35:$C$39</c:f>
              <c:numCache>
                <c:formatCode>0.000</c:formatCode>
                <c:ptCount val="5"/>
                <c:pt idx="0">
                  <c:v>3.5999999999999997E-2</c:v>
                </c:pt>
                <c:pt idx="1">
                  <c:v>7.9000000000000001E-2</c:v>
                </c:pt>
                <c:pt idx="2">
                  <c:v>8.4000000000000005E-2</c:v>
                </c:pt>
                <c:pt idx="3">
                  <c:v>0.24299999999999999</c:v>
                </c:pt>
                <c:pt idx="4">
                  <c:v>0.23200000000000001</c:v>
                </c:pt>
              </c:numCache>
            </c:numRef>
          </c:xVal>
          <c:yVal>
            <c:numRef>
              <c:f>Hoja4!$D$35:$D$39</c:f>
              <c:numCache>
                <c:formatCode>General</c:formatCode>
                <c:ptCount val="5"/>
                <c:pt idx="0">
                  <c:v>2</c:v>
                </c:pt>
                <c:pt idx="1">
                  <c:v>7.133</c:v>
                </c:pt>
                <c:pt idx="2">
                  <c:v>10.72</c:v>
                </c:pt>
                <c:pt idx="3">
                  <c:v>20.466999999999999</c:v>
                </c:pt>
                <c:pt idx="4">
                  <c:v>20.367000000000001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084-478D-A9DC-B51B1B539ED4}"/>
            </c:ext>
          </c:extLst>
        </c:ser>
        <c:ser>
          <c:idx val="6"/>
          <c:order val="6"/>
          <c:tx>
            <c:v>verde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Hoja4!$C$41:$C$47</c:f>
              <c:numCache>
                <c:formatCode>0.000</c:formatCode>
                <c:ptCount val="7"/>
                <c:pt idx="0">
                  <c:v>4.8000000000000001E-2</c:v>
                </c:pt>
                <c:pt idx="1">
                  <c:v>8.8999999999999996E-2</c:v>
                </c:pt>
                <c:pt idx="2">
                  <c:v>0.12</c:v>
                </c:pt>
                <c:pt idx="3">
                  <c:v>0.315</c:v>
                </c:pt>
                <c:pt idx="4">
                  <c:v>0.22500000000000001</c:v>
                </c:pt>
                <c:pt idx="5">
                  <c:v>0.316</c:v>
                </c:pt>
                <c:pt idx="6">
                  <c:v>0.39500000000000002</c:v>
                </c:pt>
              </c:numCache>
            </c:numRef>
          </c:xVal>
          <c:yVal>
            <c:numRef>
              <c:f>Hoja4!$D$41:$D$47</c:f>
              <c:numCache>
                <c:formatCode>General</c:formatCode>
                <c:ptCount val="7"/>
                <c:pt idx="0">
                  <c:v>5.15</c:v>
                </c:pt>
                <c:pt idx="1">
                  <c:v>16.2</c:v>
                </c:pt>
                <c:pt idx="2">
                  <c:v>50.082999999999998</c:v>
                </c:pt>
                <c:pt idx="3">
                  <c:v>93.992999999999995</c:v>
                </c:pt>
                <c:pt idx="4">
                  <c:v>95.516999999999996</c:v>
                </c:pt>
                <c:pt idx="5">
                  <c:v>100.92</c:v>
                </c:pt>
                <c:pt idx="6">
                  <c:v>115.37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084-478D-A9DC-B51B1B539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531792"/>
        <c:axId val="584529824"/>
      </c:scatterChart>
      <c:valAx>
        <c:axId val="584531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4529824"/>
        <c:crosses val="autoZero"/>
        <c:crossBetween val="midCat"/>
      </c:valAx>
      <c:valAx>
        <c:axId val="58452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4531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</c:trendlineLbl>
          </c:trendline>
          <c:xVal>
            <c:numRef>
              <c:f>Hoja4!$J$2:$J$11</c:f>
              <c:numCache>
                <c:formatCode>General</c:formatCode>
                <c:ptCount val="10"/>
                <c:pt idx="0">
                  <c:v>0.35</c:v>
                </c:pt>
                <c:pt idx="1">
                  <c:v>0.59</c:v>
                </c:pt>
                <c:pt idx="2">
                  <c:v>0.56000000000000005</c:v>
                </c:pt>
                <c:pt idx="3">
                  <c:v>0.67</c:v>
                </c:pt>
                <c:pt idx="4">
                  <c:v>1.72</c:v>
                </c:pt>
                <c:pt idx="5">
                  <c:v>0.97</c:v>
                </c:pt>
                <c:pt idx="6">
                  <c:v>2.0499999999999998</c:v>
                </c:pt>
                <c:pt idx="7">
                  <c:v>2.46</c:v>
                </c:pt>
                <c:pt idx="8">
                  <c:v>4.45</c:v>
                </c:pt>
                <c:pt idx="9">
                  <c:v>4.82</c:v>
                </c:pt>
              </c:numCache>
            </c:numRef>
          </c:xVal>
          <c:yVal>
            <c:numRef>
              <c:f>Hoja4!$K$2:$K$11</c:f>
              <c:numCache>
                <c:formatCode>General</c:formatCode>
                <c:ptCount val="10"/>
                <c:pt idx="0">
                  <c:v>28.1</c:v>
                </c:pt>
                <c:pt idx="1">
                  <c:v>63.911000000000001</c:v>
                </c:pt>
                <c:pt idx="2">
                  <c:v>69.921999999999997</c:v>
                </c:pt>
                <c:pt idx="3">
                  <c:v>96.744</c:v>
                </c:pt>
                <c:pt idx="4">
                  <c:v>128.11000000000001</c:v>
                </c:pt>
                <c:pt idx="5">
                  <c:v>207.78</c:v>
                </c:pt>
                <c:pt idx="6">
                  <c:v>444.11</c:v>
                </c:pt>
                <c:pt idx="7">
                  <c:v>579.55999999999995</c:v>
                </c:pt>
                <c:pt idx="8">
                  <c:v>746.22</c:v>
                </c:pt>
                <c:pt idx="9">
                  <c:v>869.5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EE-44B6-9778-364540557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976088"/>
        <c:axId val="597968872"/>
      </c:scatterChart>
      <c:valAx>
        <c:axId val="597976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97968872"/>
        <c:crosses val="autoZero"/>
        <c:crossBetween val="midCat"/>
      </c:valAx>
      <c:valAx>
        <c:axId val="597968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97976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Hoja4!$J$13:$J$19</c:f>
              <c:numCache>
                <c:formatCode>General</c:formatCode>
                <c:ptCount val="7"/>
                <c:pt idx="0">
                  <c:v>0.61</c:v>
                </c:pt>
                <c:pt idx="1">
                  <c:v>0.61</c:v>
                </c:pt>
                <c:pt idx="2">
                  <c:v>1.1499999999999999</c:v>
                </c:pt>
                <c:pt idx="3">
                  <c:v>2.23</c:v>
                </c:pt>
                <c:pt idx="4">
                  <c:v>3.11</c:v>
                </c:pt>
                <c:pt idx="5">
                  <c:v>4.6399999999999997</c:v>
                </c:pt>
                <c:pt idx="6">
                  <c:v>2.87</c:v>
                </c:pt>
              </c:numCache>
            </c:numRef>
          </c:xVal>
          <c:yVal>
            <c:numRef>
              <c:f>Hoja4!$K$13:$K$19</c:f>
              <c:numCache>
                <c:formatCode>General</c:formatCode>
                <c:ptCount val="7"/>
                <c:pt idx="0">
                  <c:v>88.4</c:v>
                </c:pt>
                <c:pt idx="1">
                  <c:v>94.6</c:v>
                </c:pt>
                <c:pt idx="2">
                  <c:v>271.44400000000002</c:v>
                </c:pt>
                <c:pt idx="3">
                  <c:v>550.22199999999998</c:v>
                </c:pt>
                <c:pt idx="4">
                  <c:v>609</c:v>
                </c:pt>
                <c:pt idx="5">
                  <c:v>739.11099999999999</c:v>
                </c:pt>
                <c:pt idx="6">
                  <c:v>746.88900000000001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E7-493E-9F7F-8060EB8B5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976088"/>
        <c:axId val="597968872"/>
      </c:scatterChart>
      <c:valAx>
        <c:axId val="597976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97968872"/>
        <c:crosses val="autoZero"/>
        <c:crossBetween val="midCat"/>
      </c:valAx>
      <c:valAx>
        <c:axId val="597968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97976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Hoja4!$J$21:$J$25</c:f>
              <c:numCache>
                <c:formatCode>General</c:formatCode>
                <c:ptCount val="5"/>
                <c:pt idx="0">
                  <c:v>0.31</c:v>
                </c:pt>
                <c:pt idx="1">
                  <c:v>0.43</c:v>
                </c:pt>
                <c:pt idx="2">
                  <c:v>0.42</c:v>
                </c:pt>
                <c:pt idx="3">
                  <c:v>2.42</c:v>
                </c:pt>
                <c:pt idx="4">
                  <c:v>3.45</c:v>
                </c:pt>
              </c:numCache>
            </c:numRef>
          </c:xVal>
          <c:yVal>
            <c:numRef>
              <c:f>Hoja4!$K$21:$K$25</c:f>
              <c:numCache>
                <c:formatCode>General</c:formatCode>
                <c:ptCount val="5"/>
                <c:pt idx="0">
                  <c:v>19.36</c:v>
                </c:pt>
                <c:pt idx="1">
                  <c:v>33.31</c:v>
                </c:pt>
                <c:pt idx="2">
                  <c:v>41.74</c:v>
                </c:pt>
                <c:pt idx="3">
                  <c:v>204.5</c:v>
                </c:pt>
                <c:pt idx="4">
                  <c:v>277.7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00-46FB-B60E-51900AEFC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976088"/>
        <c:axId val="597968872"/>
      </c:scatterChart>
      <c:valAx>
        <c:axId val="597976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97968872"/>
        <c:crosses val="autoZero"/>
        <c:crossBetween val="midCat"/>
      </c:valAx>
      <c:valAx>
        <c:axId val="597968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97976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Hoja4!$J$27:$J$33</c:f>
              <c:numCache>
                <c:formatCode>General</c:formatCode>
                <c:ptCount val="7"/>
                <c:pt idx="0">
                  <c:v>0.21</c:v>
                </c:pt>
                <c:pt idx="1">
                  <c:v>0.22</c:v>
                </c:pt>
                <c:pt idx="2">
                  <c:v>0.37</c:v>
                </c:pt>
                <c:pt idx="3">
                  <c:v>1.1399999999999999</c:v>
                </c:pt>
                <c:pt idx="4">
                  <c:v>1.43</c:v>
                </c:pt>
                <c:pt idx="5">
                  <c:v>3.22</c:v>
                </c:pt>
                <c:pt idx="6">
                  <c:v>1.74</c:v>
                </c:pt>
              </c:numCache>
            </c:numRef>
          </c:xVal>
          <c:yVal>
            <c:numRef>
              <c:f>Hoja4!$K$27:$K$33</c:f>
              <c:numCache>
                <c:formatCode>General</c:formatCode>
                <c:ptCount val="7"/>
                <c:pt idx="0">
                  <c:v>10.283300000000001</c:v>
                </c:pt>
                <c:pt idx="1">
                  <c:v>11.8833</c:v>
                </c:pt>
                <c:pt idx="2">
                  <c:v>17.433299999999999</c:v>
                </c:pt>
                <c:pt idx="3">
                  <c:v>117.467</c:v>
                </c:pt>
                <c:pt idx="4">
                  <c:v>187.833</c:v>
                </c:pt>
                <c:pt idx="5">
                  <c:v>218.333</c:v>
                </c:pt>
                <c:pt idx="6">
                  <c:v>238.5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ED-4C6A-AF4A-D0B757360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976088"/>
        <c:axId val="597968872"/>
      </c:scatterChart>
      <c:valAx>
        <c:axId val="597976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97968872"/>
        <c:crosses val="autoZero"/>
        <c:crossBetween val="midCat"/>
      </c:valAx>
      <c:valAx>
        <c:axId val="597968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97976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Hoja4!$J$35:$J$39</c:f>
              <c:numCache>
                <c:formatCode>General</c:formatCode>
                <c:ptCount val="5"/>
                <c:pt idx="0">
                  <c:v>0.01</c:v>
                </c:pt>
                <c:pt idx="1">
                  <c:v>0.04</c:v>
                </c:pt>
                <c:pt idx="2">
                  <c:v>0.04</c:v>
                </c:pt>
                <c:pt idx="3">
                  <c:v>0.08</c:v>
                </c:pt>
                <c:pt idx="4">
                  <c:v>0.08</c:v>
                </c:pt>
              </c:numCache>
            </c:numRef>
          </c:xVal>
          <c:yVal>
            <c:numRef>
              <c:f>Hoja4!$K$35:$K$39</c:f>
              <c:numCache>
                <c:formatCode>General</c:formatCode>
                <c:ptCount val="5"/>
                <c:pt idx="0">
                  <c:v>2</c:v>
                </c:pt>
                <c:pt idx="1">
                  <c:v>7.133</c:v>
                </c:pt>
                <c:pt idx="2">
                  <c:v>10.72</c:v>
                </c:pt>
                <c:pt idx="3">
                  <c:v>20.466999999999999</c:v>
                </c:pt>
                <c:pt idx="4">
                  <c:v>20.367000000000001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CA-4B73-9E34-64CD1863F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976088"/>
        <c:axId val="597968872"/>
      </c:scatterChart>
      <c:valAx>
        <c:axId val="597976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97968872"/>
        <c:crosses val="autoZero"/>
        <c:crossBetween val="midCat"/>
      </c:valAx>
      <c:valAx>
        <c:axId val="597968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97976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Hoja4!$J$41:$J$47</c:f>
              <c:numCache>
                <c:formatCode>General</c:formatCode>
                <c:ptCount val="7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0.2</c:v>
                </c:pt>
                <c:pt idx="4">
                  <c:v>0.13</c:v>
                </c:pt>
                <c:pt idx="5">
                  <c:v>0.21</c:v>
                </c:pt>
                <c:pt idx="6">
                  <c:v>0.22</c:v>
                </c:pt>
              </c:numCache>
            </c:numRef>
          </c:xVal>
          <c:yVal>
            <c:numRef>
              <c:f>Hoja4!$K$41:$K$47</c:f>
              <c:numCache>
                <c:formatCode>General</c:formatCode>
                <c:ptCount val="7"/>
                <c:pt idx="0">
                  <c:v>5.15</c:v>
                </c:pt>
                <c:pt idx="1">
                  <c:v>16.2</c:v>
                </c:pt>
                <c:pt idx="2">
                  <c:v>50.082999999999998</c:v>
                </c:pt>
                <c:pt idx="3">
                  <c:v>93.992999999999995</c:v>
                </c:pt>
                <c:pt idx="4">
                  <c:v>95.516999999999996</c:v>
                </c:pt>
                <c:pt idx="5">
                  <c:v>100.92</c:v>
                </c:pt>
                <c:pt idx="6">
                  <c:v>115.37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21-4580-BCD5-32045029E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976088"/>
        <c:axId val="597968872"/>
      </c:scatterChart>
      <c:valAx>
        <c:axId val="597976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97968872"/>
        <c:crosses val="autoZero"/>
        <c:crossBetween val="midCat"/>
      </c:valAx>
      <c:valAx>
        <c:axId val="597968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97976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Hoja4!$J$2:$J$47</c:f>
              <c:numCache>
                <c:formatCode>General</c:formatCode>
                <c:ptCount val="46"/>
                <c:pt idx="0">
                  <c:v>0.35</c:v>
                </c:pt>
                <c:pt idx="1">
                  <c:v>0.59</c:v>
                </c:pt>
                <c:pt idx="2">
                  <c:v>0.56000000000000005</c:v>
                </c:pt>
                <c:pt idx="3">
                  <c:v>0.67</c:v>
                </c:pt>
                <c:pt idx="4">
                  <c:v>1.72</c:v>
                </c:pt>
                <c:pt idx="5">
                  <c:v>0.97</c:v>
                </c:pt>
                <c:pt idx="6">
                  <c:v>2.0499999999999998</c:v>
                </c:pt>
                <c:pt idx="7">
                  <c:v>2.46</c:v>
                </c:pt>
                <c:pt idx="8">
                  <c:v>4.45</c:v>
                </c:pt>
                <c:pt idx="9">
                  <c:v>4.82</c:v>
                </c:pt>
                <c:pt idx="11">
                  <c:v>0.61</c:v>
                </c:pt>
                <c:pt idx="12">
                  <c:v>0.61</c:v>
                </c:pt>
                <c:pt idx="13">
                  <c:v>1.1499999999999999</c:v>
                </c:pt>
                <c:pt idx="14">
                  <c:v>2.23</c:v>
                </c:pt>
                <c:pt idx="15">
                  <c:v>3.11</c:v>
                </c:pt>
                <c:pt idx="16">
                  <c:v>4.6399999999999997</c:v>
                </c:pt>
                <c:pt idx="17">
                  <c:v>2.87</c:v>
                </c:pt>
                <c:pt idx="19">
                  <c:v>0.31</c:v>
                </c:pt>
                <c:pt idx="20">
                  <c:v>0.43</c:v>
                </c:pt>
                <c:pt idx="21">
                  <c:v>0.42</c:v>
                </c:pt>
                <c:pt idx="22">
                  <c:v>2.42</c:v>
                </c:pt>
                <c:pt idx="23">
                  <c:v>3.45</c:v>
                </c:pt>
                <c:pt idx="25">
                  <c:v>0.21</c:v>
                </c:pt>
                <c:pt idx="26">
                  <c:v>0.22</c:v>
                </c:pt>
                <c:pt idx="27">
                  <c:v>0.37</c:v>
                </c:pt>
                <c:pt idx="28">
                  <c:v>1.1399999999999999</c:v>
                </c:pt>
                <c:pt idx="29">
                  <c:v>1.43</c:v>
                </c:pt>
                <c:pt idx="30">
                  <c:v>3.22</c:v>
                </c:pt>
                <c:pt idx="31">
                  <c:v>1.74</c:v>
                </c:pt>
                <c:pt idx="33">
                  <c:v>0.01</c:v>
                </c:pt>
                <c:pt idx="34">
                  <c:v>0.04</c:v>
                </c:pt>
                <c:pt idx="35">
                  <c:v>0.04</c:v>
                </c:pt>
                <c:pt idx="36">
                  <c:v>0.08</c:v>
                </c:pt>
                <c:pt idx="37">
                  <c:v>0.08</c:v>
                </c:pt>
                <c:pt idx="39">
                  <c:v>0.02</c:v>
                </c:pt>
                <c:pt idx="40">
                  <c:v>0.04</c:v>
                </c:pt>
                <c:pt idx="41">
                  <c:v>0.06</c:v>
                </c:pt>
                <c:pt idx="42">
                  <c:v>0.2</c:v>
                </c:pt>
                <c:pt idx="43">
                  <c:v>0.13</c:v>
                </c:pt>
                <c:pt idx="44">
                  <c:v>0.21</c:v>
                </c:pt>
                <c:pt idx="45">
                  <c:v>0.22</c:v>
                </c:pt>
              </c:numCache>
            </c:numRef>
          </c:xVal>
          <c:yVal>
            <c:numRef>
              <c:f>Hoja4!$K$2:$K$47</c:f>
              <c:numCache>
                <c:formatCode>General</c:formatCode>
                <c:ptCount val="46"/>
                <c:pt idx="0">
                  <c:v>28.1</c:v>
                </c:pt>
                <c:pt idx="1">
                  <c:v>63.911000000000001</c:v>
                </c:pt>
                <c:pt idx="2">
                  <c:v>69.921999999999997</c:v>
                </c:pt>
                <c:pt idx="3">
                  <c:v>96.744</c:v>
                </c:pt>
                <c:pt idx="4">
                  <c:v>128.11000000000001</c:v>
                </c:pt>
                <c:pt idx="5">
                  <c:v>207.78</c:v>
                </c:pt>
                <c:pt idx="6">
                  <c:v>444.11</c:v>
                </c:pt>
                <c:pt idx="7">
                  <c:v>579.55999999999995</c:v>
                </c:pt>
                <c:pt idx="8">
                  <c:v>746.22</c:v>
                </c:pt>
                <c:pt idx="9">
                  <c:v>869.5</c:v>
                </c:pt>
                <c:pt idx="11">
                  <c:v>88.4</c:v>
                </c:pt>
                <c:pt idx="12">
                  <c:v>94.6</c:v>
                </c:pt>
                <c:pt idx="13">
                  <c:v>271.44400000000002</c:v>
                </c:pt>
                <c:pt idx="14">
                  <c:v>550.22199999999998</c:v>
                </c:pt>
                <c:pt idx="15">
                  <c:v>609</c:v>
                </c:pt>
                <c:pt idx="16">
                  <c:v>739.11099999999999</c:v>
                </c:pt>
                <c:pt idx="17">
                  <c:v>746.88900000000001</c:v>
                </c:pt>
                <c:pt idx="19">
                  <c:v>19.36</c:v>
                </c:pt>
                <c:pt idx="20">
                  <c:v>33.31</c:v>
                </c:pt>
                <c:pt idx="21">
                  <c:v>41.74</c:v>
                </c:pt>
                <c:pt idx="22">
                  <c:v>204.5</c:v>
                </c:pt>
                <c:pt idx="23">
                  <c:v>277.7</c:v>
                </c:pt>
                <c:pt idx="25">
                  <c:v>10.283300000000001</c:v>
                </c:pt>
                <c:pt idx="26">
                  <c:v>11.8833</c:v>
                </c:pt>
                <c:pt idx="27">
                  <c:v>17.433299999999999</c:v>
                </c:pt>
                <c:pt idx="28">
                  <c:v>117.467</c:v>
                </c:pt>
                <c:pt idx="29">
                  <c:v>187.833</c:v>
                </c:pt>
                <c:pt idx="30">
                  <c:v>218.333</c:v>
                </c:pt>
                <c:pt idx="31">
                  <c:v>238.5</c:v>
                </c:pt>
                <c:pt idx="33">
                  <c:v>2</c:v>
                </c:pt>
                <c:pt idx="34">
                  <c:v>7.133</c:v>
                </c:pt>
                <c:pt idx="35">
                  <c:v>10.72</c:v>
                </c:pt>
                <c:pt idx="36">
                  <c:v>20.466999999999999</c:v>
                </c:pt>
                <c:pt idx="37">
                  <c:v>20.367000000000001</c:v>
                </c:pt>
                <c:pt idx="39">
                  <c:v>5.15</c:v>
                </c:pt>
                <c:pt idx="40">
                  <c:v>16.2</c:v>
                </c:pt>
                <c:pt idx="41">
                  <c:v>50.082999999999998</c:v>
                </c:pt>
                <c:pt idx="42">
                  <c:v>93.992999999999995</c:v>
                </c:pt>
                <c:pt idx="43">
                  <c:v>95.516999999999996</c:v>
                </c:pt>
                <c:pt idx="44">
                  <c:v>100.92</c:v>
                </c:pt>
                <c:pt idx="45">
                  <c:v>115.37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E9-444A-9ED9-A3507AADC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4544584"/>
        <c:axId val="854545568"/>
      </c:scatterChart>
      <c:valAx>
        <c:axId val="854544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54545568"/>
        <c:crosses val="autoZero"/>
        <c:crossBetween val="midCat"/>
      </c:valAx>
      <c:valAx>
        <c:axId val="85454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54544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real!$C$7:$C$11</c:f>
              <c:numCache>
                <c:formatCode>0.000</c:formatCode>
                <c:ptCount val="5"/>
                <c:pt idx="0">
                  <c:v>0.75</c:v>
                </c:pt>
                <c:pt idx="1">
                  <c:v>1.5</c:v>
                </c:pt>
                <c:pt idx="2">
                  <c:v>1.91</c:v>
                </c:pt>
                <c:pt idx="3">
                  <c:v>3.46</c:v>
                </c:pt>
                <c:pt idx="4">
                  <c:v>3.44</c:v>
                </c:pt>
              </c:numCache>
            </c:numRef>
          </c:xVal>
          <c:yVal>
            <c:numRef>
              <c:f>real!$D$7:$D$11</c:f>
              <c:numCache>
                <c:formatCode>General</c:formatCode>
                <c:ptCount val="5"/>
                <c:pt idx="0">
                  <c:v>207.78</c:v>
                </c:pt>
                <c:pt idx="1">
                  <c:v>444.11</c:v>
                </c:pt>
                <c:pt idx="2">
                  <c:v>579.55999999999995</c:v>
                </c:pt>
                <c:pt idx="3">
                  <c:v>746.22</c:v>
                </c:pt>
                <c:pt idx="4">
                  <c:v>869.5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F1-4CA6-9E05-6824AA016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919920"/>
        <c:axId val="476923528"/>
      </c:scatterChart>
      <c:valAx>
        <c:axId val="476919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6923528"/>
        <c:crosses val="autoZero"/>
        <c:crossBetween val="midCat"/>
      </c:valAx>
      <c:valAx>
        <c:axId val="476923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6919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real!$H$7:$H$11</c:f>
              <c:numCache>
                <c:formatCode>General</c:formatCode>
                <c:ptCount val="5"/>
                <c:pt idx="0">
                  <c:v>0.77999999999999992</c:v>
                </c:pt>
                <c:pt idx="1">
                  <c:v>1.5366666666666664</c:v>
                </c:pt>
                <c:pt idx="2">
                  <c:v>1.6933333333333334</c:v>
                </c:pt>
                <c:pt idx="3">
                  <c:v>3.26</c:v>
                </c:pt>
                <c:pt idx="4">
                  <c:v>3.4966666666666666</c:v>
                </c:pt>
              </c:numCache>
            </c:numRef>
          </c:xVal>
          <c:yVal>
            <c:numRef>
              <c:f>real!$I$7:$I$11</c:f>
              <c:numCache>
                <c:formatCode>General</c:formatCode>
                <c:ptCount val="5"/>
                <c:pt idx="0">
                  <c:v>207.78</c:v>
                </c:pt>
                <c:pt idx="1">
                  <c:v>444.11</c:v>
                </c:pt>
                <c:pt idx="2">
                  <c:v>579.55999999999995</c:v>
                </c:pt>
                <c:pt idx="3">
                  <c:v>746.22</c:v>
                </c:pt>
                <c:pt idx="4">
                  <c:v>869.5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FC-4638-B994-D849392D9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35584"/>
        <c:axId val="480035912"/>
      </c:scatterChart>
      <c:valAx>
        <c:axId val="48003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80035912"/>
        <c:crosses val="autoZero"/>
        <c:crossBetween val="midCat"/>
      </c:valAx>
      <c:valAx>
        <c:axId val="48003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80035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23</xdr:row>
      <xdr:rowOff>66675</xdr:rowOff>
    </xdr:from>
    <xdr:to>
      <xdr:col>9</xdr:col>
      <xdr:colOff>600075</xdr:colOff>
      <xdr:row>37</xdr:row>
      <xdr:rowOff>142875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290512</xdr:colOff>
      <xdr:row>23</xdr:row>
      <xdr:rowOff>104775</xdr:rowOff>
    </xdr:from>
    <xdr:to>
      <xdr:col>5</xdr:col>
      <xdr:colOff>0</xdr:colOff>
      <xdr:row>37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390524</xdr:colOff>
      <xdr:row>0</xdr:row>
      <xdr:rowOff>76200</xdr:rowOff>
    </xdr:from>
    <xdr:to>
      <xdr:col>7</xdr:col>
      <xdr:colOff>600075</xdr:colOff>
      <xdr:row>10</xdr:row>
      <xdr:rowOff>38100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BB47181-0049-4992-9C0C-4FB1102B0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123825</xdr:colOff>
      <xdr:row>10</xdr:row>
      <xdr:rowOff>190500</xdr:rowOff>
    </xdr:from>
    <xdr:to>
      <xdr:col>7</xdr:col>
      <xdr:colOff>504825</xdr:colOff>
      <xdr:row>18</xdr:row>
      <xdr:rowOff>171450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72F89C1-197B-4B1E-A6BC-06C7F08B04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104775</xdr:colOff>
      <xdr:row>19</xdr:row>
      <xdr:rowOff>133350</xdr:rowOff>
    </xdr:from>
    <xdr:to>
      <xdr:col>7</xdr:col>
      <xdr:colOff>342900</xdr:colOff>
      <xdr:row>26</xdr:row>
      <xdr:rowOff>38100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42ADCB8-94F8-4583-90F6-060BA28F95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85725</xdr:colOff>
      <xdr:row>26</xdr:row>
      <xdr:rowOff>142875</xdr:rowOff>
    </xdr:from>
    <xdr:to>
      <xdr:col>7</xdr:col>
      <xdr:colOff>381000</xdr:colOff>
      <xdr:row>34</xdr:row>
      <xdr:rowOff>42863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59E6816-EC7E-4C2B-90B9-5EDD46684A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219075</xdr:colOff>
      <xdr:row>34</xdr:row>
      <xdr:rowOff>9525</xdr:rowOff>
    </xdr:from>
    <xdr:to>
      <xdr:col>7</xdr:col>
      <xdr:colOff>323850</xdr:colOff>
      <xdr:row>40</xdr:row>
      <xdr:rowOff>19050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C91C00E-8BA2-4196-B7C7-EA16F07168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200025</xdr:colOff>
      <xdr:row>40</xdr:row>
      <xdr:rowOff>152400</xdr:rowOff>
    </xdr:from>
    <xdr:to>
      <xdr:col>7</xdr:col>
      <xdr:colOff>304800</xdr:colOff>
      <xdr:row>46</xdr:row>
      <xdr:rowOff>171450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AB7921A-C7BD-479C-99E9-242455AE3F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47</xdr:row>
      <xdr:rowOff>71437</xdr:rowOff>
    </xdr:from>
    <xdr:to>
      <xdr:col>7</xdr:col>
      <xdr:colOff>738188</xdr:colOff>
      <xdr:row>65</xdr:row>
      <xdr:rowOff>85725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849DC727-C28D-4B05-AA58-302B59FC65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290512</xdr:colOff>
      <xdr:row>0</xdr:row>
      <xdr:rowOff>76200</xdr:rowOff>
    </xdr:from>
    <xdr:to>
      <xdr:col>15</xdr:col>
      <xdr:colOff>447676</xdr:colOff>
      <xdr:row>10</xdr:row>
      <xdr:rowOff>66675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1DA066DC-2CDA-4670-BE86-7CC64D3735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447675</xdr:colOff>
      <xdr:row>11</xdr:row>
      <xdr:rowOff>38101</xdr:rowOff>
    </xdr:from>
    <xdr:to>
      <xdr:col>15</xdr:col>
      <xdr:colOff>228600</xdr:colOff>
      <xdr:row>18</xdr:row>
      <xdr:rowOff>47626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ADE82BF8-9723-4B39-A41A-C022D7FA8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400050</xdr:colOff>
      <xdr:row>18</xdr:row>
      <xdr:rowOff>114301</xdr:rowOff>
    </xdr:from>
    <xdr:to>
      <xdr:col>15</xdr:col>
      <xdr:colOff>190500</xdr:colOff>
      <xdr:row>25</xdr:row>
      <xdr:rowOff>123826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A2149207-9B13-4FB0-BC17-59D287A828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390525</xdr:colOff>
      <xdr:row>25</xdr:row>
      <xdr:rowOff>171450</xdr:rowOff>
    </xdr:from>
    <xdr:to>
      <xdr:col>15</xdr:col>
      <xdr:colOff>180975</xdr:colOff>
      <xdr:row>32</xdr:row>
      <xdr:rowOff>180975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E9AF68FE-739A-4352-86BA-DCBA19A8B1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381000</xdr:colOff>
      <xdr:row>33</xdr:row>
      <xdr:rowOff>95250</xdr:rowOff>
    </xdr:from>
    <xdr:to>
      <xdr:col>15</xdr:col>
      <xdr:colOff>171450</xdr:colOff>
      <xdr:row>40</xdr:row>
      <xdr:rowOff>104775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8D2EB769-A7C0-43ED-8871-FE027AA17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371475</xdr:colOff>
      <xdr:row>40</xdr:row>
      <xdr:rowOff>161925</xdr:rowOff>
    </xdr:from>
    <xdr:to>
      <xdr:col>15</xdr:col>
      <xdr:colOff>161925</xdr:colOff>
      <xdr:row>47</xdr:row>
      <xdr:rowOff>180975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20A300D9-5179-4BEB-9CA8-0B6EF41E8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257175</xdr:colOff>
      <xdr:row>47</xdr:row>
      <xdr:rowOff>104775</xdr:rowOff>
    </xdr:from>
    <xdr:to>
      <xdr:col>15</xdr:col>
      <xdr:colOff>533400</xdr:colOff>
      <xdr:row>65</xdr:row>
      <xdr:rowOff>142875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F30FF10E-381E-4D61-B1B5-81FB0169D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12</xdr:row>
      <xdr:rowOff>128587</xdr:rowOff>
    </xdr:from>
    <xdr:to>
      <xdr:col>7</xdr:col>
      <xdr:colOff>114300</xdr:colOff>
      <xdr:row>26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BB0E8C-243A-4125-9A36-F76B2DCDB9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695325</xdr:colOff>
      <xdr:row>2</xdr:row>
      <xdr:rowOff>138112</xdr:rowOff>
    </xdr:from>
    <xdr:to>
      <xdr:col>14</xdr:col>
      <xdr:colOff>695325</xdr:colOff>
      <xdr:row>16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56E6B94-4BAE-479C-8AB9-4C65FF82D1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workbookViewId="0">
      <selection activeCell="L18" sqref="L18"/>
    </sheetView>
  </sheetViews>
  <sheetFormatPr baseColWidth="10" defaultRowHeight="15" x14ac:dyDescent="0.25"/>
  <cols>
    <col min="14" max="14" width="14.42578125" bestFit="1" customWidth="1"/>
    <col min="15" max="15" width="12.140625" bestFit="1" customWidth="1"/>
    <col min="16" max="16" width="13" bestFit="1" customWidth="1"/>
  </cols>
  <sheetData>
    <row r="1" spans="1:18" x14ac:dyDescent="0.25">
      <c r="A1" s="11" t="s">
        <v>21</v>
      </c>
      <c r="B1">
        <v>334</v>
      </c>
      <c r="C1">
        <v>179.2</v>
      </c>
    </row>
    <row r="2" spans="1:18" x14ac:dyDescent="0.25">
      <c r="A2" t="s">
        <v>3</v>
      </c>
      <c r="B2">
        <v>303</v>
      </c>
      <c r="C2">
        <v>178</v>
      </c>
    </row>
    <row r="3" spans="1:18" x14ac:dyDescent="0.25">
      <c r="A3" s="11" t="s">
        <v>7</v>
      </c>
      <c r="B3">
        <v>295</v>
      </c>
      <c r="C3">
        <v>176.7</v>
      </c>
    </row>
    <row r="4" spans="1:18" x14ac:dyDescent="0.25">
      <c r="A4" t="s">
        <v>0</v>
      </c>
      <c r="B4">
        <v>294</v>
      </c>
      <c r="C4">
        <v>177.5</v>
      </c>
    </row>
    <row r="5" spans="1:18" x14ac:dyDescent="0.25">
      <c r="A5" t="s">
        <v>1</v>
      </c>
      <c r="B5">
        <v>288</v>
      </c>
      <c r="C5">
        <v>177</v>
      </c>
    </row>
    <row r="6" spans="1:18" x14ac:dyDescent="0.25">
      <c r="A6" t="s">
        <v>2</v>
      </c>
      <c r="B6">
        <v>282</v>
      </c>
      <c r="C6">
        <v>175.2</v>
      </c>
    </row>
    <row r="7" spans="1:18" x14ac:dyDescent="0.25">
      <c r="A7" s="11" t="s">
        <v>6</v>
      </c>
      <c r="B7">
        <v>278</v>
      </c>
      <c r="C7">
        <v>172.8</v>
      </c>
    </row>
    <row r="8" spans="1:18" x14ac:dyDescent="0.25">
      <c r="A8" s="11" t="s">
        <v>5</v>
      </c>
      <c r="B8">
        <v>276</v>
      </c>
      <c r="C8">
        <v>178.1</v>
      </c>
    </row>
    <row r="9" spans="1:18" x14ac:dyDescent="0.25">
      <c r="A9" t="s">
        <v>9</v>
      </c>
      <c r="B9">
        <v>271</v>
      </c>
      <c r="C9">
        <v>174.6</v>
      </c>
    </row>
    <row r="10" spans="1:18" x14ac:dyDescent="0.25">
      <c r="A10" s="11" t="s">
        <v>4</v>
      </c>
      <c r="B10">
        <v>264</v>
      </c>
      <c r="C10">
        <v>174.4</v>
      </c>
    </row>
    <row r="12" spans="1:18" ht="15.75" thickBot="1" x14ac:dyDescent="0.3">
      <c r="F12" t="s">
        <v>22</v>
      </c>
      <c r="G12" t="s">
        <v>23</v>
      </c>
      <c r="H12" t="s">
        <v>24</v>
      </c>
      <c r="I12" t="s">
        <v>25</v>
      </c>
      <c r="K12" t="s">
        <v>26</v>
      </c>
      <c r="L12" t="s">
        <v>27</v>
      </c>
      <c r="M12" t="s">
        <v>28</v>
      </c>
      <c r="N12" t="s">
        <v>29</v>
      </c>
      <c r="O12" s="12" t="s">
        <v>30</v>
      </c>
      <c r="P12" t="s">
        <v>31</v>
      </c>
      <c r="Q12" t="s">
        <v>32</v>
      </c>
      <c r="R12" t="s">
        <v>33</v>
      </c>
    </row>
    <row r="13" spans="1:18" ht="15.75" thickBot="1" x14ac:dyDescent="0.3">
      <c r="A13" s="1" t="s">
        <v>10</v>
      </c>
      <c r="B13" s="74" t="s">
        <v>11</v>
      </c>
      <c r="C13" s="2">
        <v>28.1</v>
      </c>
      <c r="D13" s="1" t="s">
        <v>10</v>
      </c>
      <c r="F13">
        <v>235</v>
      </c>
      <c r="G13">
        <v>108.1</v>
      </c>
      <c r="H13">
        <v>367</v>
      </c>
      <c r="I13">
        <v>618</v>
      </c>
      <c r="J13">
        <v>566</v>
      </c>
      <c r="K13">
        <v>0</v>
      </c>
      <c r="L13">
        <v>699</v>
      </c>
      <c r="M13">
        <v>1148</v>
      </c>
      <c r="N13">
        <v>641</v>
      </c>
      <c r="O13" s="12">
        <v>844</v>
      </c>
      <c r="P13">
        <v>1095</v>
      </c>
      <c r="Q13">
        <v>703</v>
      </c>
      <c r="R13">
        <v>727</v>
      </c>
    </row>
    <row r="14" spans="1:18" ht="15.75" thickBot="1" x14ac:dyDescent="0.3">
      <c r="A14" s="1" t="s">
        <v>12</v>
      </c>
      <c r="B14" s="75"/>
      <c r="C14" s="2">
        <v>63.911000000000001</v>
      </c>
      <c r="D14" s="1" t="s">
        <v>12</v>
      </c>
      <c r="F14">
        <v>239</v>
      </c>
      <c r="G14">
        <v>109.8</v>
      </c>
      <c r="H14">
        <v>377</v>
      </c>
      <c r="I14">
        <v>600</v>
      </c>
      <c r="J14">
        <v>592</v>
      </c>
      <c r="K14">
        <v>0</v>
      </c>
      <c r="L14">
        <v>744</v>
      </c>
      <c r="M14">
        <v>1184</v>
      </c>
      <c r="N14">
        <v>677</v>
      </c>
      <c r="O14" s="12">
        <v>885</v>
      </c>
      <c r="P14">
        <v>1164</v>
      </c>
      <c r="Q14">
        <v>735</v>
      </c>
      <c r="R14">
        <v>749</v>
      </c>
    </row>
    <row r="15" spans="1:18" ht="15.75" thickBot="1" x14ac:dyDescent="0.3">
      <c r="A15" s="1" t="s">
        <v>1</v>
      </c>
      <c r="B15" s="75"/>
      <c r="C15" s="2">
        <v>69.921999999999997</v>
      </c>
      <c r="D15" s="1" t="s">
        <v>1</v>
      </c>
      <c r="F15">
        <v>240</v>
      </c>
      <c r="G15">
        <v>109.5</v>
      </c>
      <c r="H15">
        <v>375</v>
      </c>
      <c r="I15">
        <v>603</v>
      </c>
      <c r="J15">
        <v>591</v>
      </c>
      <c r="K15">
        <v>0</v>
      </c>
      <c r="L15">
        <v>746</v>
      </c>
      <c r="M15">
        <v>1173</v>
      </c>
      <c r="N15">
        <v>675</v>
      </c>
      <c r="O15" s="12">
        <v>881</v>
      </c>
      <c r="P15">
        <v>1161</v>
      </c>
      <c r="Q15">
        <v>730</v>
      </c>
      <c r="R15">
        <v>749</v>
      </c>
    </row>
    <row r="16" spans="1:18" ht="15.75" thickBot="1" x14ac:dyDescent="0.3">
      <c r="A16" s="1" t="s">
        <v>2</v>
      </c>
      <c r="B16" s="75"/>
      <c r="C16" s="2">
        <v>96.744</v>
      </c>
      <c r="D16" s="1" t="s">
        <v>2</v>
      </c>
      <c r="F16">
        <v>243</v>
      </c>
      <c r="G16">
        <v>111.2</v>
      </c>
      <c r="H16">
        <v>382</v>
      </c>
      <c r="I16">
        <v>577</v>
      </c>
      <c r="J16">
        <v>606</v>
      </c>
      <c r="K16">
        <v>77</v>
      </c>
      <c r="L16">
        <v>788</v>
      </c>
      <c r="M16">
        <v>1178</v>
      </c>
      <c r="N16">
        <v>700</v>
      </c>
      <c r="O16" s="12">
        <v>914</v>
      </c>
      <c r="P16">
        <v>1211</v>
      </c>
      <c r="Q16">
        <v>750</v>
      </c>
      <c r="R16">
        <v>762</v>
      </c>
    </row>
    <row r="17" spans="1:22" ht="15.75" thickBot="1" x14ac:dyDescent="0.3">
      <c r="A17" s="1" t="s">
        <v>13</v>
      </c>
      <c r="B17" s="76"/>
      <c r="C17" s="2">
        <v>128.11000000000001</v>
      </c>
      <c r="D17" s="1" t="s">
        <v>13</v>
      </c>
      <c r="F17">
        <v>252</v>
      </c>
      <c r="G17">
        <v>115</v>
      </c>
      <c r="H17">
        <v>406</v>
      </c>
      <c r="I17">
        <v>673</v>
      </c>
      <c r="J17">
        <v>662</v>
      </c>
      <c r="K17">
        <v>654</v>
      </c>
      <c r="L17" t="s">
        <v>21</v>
      </c>
      <c r="M17">
        <v>1300</v>
      </c>
      <c r="N17">
        <v>773</v>
      </c>
      <c r="O17" s="12">
        <v>1030</v>
      </c>
      <c r="P17">
        <v>1390</v>
      </c>
      <c r="Q17">
        <v>825</v>
      </c>
      <c r="R17">
        <v>818</v>
      </c>
    </row>
    <row r="18" spans="1:22" ht="15.75" thickBot="1" x14ac:dyDescent="0.3">
      <c r="A18" s="3"/>
      <c r="B18" s="4"/>
      <c r="C18" s="5"/>
      <c r="E18" t="s">
        <v>20</v>
      </c>
      <c r="F18" t="s">
        <v>22</v>
      </c>
      <c r="G18" t="s">
        <v>23</v>
      </c>
      <c r="O18" s="12"/>
    </row>
    <row r="19" spans="1:22" ht="15.75" thickBot="1" x14ac:dyDescent="0.3">
      <c r="A19" s="6" t="s">
        <v>14</v>
      </c>
      <c r="B19" s="74" t="s">
        <v>15</v>
      </c>
      <c r="C19" s="2">
        <v>207.78</v>
      </c>
      <c r="D19" s="11" t="s">
        <v>7</v>
      </c>
      <c r="E19">
        <v>295</v>
      </c>
      <c r="F19">
        <v>242</v>
      </c>
      <c r="G19">
        <v>112.4</v>
      </c>
      <c r="H19">
        <v>384</v>
      </c>
      <c r="I19">
        <v>622</v>
      </c>
      <c r="J19">
        <v>608</v>
      </c>
      <c r="K19">
        <v>217</v>
      </c>
      <c r="L19">
        <v>811</v>
      </c>
      <c r="M19">
        <v>1143</v>
      </c>
      <c r="N19">
        <v>710</v>
      </c>
      <c r="O19" s="12">
        <v>930</v>
      </c>
      <c r="P19">
        <v>1244</v>
      </c>
      <c r="Q19">
        <v>756</v>
      </c>
      <c r="R19">
        <v>755</v>
      </c>
      <c r="S19">
        <f>O20-O19</f>
        <v>18</v>
      </c>
      <c r="T19">
        <f t="shared" ref="T19:V19" si="0">P20-P19</f>
        <v>1</v>
      </c>
      <c r="U19">
        <f t="shared" si="0"/>
        <v>10</v>
      </c>
      <c r="V19">
        <f t="shared" si="0"/>
        <v>16</v>
      </c>
    </row>
    <row r="20" spans="1:22" ht="15.75" thickBot="1" x14ac:dyDescent="0.3">
      <c r="A20" s="6" t="s">
        <v>16</v>
      </c>
      <c r="B20" s="75"/>
      <c r="C20" s="2">
        <v>444.11</v>
      </c>
      <c r="D20" s="11" t="s">
        <v>4</v>
      </c>
      <c r="E20">
        <v>264</v>
      </c>
      <c r="F20">
        <v>242</v>
      </c>
      <c r="G20">
        <v>113.3</v>
      </c>
      <c r="H20">
        <v>385</v>
      </c>
      <c r="I20">
        <v>627</v>
      </c>
      <c r="J20">
        <v>612</v>
      </c>
      <c r="K20">
        <v>434</v>
      </c>
      <c r="L20">
        <v>822</v>
      </c>
      <c r="M20">
        <v>1198</v>
      </c>
      <c r="N20">
        <v>722</v>
      </c>
      <c r="O20" s="12">
        <v>948</v>
      </c>
      <c r="P20">
        <v>1245</v>
      </c>
      <c r="Q20">
        <v>766</v>
      </c>
      <c r="R20">
        <v>771</v>
      </c>
      <c r="S20">
        <f>O21-O20</f>
        <v>68</v>
      </c>
      <c r="T20">
        <f t="shared" ref="T20" si="1">P21-P20</f>
        <v>137</v>
      </c>
      <c r="U20">
        <f t="shared" ref="U20" si="2">Q21-Q20</f>
        <v>44</v>
      </c>
      <c r="V20">
        <f t="shared" ref="V20" si="3">R21-R20</f>
        <v>24</v>
      </c>
    </row>
    <row r="21" spans="1:22" ht="15.75" thickBot="1" x14ac:dyDescent="0.3">
      <c r="A21" s="6" t="s">
        <v>17</v>
      </c>
      <c r="B21" s="75"/>
      <c r="C21" s="2">
        <v>579.55999999999995</v>
      </c>
      <c r="D21" s="11" t="s">
        <v>5</v>
      </c>
      <c r="E21">
        <v>276</v>
      </c>
      <c r="F21">
        <v>249</v>
      </c>
      <c r="G21">
        <v>115.8</v>
      </c>
      <c r="H21">
        <v>402</v>
      </c>
      <c r="I21">
        <v>664</v>
      </c>
      <c r="J21">
        <v>647</v>
      </c>
      <c r="K21">
        <v>562</v>
      </c>
      <c r="L21">
        <v>892</v>
      </c>
      <c r="M21">
        <v>1240</v>
      </c>
      <c r="N21">
        <v>772</v>
      </c>
      <c r="O21" s="12">
        <v>1016</v>
      </c>
      <c r="P21">
        <v>1382</v>
      </c>
      <c r="Q21">
        <v>810</v>
      </c>
      <c r="R21">
        <v>795</v>
      </c>
      <c r="S21" t="s">
        <v>21</v>
      </c>
    </row>
    <row r="22" spans="1:22" ht="15.75" thickBot="1" x14ac:dyDescent="0.3">
      <c r="A22" s="7" t="s">
        <v>18</v>
      </c>
      <c r="B22" s="75"/>
      <c r="C22" s="8">
        <v>746.22</v>
      </c>
      <c r="D22" s="11" t="s">
        <v>6</v>
      </c>
      <c r="E22">
        <v>278</v>
      </c>
      <c r="F22">
        <v>263</v>
      </c>
      <c r="G22">
        <v>123</v>
      </c>
      <c r="H22">
        <v>433</v>
      </c>
      <c r="I22">
        <v>730</v>
      </c>
      <c r="J22">
        <v>720</v>
      </c>
      <c r="K22">
        <v>766</v>
      </c>
      <c r="L22">
        <v>1072</v>
      </c>
      <c r="M22">
        <v>1343</v>
      </c>
      <c r="N22">
        <v>887</v>
      </c>
      <c r="O22" s="12">
        <v>1178</v>
      </c>
      <c r="P22">
        <v>1661</v>
      </c>
      <c r="Q22">
        <v>902</v>
      </c>
      <c r="R22">
        <v>854</v>
      </c>
    </row>
    <row r="23" spans="1:22" ht="15.75" thickBot="1" x14ac:dyDescent="0.3">
      <c r="A23" s="9" t="s">
        <v>19</v>
      </c>
      <c r="B23" s="76"/>
      <c r="C23" s="10">
        <v>869.5</v>
      </c>
      <c r="D23" s="11" t="s">
        <v>8</v>
      </c>
      <c r="E23">
        <v>334</v>
      </c>
      <c r="F23">
        <v>273</v>
      </c>
      <c r="G23">
        <v>127.6</v>
      </c>
      <c r="H23">
        <v>463</v>
      </c>
      <c r="I23">
        <v>818</v>
      </c>
      <c r="J23">
        <v>795</v>
      </c>
      <c r="K23">
        <v>837</v>
      </c>
      <c r="L23">
        <v>1211</v>
      </c>
      <c r="M23">
        <v>1600</v>
      </c>
      <c r="N23">
        <v>985</v>
      </c>
      <c r="O23" s="12">
        <v>1312</v>
      </c>
      <c r="P23">
        <v>1897</v>
      </c>
      <c r="Q23">
        <v>1011</v>
      </c>
      <c r="R23">
        <v>942</v>
      </c>
    </row>
  </sheetData>
  <sortState ref="A13:H23">
    <sortCondition descending="1" ref="B1"/>
  </sortState>
  <mergeCells count="2">
    <mergeCell ref="B13:B17"/>
    <mergeCell ref="B19:B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4"/>
  <sheetViews>
    <sheetView workbookViewId="0">
      <selection activeCell="F13" sqref="F13"/>
    </sheetView>
  </sheetViews>
  <sheetFormatPr baseColWidth="10" defaultRowHeight="15" x14ac:dyDescent="0.25"/>
  <sheetData>
    <row r="1" spans="1:5" ht="24.75" thickBot="1" x14ac:dyDescent="0.3">
      <c r="A1" s="13" t="s">
        <v>34</v>
      </c>
      <c r="B1" s="14" t="s">
        <v>35</v>
      </c>
      <c r="C1" s="14" t="s">
        <v>36</v>
      </c>
      <c r="D1" s="14" t="s">
        <v>37</v>
      </c>
      <c r="E1" s="15" t="s">
        <v>38</v>
      </c>
    </row>
    <row r="2" spans="1:5" ht="30.75" thickBot="1" x14ac:dyDescent="0.3">
      <c r="A2" s="88" t="s">
        <v>39</v>
      </c>
      <c r="B2" s="89"/>
      <c r="C2" s="89"/>
      <c r="D2" s="89"/>
      <c r="E2" s="90"/>
    </row>
    <row r="3" spans="1:5" ht="15.75" thickBot="1" x14ac:dyDescent="0.3">
      <c r="A3" s="1" t="s">
        <v>10</v>
      </c>
      <c r="B3" s="74" t="s">
        <v>11</v>
      </c>
      <c r="C3" s="2">
        <v>28.1</v>
      </c>
      <c r="D3" s="16"/>
      <c r="E3" s="2"/>
    </row>
    <row r="4" spans="1:5" ht="15.75" thickBot="1" x14ac:dyDescent="0.3">
      <c r="A4" s="1" t="s">
        <v>12</v>
      </c>
      <c r="B4" s="75"/>
      <c r="C4" s="2">
        <v>63.911000000000001</v>
      </c>
      <c r="D4" s="16"/>
      <c r="E4" s="2"/>
    </row>
    <row r="5" spans="1:5" ht="15.75" thickBot="1" x14ac:dyDescent="0.3">
      <c r="A5" s="1" t="s">
        <v>1</v>
      </c>
      <c r="B5" s="75"/>
      <c r="C5" s="2">
        <v>69.921999999999997</v>
      </c>
      <c r="D5" s="16"/>
      <c r="E5" s="2"/>
    </row>
    <row r="6" spans="1:5" ht="15.75" thickBot="1" x14ac:dyDescent="0.3">
      <c r="A6" s="1" t="s">
        <v>2</v>
      </c>
      <c r="B6" s="75"/>
      <c r="C6" s="2">
        <v>96.744</v>
      </c>
      <c r="D6" s="16"/>
      <c r="E6" s="2"/>
    </row>
    <row r="7" spans="1:5" ht="15.75" thickBot="1" x14ac:dyDescent="0.3">
      <c r="A7" s="1" t="s">
        <v>13</v>
      </c>
      <c r="B7" s="76"/>
      <c r="C7" s="2">
        <v>128.11000000000001</v>
      </c>
      <c r="D7" s="16"/>
      <c r="E7" s="2"/>
    </row>
    <row r="8" spans="1:5" ht="15.75" thickBot="1" x14ac:dyDescent="0.3">
      <c r="A8" s="3"/>
      <c r="B8" s="4"/>
      <c r="C8" s="5"/>
      <c r="D8" s="17"/>
      <c r="E8" s="18"/>
    </row>
    <row r="9" spans="1:5" ht="15.75" thickBot="1" x14ac:dyDescent="0.3">
      <c r="A9" s="6" t="s">
        <v>14</v>
      </c>
      <c r="B9" s="74" t="s">
        <v>15</v>
      </c>
      <c r="C9" s="2">
        <v>207.78</v>
      </c>
      <c r="D9" s="16"/>
      <c r="E9" s="2"/>
    </row>
    <row r="10" spans="1:5" ht="15.75" thickBot="1" x14ac:dyDescent="0.3">
      <c r="A10" s="6" t="s">
        <v>16</v>
      </c>
      <c r="B10" s="75"/>
      <c r="C10" s="2">
        <v>444.11</v>
      </c>
      <c r="D10" s="16"/>
      <c r="E10" s="2"/>
    </row>
    <row r="11" spans="1:5" ht="15.75" thickBot="1" x14ac:dyDescent="0.3">
      <c r="A11" s="6" t="s">
        <v>17</v>
      </c>
      <c r="B11" s="75"/>
      <c r="C11" s="2">
        <v>579.55999999999995</v>
      </c>
      <c r="D11" s="16"/>
      <c r="E11" s="2"/>
    </row>
    <row r="12" spans="1:5" ht="15.75" thickBot="1" x14ac:dyDescent="0.3">
      <c r="A12" s="7" t="s">
        <v>18</v>
      </c>
      <c r="B12" s="75"/>
      <c r="C12" s="8">
        <v>746.22</v>
      </c>
      <c r="D12" s="16"/>
      <c r="E12" s="2"/>
    </row>
    <row r="13" spans="1:5" ht="15.75" thickBot="1" x14ac:dyDescent="0.3">
      <c r="A13" s="9" t="s">
        <v>19</v>
      </c>
      <c r="B13" s="76"/>
      <c r="C13" s="10">
        <v>869.5</v>
      </c>
      <c r="D13" s="19"/>
      <c r="E13" s="2"/>
    </row>
    <row r="14" spans="1:5" ht="30.75" thickBot="1" x14ac:dyDescent="0.3">
      <c r="A14" s="91" t="s">
        <v>40</v>
      </c>
      <c r="B14" s="92"/>
      <c r="C14" s="92"/>
      <c r="D14" s="92"/>
      <c r="E14" s="92"/>
    </row>
    <row r="15" spans="1:5" ht="15.75" thickBot="1" x14ac:dyDescent="0.3">
      <c r="A15" s="1" t="s">
        <v>41</v>
      </c>
      <c r="B15" s="77" t="s">
        <v>42</v>
      </c>
      <c r="C15" s="20">
        <v>88.4</v>
      </c>
      <c r="D15" s="20"/>
      <c r="E15" s="21"/>
    </row>
    <row r="16" spans="1:5" ht="15.75" thickBot="1" x14ac:dyDescent="0.3">
      <c r="A16" s="1" t="s">
        <v>43</v>
      </c>
      <c r="B16" s="75"/>
      <c r="C16" s="20">
        <v>94.6</v>
      </c>
      <c r="D16" s="20"/>
      <c r="E16" s="21"/>
    </row>
    <row r="17" spans="1:5" ht="15.75" thickBot="1" x14ac:dyDescent="0.3">
      <c r="A17" s="22"/>
      <c r="B17" s="23"/>
      <c r="C17" s="24"/>
      <c r="D17" s="25"/>
      <c r="E17" s="26"/>
    </row>
    <row r="18" spans="1:5" ht="15.75" thickBot="1" x14ac:dyDescent="0.3">
      <c r="A18" s="6" t="s">
        <v>44</v>
      </c>
      <c r="B18" s="74" t="s">
        <v>45</v>
      </c>
      <c r="C18" s="21">
        <v>271.44</v>
      </c>
      <c r="D18" s="20"/>
      <c r="E18" s="20"/>
    </row>
    <row r="19" spans="1:5" ht="15.75" thickBot="1" x14ac:dyDescent="0.3">
      <c r="A19" s="6" t="s">
        <v>46</v>
      </c>
      <c r="B19" s="75"/>
      <c r="C19" s="21">
        <v>550.22199999999998</v>
      </c>
      <c r="D19" s="20"/>
      <c r="E19" s="20"/>
    </row>
    <row r="20" spans="1:5" ht="15.75" thickBot="1" x14ac:dyDescent="0.3">
      <c r="A20" s="6" t="s">
        <v>47</v>
      </c>
      <c r="B20" s="75"/>
      <c r="C20" s="21">
        <v>746.8</v>
      </c>
      <c r="D20" s="20"/>
      <c r="E20" s="20"/>
    </row>
    <row r="21" spans="1:5" ht="15.75" thickBot="1" x14ac:dyDescent="0.3">
      <c r="A21" s="7" t="s">
        <v>48</v>
      </c>
      <c r="B21" s="75"/>
      <c r="C21" s="27">
        <v>768.33333333333337</v>
      </c>
      <c r="D21" s="20"/>
      <c r="E21" s="20"/>
    </row>
    <row r="22" spans="1:5" ht="15.75" thickBot="1" x14ac:dyDescent="0.3">
      <c r="A22" s="28" t="s">
        <v>49</v>
      </c>
      <c r="B22" s="76"/>
      <c r="C22" s="29">
        <v>609</v>
      </c>
      <c r="D22" s="30"/>
      <c r="E22" s="20"/>
    </row>
    <row r="23" spans="1:5" ht="30.75" thickBot="1" x14ac:dyDescent="0.3">
      <c r="A23" s="78" t="s">
        <v>50</v>
      </c>
      <c r="B23" s="79"/>
      <c r="C23" s="79"/>
      <c r="D23" s="79"/>
      <c r="E23" s="79"/>
    </row>
    <row r="24" spans="1:5" ht="15.75" thickBot="1" x14ac:dyDescent="0.3">
      <c r="A24" s="1" t="s">
        <v>51</v>
      </c>
      <c r="B24" s="77" t="s">
        <v>52</v>
      </c>
      <c r="C24" s="21">
        <v>19.741666666666667</v>
      </c>
      <c r="D24" s="20"/>
      <c r="E24" s="21"/>
    </row>
    <row r="25" spans="1:5" ht="15.75" thickBot="1" x14ac:dyDescent="0.3">
      <c r="A25" s="1" t="s">
        <v>53</v>
      </c>
      <c r="B25" s="75"/>
      <c r="C25" s="20">
        <v>42</v>
      </c>
      <c r="D25" s="20"/>
      <c r="E25" s="21"/>
    </row>
    <row r="26" spans="1:5" ht="15.75" thickBot="1" x14ac:dyDescent="0.3">
      <c r="A26" s="1" t="s">
        <v>54</v>
      </c>
      <c r="B26" s="76"/>
      <c r="C26" s="20">
        <v>42</v>
      </c>
      <c r="D26" s="20"/>
      <c r="E26" s="21"/>
    </row>
    <row r="27" spans="1:5" ht="15.75" thickBot="1" x14ac:dyDescent="0.3">
      <c r="A27" s="31"/>
      <c r="B27" s="32"/>
      <c r="C27" s="33"/>
      <c r="D27" s="34"/>
      <c r="E27" s="35"/>
    </row>
    <row r="28" spans="1:5" ht="15.75" thickBot="1" x14ac:dyDescent="0.3">
      <c r="A28" s="7" t="s">
        <v>55</v>
      </c>
      <c r="B28" s="74" t="s">
        <v>56</v>
      </c>
      <c r="C28" s="27">
        <v>204.5</v>
      </c>
      <c r="D28" s="20"/>
      <c r="E28" s="21"/>
    </row>
    <row r="29" spans="1:5" ht="15.75" thickBot="1" x14ac:dyDescent="0.3">
      <c r="A29" s="9" t="s">
        <v>57</v>
      </c>
      <c r="B29" s="76"/>
      <c r="C29" s="29">
        <v>277.7</v>
      </c>
      <c r="D29" s="30"/>
      <c r="E29" s="21"/>
    </row>
    <row r="30" spans="1:5" ht="30.75" thickBot="1" x14ac:dyDescent="0.3">
      <c r="A30" s="80" t="s">
        <v>58</v>
      </c>
      <c r="B30" s="81"/>
      <c r="C30" s="81"/>
      <c r="D30" s="81"/>
      <c r="E30" s="81"/>
    </row>
    <row r="31" spans="1:5" ht="15.75" thickBot="1" x14ac:dyDescent="0.3">
      <c r="A31" s="36" t="s">
        <v>57</v>
      </c>
      <c r="B31" s="82" t="s">
        <v>59</v>
      </c>
      <c r="C31" s="21">
        <v>12</v>
      </c>
      <c r="D31" s="20"/>
      <c r="E31" s="21"/>
    </row>
    <row r="32" spans="1:5" ht="15.75" thickBot="1" x14ac:dyDescent="0.3">
      <c r="A32" s="36" t="s">
        <v>60</v>
      </c>
      <c r="B32" s="75"/>
      <c r="C32" s="21">
        <v>14</v>
      </c>
      <c r="D32" s="20"/>
      <c r="E32" s="21"/>
    </row>
    <row r="33" spans="1:5" ht="15.75" thickBot="1" x14ac:dyDescent="0.3">
      <c r="A33" s="36" t="s">
        <v>61</v>
      </c>
      <c r="B33" s="76"/>
      <c r="C33" s="21">
        <v>17.43333333333333</v>
      </c>
      <c r="D33" s="20"/>
      <c r="E33" s="21"/>
    </row>
    <row r="34" spans="1:5" ht="15.75" thickBot="1" x14ac:dyDescent="0.3">
      <c r="A34" s="37"/>
      <c r="B34" s="38"/>
      <c r="C34" s="38"/>
      <c r="D34" s="39"/>
      <c r="E34" s="40"/>
    </row>
    <row r="35" spans="1:5" ht="15.75" thickBot="1" x14ac:dyDescent="0.3">
      <c r="A35" s="36" t="s">
        <v>62</v>
      </c>
      <c r="B35" s="83" t="s">
        <v>63</v>
      </c>
      <c r="C35" s="21">
        <v>117</v>
      </c>
      <c r="D35" s="20"/>
      <c r="E35" s="21"/>
    </row>
    <row r="36" spans="1:5" ht="15.75" thickBot="1" x14ac:dyDescent="0.3">
      <c r="A36" s="36" t="s">
        <v>64</v>
      </c>
      <c r="B36" s="75"/>
      <c r="C36" s="21">
        <v>188</v>
      </c>
      <c r="D36" s="20"/>
      <c r="E36" s="21"/>
    </row>
    <row r="37" spans="1:5" ht="15.75" thickBot="1" x14ac:dyDescent="0.3">
      <c r="A37" s="36" t="s">
        <v>65</v>
      </c>
      <c r="B37" s="75"/>
      <c r="C37" s="27">
        <v>218</v>
      </c>
      <c r="D37" s="20"/>
      <c r="E37" s="21"/>
    </row>
    <row r="38" spans="1:5" ht="15.75" thickBot="1" x14ac:dyDescent="0.3">
      <c r="A38" s="41" t="s">
        <v>66</v>
      </c>
      <c r="B38" s="75"/>
      <c r="C38" s="42">
        <v>239</v>
      </c>
      <c r="D38" s="30"/>
      <c r="E38" s="21"/>
    </row>
    <row r="39" spans="1:5" ht="30.75" thickBot="1" x14ac:dyDescent="0.3">
      <c r="A39" s="84" t="s">
        <v>67</v>
      </c>
      <c r="B39" s="85"/>
      <c r="C39" s="85"/>
      <c r="D39" s="85"/>
      <c r="E39" s="85"/>
    </row>
    <row r="40" spans="1:5" ht="15.75" thickBot="1" x14ac:dyDescent="0.3">
      <c r="A40" s="1" t="s">
        <v>68</v>
      </c>
      <c r="B40" s="77" t="s">
        <v>69</v>
      </c>
      <c r="C40" s="20">
        <v>2</v>
      </c>
      <c r="D40" s="20"/>
      <c r="E40" s="21"/>
    </row>
    <row r="41" spans="1:5" ht="15.75" thickBot="1" x14ac:dyDescent="0.3">
      <c r="A41" s="1" t="s">
        <v>70</v>
      </c>
      <c r="B41" s="75"/>
      <c r="C41" s="20">
        <v>7.133</v>
      </c>
      <c r="D41" s="20"/>
      <c r="E41" s="21"/>
    </row>
    <row r="42" spans="1:5" ht="15.75" thickBot="1" x14ac:dyDescent="0.3">
      <c r="A42" s="1" t="s">
        <v>71</v>
      </c>
      <c r="B42" s="76"/>
      <c r="C42" s="20">
        <v>10.72</v>
      </c>
      <c r="D42" s="20"/>
      <c r="E42" s="21"/>
    </row>
    <row r="43" spans="1:5" ht="15.75" thickBot="1" x14ac:dyDescent="0.3">
      <c r="A43" s="43"/>
      <c r="B43" s="44"/>
      <c r="C43" s="45"/>
      <c r="D43" s="46"/>
      <c r="E43" s="47"/>
    </row>
    <row r="44" spans="1:5" ht="15.75" thickBot="1" x14ac:dyDescent="0.3">
      <c r="A44" s="7" t="s">
        <v>72</v>
      </c>
      <c r="B44" s="74" t="s">
        <v>73</v>
      </c>
      <c r="C44" s="30">
        <v>19</v>
      </c>
      <c r="D44" s="20"/>
      <c r="E44" s="21"/>
    </row>
    <row r="45" spans="1:5" ht="15.75" thickBot="1" x14ac:dyDescent="0.3">
      <c r="A45" s="9" t="s">
        <v>74</v>
      </c>
      <c r="B45" s="76"/>
      <c r="C45" s="48">
        <v>20</v>
      </c>
      <c r="D45" s="30"/>
      <c r="E45" s="21"/>
    </row>
    <row r="46" spans="1:5" ht="30.75" thickBot="1" x14ac:dyDescent="0.3">
      <c r="A46" s="86" t="s">
        <v>75</v>
      </c>
      <c r="B46" s="87"/>
      <c r="C46" s="87"/>
      <c r="D46" s="87"/>
      <c r="E46" s="87"/>
    </row>
    <row r="47" spans="1:5" ht="15.75" thickBot="1" x14ac:dyDescent="0.3">
      <c r="A47" s="28" t="s">
        <v>76</v>
      </c>
      <c r="B47" s="74" t="s">
        <v>77</v>
      </c>
      <c r="C47" s="48">
        <v>6</v>
      </c>
      <c r="D47" s="20"/>
      <c r="E47" s="21"/>
    </row>
    <row r="48" spans="1:5" ht="15.75" thickBot="1" x14ac:dyDescent="0.3">
      <c r="A48" s="6" t="s">
        <v>78</v>
      </c>
      <c r="B48" s="76"/>
      <c r="C48" s="20">
        <v>16</v>
      </c>
      <c r="D48" s="30"/>
      <c r="E48" s="21"/>
    </row>
    <row r="49" spans="1:5" ht="15.75" thickBot="1" x14ac:dyDescent="0.3">
      <c r="A49" s="49"/>
      <c r="B49" s="50"/>
      <c r="C49" s="50"/>
      <c r="D49" s="51"/>
      <c r="E49" s="52"/>
    </row>
    <row r="50" spans="1:5" ht="15.75" thickBot="1" x14ac:dyDescent="0.3">
      <c r="A50" s="1" t="s">
        <v>79</v>
      </c>
      <c r="B50" s="77" t="s">
        <v>80</v>
      </c>
      <c r="C50" s="21">
        <v>49.666666666666664</v>
      </c>
      <c r="D50" s="20"/>
      <c r="E50" s="21"/>
    </row>
    <row r="51" spans="1:5" ht="15.75" thickBot="1" x14ac:dyDescent="0.3">
      <c r="A51" s="1" t="s">
        <v>81</v>
      </c>
      <c r="B51" s="75"/>
      <c r="C51" s="21">
        <v>122</v>
      </c>
      <c r="D51" s="20"/>
      <c r="E51" s="21"/>
    </row>
    <row r="52" spans="1:5" ht="15.75" thickBot="1" x14ac:dyDescent="0.3">
      <c r="A52" s="1" t="s">
        <v>82</v>
      </c>
      <c r="B52" s="75"/>
      <c r="C52" s="21">
        <v>130</v>
      </c>
      <c r="D52" s="20"/>
      <c r="E52" s="21"/>
    </row>
    <row r="53" spans="1:5" ht="15.75" thickBot="1" x14ac:dyDescent="0.3">
      <c r="A53" s="1" t="s">
        <v>83</v>
      </c>
      <c r="B53" s="75"/>
      <c r="C53" s="21">
        <v>142</v>
      </c>
      <c r="D53" s="20"/>
      <c r="E53" s="21"/>
    </row>
    <row r="54" spans="1:5" ht="15.75" thickBot="1" x14ac:dyDescent="0.3">
      <c r="A54" s="1" t="s">
        <v>84</v>
      </c>
      <c r="B54" s="76"/>
      <c r="C54" s="21">
        <v>146</v>
      </c>
      <c r="D54" s="20"/>
      <c r="E54" s="21"/>
    </row>
  </sheetData>
  <sortState ref="A1:C10">
    <sortCondition ref="C1"/>
  </sortState>
  <mergeCells count="18">
    <mergeCell ref="B18:B22"/>
    <mergeCell ref="A2:E2"/>
    <mergeCell ref="B3:B7"/>
    <mergeCell ref="B9:B13"/>
    <mergeCell ref="A14:E14"/>
    <mergeCell ref="B15:B16"/>
    <mergeCell ref="B50:B54"/>
    <mergeCell ref="A23:E23"/>
    <mergeCell ref="B24:B26"/>
    <mergeCell ref="B28:B29"/>
    <mergeCell ref="A30:E30"/>
    <mergeCell ref="B31:B33"/>
    <mergeCell ref="B35:B38"/>
    <mergeCell ref="A39:E39"/>
    <mergeCell ref="B40:B42"/>
    <mergeCell ref="B44:B45"/>
    <mergeCell ref="A46:E46"/>
    <mergeCell ref="B47:B4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>
      <selection activeCell="F9" sqref="F9"/>
    </sheetView>
  </sheetViews>
  <sheetFormatPr baseColWidth="10" defaultRowHeight="15" x14ac:dyDescent="0.25"/>
  <sheetData>
    <row r="1" spans="1:8" ht="15.75" thickBot="1" x14ac:dyDescent="0.3">
      <c r="A1" s="6" t="s">
        <v>14</v>
      </c>
      <c r="B1" s="74" t="s">
        <v>15</v>
      </c>
      <c r="C1" s="2">
        <v>207.78</v>
      </c>
      <c r="D1" s="11" t="s">
        <v>7</v>
      </c>
      <c r="E1">
        <v>295</v>
      </c>
      <c r="F1">
        <v>290</v>
      </c>
      <c r="G1">
        <v>230</v>
      </c>
      <c r="H1">
        <v>224</v>
      </c>
    </row>
    <row r="2" spans="1:8" ht="15.75" thickBot="1" x14ac:dyDescent="0.3">
      <c r="A2" s="6" t="s">
        <v>16</v>
      </c>
      <c r="B2" s="75"/>
      <c r="C2" s="2">
        <v>444.11</v>
      </c>
      <c r="D2" s="11" t="s">
        <v>4</v>
      </c>
      <c r="E2">
        <v>264</v>
      </c>
      <c r="F2">
        <v>353</v>
      </c>
      <c r="G2">
        <v>178</v>
      </c>
      <c r="H2">
        <v>161</v>
      </c>
    </row>
    <row r="3" spans="1:8" ht="15.75" thickBot="1" x14ac:dyDescent="0.3">
      <c r="A3" s="6" t="s">
        <v>17</v>
      </c>
      <c r="B3" s="75"/>
      <c r="C3" s="2">
        <v>579.55999999999995</v>
      </c>
      <c r="D3" s="11" t="s">
        <v>5</v>
      </c>
      <c r="E3">
        <v>276</v>
      </c>
      <c r="F3">
        <v>548</v>
      </c>
      <c r="G3">
        <v>199</v>
      </c>
      <c r="H3">
        <v>220</v>
      </c>
    </row>
    <row r="4" spans="1:8" ht="15.75" thickBot="1" x14ac:dyDescent="0.3">
      <c r="A4" s="7" t="s">
        <v>18</v>
      </c>
      <c r="B4" s="75"/>
      <c r="C4" s="8">
        <v>746.22</v>
      </c>
      <c r="D4" s="11" t="s">
        <v>6</v>
      </c>
      <c r="E4">
        <v>278</v>
      </c>
      <c r="F4">
        <v>765</v>
      </c>
      <c r="G4">
        <v>184</v>
      </c>
      <c r="H4">
        <v>168</v>
      </c>
    </row>
    <row r="5" spans="1:8" ht="15.75" thickBot="1" x14ac:dyDescent="0.3">
      <c r="A5" s="9" t="s">
        <v>19</v>
      </c>
      <c r="B5" s="76"/>
      <c r="C5" s="10">
        <v>869.5</v>
      </c>
      <c r="D5" s="11" t="s">
        <v>8</v>
      </c>
      <c r="E5">
        <v>334</v>
      </c>
      <c r="F5">
        <v>825</v>
      </c>
      <c r="G5">
        <v>251</v>
      </c>
      <c r="H5">
        <v>254</v>
      </c>
    </row>
  </sheetData>
  <mergeCells count="1">
    <mergeCell ref="B1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2B460-976B-411E-8B45-41F3DB5DD8FC}">
  <dimension ref="A1:X47"/>
  <sheetViews>
    <sheetView topLeftCell="A15" workbookViewId="0">
      <selection sqref="A1:D47"/>
    </sheetView>
  </sheetViews>
  <sheetFormatPr baseColWidth="10" defaultRowHeight="15" x14ac:dyDescent="0.25"/>
  <cols>
    <col min="3" max="3" width="11.42578125" style="68"/>
    <col min="7" max="7" width="17.7109375" customWidth="1"/>
  </cols>
  <sheetData>
    <row r="1" spans="1:24" ht="15.75" thickBot="1" x14ac:dyDescent="0.3">
      <c r="C1" s="68" t="s">
        <v>88</v>
      </c>
      <c r="D1" t="s">
        <v>89</v>
      </c>
      <c r="J1" t="s">
        <v>86</v>
      </c>
      <c r="K1" t="s">
        <v>89</v>
      </c>
      <c r="Q1" t="s">
        <v>90</v>
      </c>
      <c r="W1" t="s">
        <v>87</v>
      </c>
    </row>
    <row r="2" spans="1:24" ht="15.75" thickBot="1" x14ac:dyDescent="0.3">
      <c r="A2" s="53" t="s">
        <v>10</v>
      </c>
      <c r="B2" s="57" t="s">
        <v>11</v>
      </c>
      <c r="C2" s="68">
        <v>0.32</v>
      </c>
      <c r="D2" s="54">
        <v>28.1</v>
      </c>
      <c r="I2" s="53" t="s">
        <v>10</v>
      </c>
      <c r="J2">
        <v>0.35</v>
      </c>
      <c r="K2" s="54">
        <v>28.1</v>
      </c>
      <c r="Q2">
        <v>0.15</v>
      </c>
      <c r="R2" s="54">
        <v>28.1</v>
      </c>
      <c r="T2" s="54"/>
      <c r="V2" t="s">
        <v>9</v>
      </c>
      <c r="W2">
        <v>0.33</v>
      </c>
      <c r="X2" s="69">
        <v>28.1</v>
      </c>
    </row>
    <row r="3" spans="1:24" ht="15.75" thickBot="1" x14ac:dyDescent="0.3">
      <c r="A3" s="53" t="s">
        <v>12</v>
      </c>
      <c r="B3" s="58"/>
      <c r="C3" s="68">
        <v>0.48</v>
      </c>
      <c r="D3" s="54">
        <v>63.911000000000001</v>
      </c>
      <c r="I3" s="53" t="s">
        <v>12</v>
      </c>
      <c r="J3">
        <v>0.59</v>
      </c>
      <c r="K3" s="54">
        <v>63.911000000000001</v>
      </c>
      <c r="Q3">
        <v>0.32</v>
      </c>
      <c r="R3" s="54">
        <v>63.911000000000001</v>
      </c>
      <c r="T3" s="54"/>
      <c r="V3" t="s">
        <v>0</v>
      </c>
      <c r="W3">
        <v>0.55000000000000004</v>
      </c>
      <c r="X3" s="69">
        <v>63.911000000000001</v>
      </c>
    </row>
    <row r="4" spans="1:24" ht="15.75" thickBot="1" x14ac:dyDescent="0.3">
      <c r="A4" s="53" t="s">
        <v>1</v>
      </c>
      <c r="B4" s="58"/>
      <c r="C4" s="68">
        <v>0.48</v>
      </c>
      <c r="D4" s="54">
        <v>69.921999999999997</v>
      </c>
      <c r="I4" s="53" t="s">
        <v>1</v>
      </c>
      <c r="J4">
        <v>0.56000000000000005</v>
      </c>
      <c r="K4" s="54">
        <v>69.921999999999997</v>
      </c>
      <c r="Q4">
        <v>0.28999999999999998</v>
      </c>
      <c r="R4" s="54">
        <v>69.921999999999997</v>
      </c>
      <c r="T4" s="54"/>
      <c r="V4" t="s">
        <v>1</v>
      </c>
      <c r="W4">
        <v>0.47</v>
      </c>
      <c r="X4" s="69">
        <v>69.921999999999997</v>
      </c>
    </row>
    <row r="5" spans="1:24" ht="15.75" thickBot="1" x14ac:dyDescent="0.3">
      <c r="A5" s="53" t="s">
        <v>2</v>
      </c>
      <c r="B5" s="58"/>
      <c r="C5" s="68">
        <v>0.64</v>
      </c>
      <c r="D5" s="54">
        <v>96.744</v>
      </c>
      <c r="I5" s="53" t="s">
        <v>2</v>
      </c>
      <c r="J5">
        <v>0.67</v>
      </c>
      <c r="K5" s="54">
        <v>96.744</v>
      </c>
      <c r="Q5">
        <v>0.26</v>
      </c>
      <c r="R5" s="54">
        <v>96.744</v>
      </c>
      <c r="T5" s="54"/>
      <c r="V5" t="s">
        <v>2</v>
      </c>
      <c r="W5">
        <v>0.51500000000000001</v>
      </c>
      <c r="X5" s="70">
        <v>96.744</v>
      </c>
    </row>
    <row r="6" spans="1:24" ht="15.75" thickBot="1" x14ac:dyDescent="0.3">
      <c r="A6" s="53" t="s">
        <v>13</v>
      </c>
      <c r="B6" s="62"/>
      <c r="C6" s="68">
        <v>1.37</v>
      </c>
      <c r="D6" s="54">
        <v>128.11000000000001</v>
      </c>
      <c r="I6" s="53" t="s">
        <v>13</v>
      </c>
      <c r="J6">
        <v>1.72</v>
      </c>
      <c r="K6" s="54">
        <v>128.11000000000001</v>
      </c>
      <c r="Q6">
        <v>0.95</v>
      </c>
      <c r="R6" s="54">
        <v>128.11000000000001</v>
      </c>
      <c r="T6" s="54"/>
      <c r="V6" s="71" t="s">
        <v>3</v>
      </c>
      <c r="W6" s="71">
        <v>0.95499999999999996</v>
      </c>
      <c r="X6" s="72">
        <v>128.11000000000001</v>
      </c>
    </row>
    <row r="7" spans="1:24" ht="15.75" thickBot="1" x14ac:dyDescent="0.3">
      <c r="A7" s="53" t="s">
        <v>14</v>
      </c>
      <c r="B7" s="57" t="s">
        <v>15</v>
      </c>
      <c r="C7" s="64">
        <v>0.8</v>
      </c>
      <c r="D7" s="54">
        <v>207.78</v>
      </c>
      <c r="I7" s="53" t="s">
        <v>14</v>
      </c>
      <c r="J7">
        <v>0.97</v>
      </c>
      <c r="K7" s="54">
        <v>207.78</v>
      </c>
      <c r="Q7">
        <v>0.56999999999999995</v>
      </c>
      <c r="R7" s="54">
        <v>207.78</v>
      </c>
      <c r="T7" s="54"/>
      <c r="V7" s="71" t="s">
        <v>7</v>
      </c>
      <c r="W7" s="71">
        <v>0.95</v>
      </c>
      <c r="X7" s="72">
        <v>207.78</v>
      </c>
    </row>
    <row r="8" spans="1:24" ht="15.75" thickBot="1" x14ac:dyDescent="0.3">
      <c r="A8" s="53" t="s">
        <v>16</v>
      </c>
      <c r="B8" s="58"/>
      <c r="C8" s="65">
        <v>1.7</v>
      </c>
      <c r="D8" s="54">
        <v>444.11</v>
      </c>
      <c r="I8" s="53" t="s">
        <v>16</v>
      </c>
      <c r="J8">
        <v>2.0499999999999998</v>
      </c>
      <c r="K8" s="54">
        <v>444.11</v>
      </c>
      <c r="Q8">
        <v>1.8</v>
      </c>
      <c r="R8" s="54">
        <v>444.11</v>
      </c>
      <c r="T8" s="54"/>
      <c r="V8" t="s">
        <v>4</v>
      </c>
      <c r="W8">
        <v>2.0499999999999998</v>
      </c>
      <c r="X8" s="70">
        <v>444.11</v>
      </c>
    </row>
    <row r="9" spans="1:24" ht="15.75" thickBot="1" x14ac:dyDescent="0.3">
      <c r="A9" s="53" t="s">
        <v>17</v>
      </c>
      <c r="B9" s="58"/>
      <c r="C9" s="65">
        <v>1.98</v>
      </c>
      <c r="D9" s="54">
        <v>579.55999999999995</v>
      </c>
      <c r="I9" s="53" t="s">
        <v>17</v>
      </c>
      <c r="J9">
        <v>2.46</v>
      </c>
      <c r="K9" s="54">
        <v>579.55999999999995</v>
      </c>
      <c r="Q9">
        <v>1.45</v>
      </c>
      <c r="R9" s="54">
        <v>579.55999999999995</v>
      </c>
      <c r="T9" s="54"/>
      <c r="V9" t="s">
        <v>5</v>
      </c>
      <c r="W9">
        <v>2.0499999999999998</v>
      </c>
      <c r="X9" s="69">
        <v>579.55999999999995</v>
      </c>
    </row>
    <row r="10" spans="1:24" ht="15.75" thickBot="1" x14ac:dyDescent="0.3">
      <c r="A10" s="53" t="s">
        <v>18</v>
      </c>
      <c r="B10" s="58"/>
      <c r="C10" s="65">
        <v>3.58</v>
      </c>
      <c r="D10" s="54">
        <v>746.22</v>
      </c>
      <c r="I10" s="53" t="s">
        <v>18</v>
      </c>
      <c r="J10">
        <v>4.45</v>
      </c>
      <c r="K10" s="54">
        <v>746.22</v>
      </c>
      <c r="Q10">
        <v>2.48</v>
      </c>
      <c r="R10" s="54">
        <v>746.22</v>
      </c>
      <c r="T10" s="54"/>
      <c r="V10" t="s">
        <v>6</v>
      </c>
      <c r="W10">
        <v>3.6</v>
      </c>
      <c r="X10" s="70">
        <v>746.22</v>
      </c>
    </row>
    <row r="11" spans="1:24" ht="15.75" thickBot="1" x14ac:dyDescent="0.3">
      <c r="A11" s="55" t="s">
        <v>19</v>
      </c>
      <c r="B11" s="58"/>
      <c r="C11" s="65">
        <v>3.92</v>
      </c>
      <c r="D11" s="56">
        <v>869.5</v>
      </c>
      <c r="I11" s="55" t="s">
        <v>19</v>
      </c>
      <c r="J11">
        <v>4.82</v>
      </c>
      <c r="K11" s="56">
        <v>869.5</v>
      </c>
      <c r="Q11">
        <v>2.69</v>
      </c>
      <c r="R11" s="56">
        <v>869.5</v>
      </c>
      <c r="T11" s="56"/>
      <c r="V11" t="s">
        <v>8</v>
      </c>
      <c r="W11">
        <v>3.83</v>
      </c>
      <c r="X11" s="73">
        <v>869.5</v>
      </c>
    </row>
    <row r="12" spans="1:24" ht="15.75" thickBot="1" x14ac:dyDescent="0.3">
      <c r="A12" s="63"/>
      <c r="B12" s="60"/>
      <c r="C12" s="67"/>
      <c r="D12" s="60"/>
      <c r="I12" s="63"/>
      <c r="K12" s="60"/>
    </row>
    <row r="13" spans="1:24" ht="15.75" thickBot="1" x14ac:dyDescent="0.3">
      <c r="A13" s="53" t="s">
        <v>41</v>
      </c>
      <c r="B13" s="61" t="s">
        <v>42</v>
      </c>
      <c r="C13" s="64">
        <v>0.6</v>
      </c>
      <c r="D13" s="54">
        <v>88.4</v>
      </c>
      <c r="I13" s="53" t="s">
        <v>41</v>
      </c>
      <c r="J13">
        <v>0.61</v>
      </c>
      <c r="K13" s="54">
        <v>88.4</v>
      </c>
    </row>
    <row r="14" spans="1:24" ht="15.75" thickBot="1" x14ac:dyDescent="0.3">
      <c r="A14" s="53" t="s">
        <v>43</v>
      </c>
      <c r="B14" s="58"/>
      <c r="C14" s="65">
        <v>0.62</v>
      </c>
      <c r="D14" s="54">
        <v>94.6</v>
      </c>
      <c r="I14" s="53" t="s">
        <v>43</v>
      </c>
      <c r="J14">
        <v>0.61</v>
      </c>
      <c r="K14" s="54">
        <v>94.6</v>
      </c>
    </row>
    <row r="15" spans="1:24" ht="15.75" thickBot="1" x14ac:dyDescent="0.3">
      <c r="A15" s="53" t="s">
        <v>44</v>
      </c>
      <c r="B15" s="57" t="s">
        <v>45</v>
      </c>
      <c r="C15" s="64">
        <v>1.1100000000000001</v>
      </c>
      <c r="D15" s="54">
        <v>271.44400000000002</v>
      </c>
      <c r="I15" s="53" t="s">
        <v>44</v>
      </c>
      <c r="J15">
        <v>1.1499999999999999</v>
      </c>
      <c r="K15" s="54">
        <v>271.44400000000002</v>
      </c>
    </row>
    <row r="16" spans="1:24" ht="15.75" thickBot="1" x14ac:dyDescent="0.3">
      <c r="A16" s="53" t="s">
        <v>46</v>
      </c>
      <c r="B16" s="58"/>
      <c r="C16" s="65">
        <v>1.91</v>
      </c>
      <c r="D16" s="54">
        <v>550.22199999999998</v>
      </c>
      <c r="I16" s="53" t="s">
        <v>46</v>
      </c>
      <c r="J16">
        <v>2.23</v>
      </c>
      <c r="K16" s="54">
        <v>550.22199999999998</v>
      </c>
    </row>
    <row r="17" spans="1:11" ht="15.75" thickBot="1" x14ac:dyDescent="0.3">
      <c r="A17" s="53" t="s">
        <v>47</v>
      </c>
      <c r="B17" s="58"/>
      <c r="C17" s="65">
        <v>2.8</v>
      </c>
      <c r="D17" s="54">
        <v>609</v>
      </c>
      <c r="I17" s="53" t="s">
        <v>47</v>
      </c>
      <c r="J17">
        <v>3.11</v>
      </c>
      <c r="K17" s="54">
        <v>609</v>
      </c>
    </row>
    <row r="18" spans="1:11" ht="15.75" thickBot="1" x14ac:dyDescent="0.3">
      <c r="A18" s="53" t="s">
        <v>48</v>
      </c>
      <c r="B18" s="58"/>
      <c r="C18" s="65">
        <v>4.03</v>
      </c>
      <c r="D18" s="54">
        <v>739.11099999999999</v>
      </c>
      <c r="I18" s="53" t="s">
        <v>48</v>
      </c>
      <c r="J18">
        <v>4.6399999999999997</v>
      </c>
      <c r="K18" s="54">
        <v>739.11099999999999</v>
      </c>
    </row>
    <row r="19" spans="1:11" ht="15.75" thickBot="1" x14ac:dyDescent="0.3">
      <c r="A19" s="55" t="s">
        <v>49</v>
      </c>
      <c r="B19" s="58"/>
      <c r="C19" s="65">
        <v>2.4300000000000002</v>
      </c>
      <c r="D19" s="56">
        <v>746.88900000000001</v>
      </c>
      <c r="I19" s="55" t="s">
        <v>49</v>
      </c>
      <c r="J19">
        <v>2.87</v>
      </c>
      <c r="K19" s="56">
        <v>746.88900000000001</v>
      </c>
    </row>
    <row r="20" spans="1:11" ht="15.75" thickBot="1" x14ac:dyDescent="0.3">
      <c r="A20" s="63"/>
      <c r="B20" s="60"/>
      <c r="C20" s="67"/>
      <c r="D20" s="60"/>
      <c r="I20" s="63"/>
      <c r="K20" s="60"/>
    </row>
    <row r="21" spans="1:11" ht="15.75" thickBot="1" x14ac:dyDescent="0.3">
      <c r="A21" s="53" t="s">
        <v>51</v>
      </c>
      <c r="B21" s="61" t="s">
        <v>52</v>
      </c>
      <c r="C21" s="64">
        <v>0.23</v>
      </c>
      <c r="D21" s="54">
        <v>19.36</v>
      </c>
      <c r="I21" s="53" t="s">
        <v>51</v>
      </c>
      <c r="J21">
        <v>0.31</v>
      </c>
      <c r="K21" s="54">
        <v>19.36</v>
      </c>
    </row>
    <row r="22" spans="1:11" ht="15.75" thickBot="1" x14ac:dyDescent="0.3">
      <c r="A22" s="53" t="s">
        <v>54</v>
      </c>
      <c r="B22" s="58"/>
      <c r="C22" s="65">
        <v>0.39</v>
      </c>
      <c r="D22" s="54">
        <v>33.31</v>
      </c>
      <c r="I22" s="53" t="s">
        <v>54</v>
      </c>
      <c r="J22">
        <v>0.43</v>
      </c>
      <c r="K22" s="54">
        <v>33.31</v>
      </c>
    </row>
    <row r="23" spans="1:11" ht="15.75" thickBot="1" x14ac:dyDescent="0.3">
      <c r="A23" s="53" t="s">
        <v>53</v>
      </c>
      <c r="B23" s="62"/>
      <c r="C23" s="66">
        <v>0.33</v>
      </c>
      <c r="D23" s="54">
        <v>41.74</v>
      </c>
      <c r="I23" s="53" t="s">
        <v>53</v>
      </c>
      <c r="J23">
        <v>0.42</v>
      </c>
      <c r="K23" s="54">
        <v>41.74</v>
      </c>
    </row>
    <row r="24" spans="1:11" ht="15.75" thickBot="1" x14ac:dyDescent="0.3">
      <c r="A24" s="53" t="s">
        <v>55</v>
      </c>
      <c r="B24" s="57" t="s">
        <v>56</v>
      </c>
      <c r="C24" s="64">
        <v>1.74</v>
      </c>
      <c r="D24" s="54">
        <v>204.5</v>
      </c>
      <c r="I24" s="53" t="s">
        <v>55</v>
      </c>
      <c r="J24">
        <v>2.42</v>
      </c>
      <c r="K24" s="54">
        <v>204.5</v>
      </c>
    </row>
    <row r="25" spans="1:11" ht="15.75" thickBot="1" x14ac:dyDescent="0.3">
      <c r="A25" s="55" t="s">
        <v>57</v>
      </c>
      <c r="B25" s="58"/>
      <c r="C25" s="65">
        <v>2.35</v>
      </c>
      <c r="D25" s="56">
        <v>277.7</v>
      </c>
      <c r="I25" s="55" t="s">
        <v>57</v>
      </c>
      <c r="J25">
        <v>3.45</v>
      </c>
      <c r="K25" s="56">
        <v>277.7</v>
      </c>
    </row>
    <row r="26" spans="1:11" ht="15.75" thickBot="1" x14ac:dyDescent="0.3">
      <c r="A26" s="59"/>
      <c r="B26" s="60"/>
      <c r="C26" s="67"/>
      <c r="D26" s="60"/>
      <c r="I26" s="59"/>
      <c r="K26" s="60"/>
    </row>
    <row r="27" spans="1:11" ht="15.75" thickBot="1" x14ac:dyDescent="0.3">
      <c r="A27" s="53" t="s">
        <v>57</v>
      </c>
      <c r="B27" s="61" t="s">
        <v>59</v>
      </c>
      <c r="C27" s="64">
        <v>0.17</v>
      </c>
      <c r="D27" s="54">
        <v>10.283300000000001</v>
      </c>
      <c r="I27" s="53" t="s">
        <v>57</v>
      </c>
      <c r="J27">
        <v>0.21</v>
      </c>
      <c r="K27" s="54">
        <v>10.283300000000001</v>
      </c>
    </row>
    <row r="28" spans="1:11" ht="15.75" thickBot="1" x14ac:dyDescent="0.3">
      <c r="A28" s="53" t="s">
        <v>60</v>
      </c>
      <c r="B28" s="58"/>
      <c r="C28" s="65">
        <v>0.17</v>
      </c>
      <c r="D28" s="54">
        <v>11.8833</v>
      </c>
      <c r="I28" s="53" t="s">
        <v>60</v>
      </c>
      <c r="J28">
        <v>0.22</v>
      </c>
      <c r="K28" s="54">
        <v>11.8833</v>
      </c>
    </row>
    <row r="29" spans="1:11" ht="15.75" thickBot="1" x14ac:dyDescent="0.3">
      <c r="A29" s="53" t="s">
        <v>61</v>
      </c>
      <c r="B29" s="62"/>
      <c r="C29" s="66">
        <v>0.28000000000000003</v>
      </c>
      <c r="D29" s="54">
        <v>17.433299999999999</v>
      </c>
      <c r="I29" s="53" t="s">
        <v>61</v>
      </c>
      <c r="J29">
        <v>0.37</v>
      </c>
      <c r="K29" s="54">
        <v>17.433299999999999</v>
      </c>
    </row>
    <row r="30" spans="1:11" ht="15.75" thickBot="1" x14ac:dyDescent="0.3">
      <c r="A30" s="53" t="s">
        <v>65</v>
      </c>
      <c r="B30" s="57" t="s">
        <v>63</v>
      </c>
      <c r="C30" s="64">
        <v>0.77</v>
      </c>
      <c r="D30" s="54">
        <v>117.467</v>
      </c>
      <c r="I30" s="53" t="s">
        <v>65</v>
      </c>
      <c r="J30">
        <v>1.1399999999999999</v>
      </c>
      <c r="K30" s="54">
        <v>117.467</v>
      </c>
    </row>
    <row r="31" spans="1:11" ht="15.75" thickBot="1" x14ac:dyDescent="0.3">
      <c r="A31" s="53" t="s">
        <v>64</v>
      </c>
      <c r="B31" s="58"/>
      <c r="C31" s="65">
        <v>0.91</v>
      </c>
      <c r="D31" s="54">
        <v>187.833</v>
      </c>
      <c r="I31" s="53" t="s">
        <v>64</v>
      </c>
      <c r="J31">
        <v>1.43</v>
      </c>
      <c r="K31" s="54">
        <v>187.833</v>
      </c>
    </row>
    <row r="32" spans="1:11" ht="15.75" thickBot="1" x14ac:dyDescent="0.3">
      <c r="A32" s="53" t="s">
        <v>66</v>
      </c>
      <c r="B32" s="58"/>
      <c r="C32" s="65">
        <v>2.06</v>
      </c>
      <c r="D32" s="54">
        <v>218.333</v>
      </c>
      <c r="I32" s="53" t="s">
        <v>66</v>
      </c>
      <c r="J32">
        <v>3.22</v>
      </c>
      <c r="K32" s="54">
        <v>218.333</v>
      </c>
    </row>
    <row r="33" spans="1:11" ht="15.75" thickBot="1" x14ac:dyDescent="0.3">
      <c r="A33" s="55" t="s">
        <v>62</v>
      </c>
      <c r="B33" s="58"/>
      <c r="C33" s="65">
        <v>1.2</v>
      </c>
      <c r="D33" s="56">
        <v>238.5</v>
      </c>
      <c r="I33" s="55" t="s">
        <v>62</v>
      </c>
      <c r="J33">
        <v>1.74</v>
      </c>
      <c r="K33" s="56">
        <v>238.5</v>
      </c>
    </row>
    <row r="34" spans="1:11" ht="15.75" thickBot="1" x14ac:dyDescent="0.3">
      <c r="A34" s="59"/>
      <c r="B34" s="60"/>
      <c r="C34" s="67"/>
      <c r="D34" s="60"/>
      <c r="I34" s="59"/>
      <c r="K34" s="60"/>
    </row>
    <row r="35" spans="1:11" ht="15.75" thickBot="1" x14ac:dyDescent="0.3">
      <c r="A35" s="53" t="s">
        <v>68</v>
      </c>
      <c r="B35" s="61" t="s">
        <v>69</v>
      </c>
      <c r="C35" s="64">
        <v>3.5999999999999997E-2</v>
      </c>
      <c r="D35" s="54">
        <v>2</v>
      </c>
      <c r="I35" s="53" t="s">
        <v>68</v>
      </c>
      <c r="J35">
        <v>0.01</v>
      </c>
      <c r="K35" s="54">
        <v>2</v>
      </c>
    </row>
    <row r="36" spans="1:11" ht="15.75" thickBot="1" x14ac:dyDescent="0.3">
      <c r="A36" s="53" t="s">
        <v>70</v>
      </c>
      <c r="B36" s="58"/>
      <c r="C36" s="65">
        <v>7.9000000000000001E-2</v>
      </c>
      <c r="D36" s="54">
        <v>7.133</v>
      </c>
      <c r="I36" s="53" t="s">
        <v>70</v>
      </c>
      <c r="J36">
        <v>0.04</v>
      </c>
      <c r="K36" s="54">
        <v>7.133</v>
      </c>
    </row>
    <row r="37" spans="1:11" ht="15.75" thickBot="1" x14ac:dyDescent="0.3">
      <c r="A37" s="53" t="s">
        <v>85</v>
      </c>
      <c r="B37" s="62"/>
      <c r="C37" s="66">
        <v>8.4000000000000005E-2</v>
      </c>
      <c r="D37" s="54">
        <v>10.72</v>
      </c>
      <c r="I37" s="53" t="s">
        <v>85</v>
      </c>
      <c r="J37">
        <v>0.04</v>
      </c>
      <c r="K37" s="54">
        <v>10.72</v>
      </c>
    </row>
    <row r="38" spans="1:11" ht="15.75" thickBot="1" x14ac:dyDescent="0.3">
      <c r="A38" s="53" t="s">
        <v>72</v>
      </c>
      <c r="B38" s="57" t="s">
        <v>73</v>
      </c>
      <c r="C38" s="64">
        <v>0.24299999999999999</v>
      </c>
      <c r="D38" s="54">
        <v>20.466999999999999</v>
      </c>
      <c r="I38" s="53" t="s">
        <v>72</v>
      </c>
      <c r="J38">
        <v>0.08</v>
      </c>
      <c r="K38" s="54">
        <v>20.466999999999999</v>
      </c>
    </row>
    <row r="39" spans="1:11" ht="15.75" thickBot="1" x14ac:dyDescent="0.3">
      <c r="A39" s="55" t="s">
        <v>74</v>
      </c>
      <c r="B39" s="58"/>
      <c r="C39" s="65">
        <v>0.23200000000000001</v>
      </c>
      <c r="D39" s="56">
        <v>20.367000000000001</v>
      </c>
      <c r="I39" s="55" t="s">
        <v>74</v>
      </c>
      <c r="J39">
        <v>0.08</v>
      </c>
      <c r="K39" s="56">
        <v>20.367000000000001</v>
      </c>
    </row>
    <row r="40" spans="1:11" ht="15.75" thickBot="1" x14ac:dyDescent="0.3">
      <c r="A40" s="59"/>
      <c r="B40" s="60"/>
      <c r="C40" s="67"/>
      <c r="D40" s="60"/>
      <c r="I40" s="59"/>
      <c r="K40" s="60"/>
    </row>
    <row r="41" spans="1:11" ht="15.75" thickBot="1" x14ac:dyDescent="0.3">
      <c r="A41" s="53" t="s">
        <v>76</v>
      </c>
      <c r="B41" s="61" t="s">
        <v>77</v>
      </c>
      <c r="C41" s="64">
        <v>4.8000000000000001E-2</v>
      </c>
      <c r="D41" s="54">
        <v>5.15</v>
      </c>
      <c r="I41" s="53" t="s">
        <v>76</v>
      </c>
      <c r="J41">
        <v>0.02</v>
      </c>
      <c r="K41" s="54">
        <v>5.15</v>
      </c>
    </row>
    <row r="42" spans="1:11" x14ac:dyDescent="0.25">
      <c r="A42" s="55" t="s">
        <v>78</v>
      </c>
      <c r="B42" s="58"/>
      <c r="C42" s="65">
        <v>8.8999999999999996E-2</v>
      </c>
      <c r="D42" s="56">
        <v>16.2</v>
      </c>
      <c r="I42" s="55" t="s">
        <v>78</v>
      </c>
      <c r="J42">
        <v>0.04</v>
      </c>
      <c r="K42" s="56">
        <v>16.2</v>
      </c>
    </row>
    <row r="43" spans="1:11" ht="15.75" thickBot="1" x14ac:dyDescent="0.3">
      <c r="A43" s="53" t="s">
        <v>79</v>
      </c>
      <c r="B43" s="61" t="s">
        <v>80</v>
      </c>
      <c r="C43" s="64">
        <v>0.12</v>
      </c>
      <c r="D43" s="54">
        <v>50.082999999999998</v>
      </c>
      <c r="I43" s="53" t="s">
        <v>79</v>
      </c>
      <c r="J43">
        <v>0.06</v>
      </c>
      <c r="K43" s="54">
        <v>50.082999999999998</v>
      </c>
    </row>
    <row r="44" spans="1:11" ht="15.75" thickBot="1" x14ac:dyDescent="0.3">
      <c r="A44" s="53" t="s">
        <v>81</v>
      </c>
      <c r="B44" s="58"/>
      <c r="C44" s="65">
        <v>0.315</v>
      </c>
      <c r="D44" s="54">
        <v>93.992999999999995</v>
      </c>
      <c r="I44" s="53" t="s">
        <v>81</v>
      </c>
      <c r="J44">
        <v>0.2</v>
      </c>
      <c r="K44" s="54">
        <v>93.992999999999995</v>
      </c>
    </row>
    <row r="45" spans="1:11" ht="15.75" thickBot="1" x14ac:dyDescent="0.3">
      <c r="A45" s="53" t="s">
        <v>82</v>
      </c>
      <c r="B45" s="58"/>
      <c r="C45" s="65">
        <v>0.22500000000000001</v>
      </c>
      <c r="D45" s="54">
        <v>95.516999999999996</v>
      </c>
      <c r="I45" s="53" t="s">
        <v>82</v>
      </c>
      <c r="J45">
        <v>0.13</v>
      </c>
      <c r="K45" s="54">
        <v>95.516999999999996</v>
      </c>
    </row>
    <row r="46" spans="1:11" ht="15.75" thickBot="1" x14ac:dyDescent="0.3">
      <c r="A46" s="53" t="s">
        <v>83</v>
      </c>
      <c r="B46" s="58"/>
      <c r="C46" s="65">
        <v>0.316</v>
      </c>
      <c r="D46" s="54">
        <v>100.92</v>
      </c>
      <c r="I46" s="53" t="s">
        <v>83</v>
      </c>
      <c r="J46">
        <v>0.21</v>
      </c>
      <c r="K46" s="54">
        <v>100.92</v>
      </c>
    </row>
    <row r="47" spans="1:11" ht="15.75" thickBot="1" x14ac:dyDescent="0.3">
      <c r="A47" s="53" t="s">
        <v>84</v>
      </c>
      <c r="B47" s="62"/>
      <c r="C47" s="66">
        <v>0.39500000000000002</v>
      </c>
      <c r="D47" s="54">
        <v>115.37</v>
      </c>
      <c r="I47" s="53" t="s">
        <v>84</v>
      </c>
      <c r="J47">
        <v>0.22</v>
      </c>
      <c r="K47" s="54">
        <v>115.37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1FBCE-BAA2-40E4-A53C-49F0257EE721}">
  <dimension ref="A1:I47"/>
  <sheetViews>
    <sheetView tabSelected="1" workbookViewId="0">
      <selection activeCell="I23" sqref="I23"/>
    </sheetView>
  </sheetViews>
  <sheetFormatPr baseColWidth="10" defaultRowHeight="15" x14ac:dyDescent="0.25"/>
  <cols>
    <col min="5" max="5" width="18.85546875" bestFit="1" customWidth="1"/>
  </cols>
  <sheetData>
    <row r="1" spans="1:9" ht="15.75" thickBot="1" x14ac:dyDescent="0.3">
      <c r="C1" s="68" t="s">
        <v>88</v>
      </c>
      <c r="D1" t="s">
        <v>89</v>
      </c>
      <c r="E1" t="s">
        <v>91</v>
      </c>
      <c r="I1" t="s">
        <v>89</v>
      </c>
    </row>
    <row r="2" spans="1:9" ht="15.75" thickBot="1" x14ac:dyDescent="0.3">
      <c r="A2" s="53" t="s">
        <v>10</v>
      </c>
      <c r="B2" s="57" t="s">
        <v>11</v>
      </c>
      <c r="C2" s="68">
        <v>0.35</v>
      </c>
      <c r="D2" s="54">
        <v>28.1</v>
      </c>
      <c r="E2">
        <v>0.35</v>
      </c>
      <c r="F2">
        <v>0.34</v>
      </c>
      <c r="G2">
        <v>0.33</v>
      </c>
      <c r="H2">
        <f>AVERAGE(E2:G2)</f>
        <v>0.34</v>
      </c>
      <c r="I2" s="54">
        <v>28.1</v>
      </c>
    </row>
    <row r="3" spans="1:9" ht="15.75" thickBot="1" x14ac:dyDescent="0.3">
      <c r="A3" s="53" t="s">
        <v>12</v>
      </c>
      <c r="B3" s="58"/>
      <c r="C3" s="68">
        <v>0.48</v>
      </c>
      <c r="D3" s="54">
        <v>63.911000000000001</v>
      </c>
      <c r="E3">
        <v>0.47</v>
      </c>
      <c r="F3">
        <v>0.5</v>
      </c>
      <c r="G3">
        <v>0.49</v>
      </c>
      <c r="H3">
        <f t="shared" ref="H3:H11" si="0">AVERAGE(E3:G3)</f>
        <v>0.48666666666666664</v>
      </c>
      <c r="I3" s="54">
        <v>63.911000000000001</v>
      </c>
    </row>
    <row r="4" spans="1:9" ht="15.75" thickBot="1" x14ac:dyDescent="0.3">
      <c r="A4" s="53" t="s">
        <v>1</v>
      </c>
      <c r="B4" s="58"/>
      <c r="C4" s="68">
        <v>0.49</v>
      </c>
      <c r="D4" s="54">
        <v>69.921999999999997</v>
      </c>
      <c r="E4">
        <v>0.49</v>
      </c>
      <c r="F4">
        <v>0.5</v>
      </c>
      <c r="G4">
        <v>0.5</v>
      </c>
      <c r="H4">
        <f t="shared" si="0"/>
        <v>0.49666666666666665</v>
      </c>
      <c r="I4" s="54">
        <v>69.921999999999997</v>
      </c>
    </row>
    <row r="5" spans="1:9" ht="15.75" thickBot="1" x14ac:dyDescent="0.3">
      <c r="A5" s="53" t="s">
        <v>2</v>
      </c>
      <c r="B5" s="58"/>
      <c r="C5" s="68">
        <v>0.62</v>
      </c>
      <c r="D5" s="54">
        <v>96.744</v>
      </c>
      <c r="E5">
        <v>0.61</v>
      </c>
      <c r="F5">
        <v>0.62</v>
      </c>
      <c r="G5">
        <v>0.62</v>
      </c>
      <c r="H5">
        <f t="shared" si="0"/>
        <v>0.6166666666666667</v>
      </c>
      <c r="I5" s="54">
        <v>96.744</v>
      </c>
    </row>
    <row r="6" spans="1:9" ht="15.75" thickBot="1" x14ac:dyDescent="0.3">
      <c r="A6" s="53" t="s">
        <v>13</v>
      </c>
      <c r="B6" s="62"/>
      <c r="C6" s="68">
        <v>1.32</v>
      </c>
      <c r="D6" s="54">
        <v>128.11000000000001</v>
      </c>
      <c r="E6">
        <v>1.39</v>
      </c>
      <c r="F6">
        <v>1.28</v>
      </c>
      <c r="G6">
        <v>1.26</v>
      </c>
      <c r="H6">
        <f t="shared" si="0"/>
        <v>1.3099999999999998</v>
      </c>
      <c r="I6" s="54">
        <v>128.11000000000001</v>
      </c>
    </row>
    <row r="7" spans="1:9" ht="15.75" thickBot="1" x14ac:dyDescent="0.3">
      <c r="A7" s="53" t="s">
        <v>14</v>
      </c>
      <c r="B7" s="57" t="s">
        <v>15</v>
      </c>
      <c r="C7" s="64">
        <v>0.75</v>
      </c>
      <c r="D7" s="54">
        <v>207.78</v>
      </c>
      <c r="E7">
        <v>0.8</v>
      </c>
      <c r="F7">
        <v>0.79</v>
      </c>
      <c r="G7">
        <v>0.75</v>
      </c>
      <c r="H7">
        <f t="shared" si="0"/>
        <v>0.77999999999999992</v>
      </c>
      <c r="I7" s="54">
        <v>207.78</v>
      </c>
    </row>
    <row r="8" spans="1:9" ht="15.75" thickBot="1" x14ac:dyDescent="0.3">
      <c r="A8" s="53" t="s">
        <v>16</v>
      </c>
      <c r="B8" s="58"/>
      <c r="C8" s="65">
        <v>1.5</v>
      </c>
      <c r="D8" s="54">
        <v>444.11</v>
      </c>
      <c r="E8">
        <v>1.45</v>
      </c>
      <c r="F8">
        <v>1.72</v>
      </c>
      <c r="G8">
        <v>1.44</v>
      </c>
      <c r="H8">
        <f t="shared" si="0"/>
        <v>1.5366666666666664</v>
      </c>
      <c r="I8" s="54">
        <v>444.11</v>
      </c>
    </row>
    <row r="9" spans="1:9" ht="15.75" thickBot="1" x14ac:dyDescent="0.3">
      <c r="A9" s="53" t="s">
        <v>17</v>
      </c>
      <c r="B9" s="58"/>
      <c r="C9" s="65">
        <v>1.91</v>
      </c>
      <c r="D9" s="54">
        <v>579.55999999999995</v>
      </c>
      <c r="E9">
        <v>1.77</v>
      </c>
      <c r="F9">
        <v>1.55</v>
      </c>
      <c r="G9">
        <v>1.76</v>
      </c>
      <c r="H9">
        <f t="shared" si="0"/>
        <v>1.6933333333333334</v>
      </c>
      <c r="I9" s="54">
        <v>579.55999999999995</v>
      </c>
    </row>
    <row r="10" spans="1:9" ht="15.75" thickBot="1" x14ac:dyDescent="0.3">
      <c r="A10" s="53" t="s">
        <v>18</v>
      </c>
      <c r="B10" s="58"/>
      <c r="C10" s="65">
        <v>3.46</v>
      </c>
      <c r="D10" s="54">
        <v>746.22</v>
      </c>
      <c r="E10">
        <v>3.32</v>
      </c>
      <c r="F10">
        <v>3.12</v>
      </c>
      <c r="G10">
        <v>3.34</v>
      </c>
      <c r="H10">
        <f t="shared" si="0"/>
        <v>3.26</v>
      </c>
      <c r="I10" s="54">
        <v>746.22</v>
      </c>
    </row>
    <row r="11" spans="1:9" ht="15.75" thickBot="1" x14ac:dyDescent="0.3">
      <c r="A11" s="55" t="s">
        <v>19</v>
      </c>
      <c r="B11" s="58"/>
      <c r="C11" s="65">
        <v>3.44</v>
      </c>
      <c r="D11" s="56">
        <v>869.5</v>
      </c>
      <c r="E11">
        <v>3.29</v>
      </c>
      <c r="F11">
        <v>3.66</v>
      </c>
      <c r="G11">
        <v>3.54</v>
      </c>
      <c r="H11">
        <f t="shared" si="0"/>
        <v>3.4966666666666666</v>
      </c>
      <c r="I11" s="56">
        <v>869.5</v>
      </c>
    </row>
    <row r="12" spans="1:9" ht="15.75" thickBot="1" x14ac:dyDescent="0.3">
      <c r="A12" s="63"/>
      <c r="B12" s="60"/>
      <c r="C12" s="67"/>
      <c r="D12" s="60"/>
    </row>
    <row r="13" spans="1:9" ht="15.75" thickBot="1" x14ac:dyDescent="0.3">
      <c r="A13" s="53" t="s">
        <v>41</v>
      </c>
      <c r="B13" s="61" t="s">
        <v>42</v>
      </c>
      <c r="C13" s="64"/>
      <c r="D13" s="54">
        <v>88.4</v>
      </c>
    </row>
    <row r="14" spans="1:9" ht="15.75" thickBot="1" x14ac:dyDescent="0.3">
      <c r="A14" s="53" t="s">
        <v>43</v>
      </c>
      <c r="B14" s="58"/>
      <c r="C14" s="65"/>
      <c r="D14" s="54">
        <v>94.6</v>
      </c>
    </row>
    <row r="15" spans="1:9" ht="15.75" thickBot="1" x14ac:dyDescent="0.3">
      <c r="A15" s="53" t="s">
        <v>44</v>
      </c>
      <c r="B15" s="57" t="s">
        <v>45</v>
      </c>
      <c r="C15" s="64"/>
      <c r="D15" s="54">
        <v>271.44400000000002</v>
      </c>
    </row>
    <row r="16" spans="1:9" ht="15.75" thickBot="1" x14ac:dyDescent="0.3">
      <c r="A16" s="53" t="s">
        <v>46</v>
      </c>
      <c r="B16" s="58"/>
      <c r="C16" s="65"/>
      <c r="D16" s="54">
        <v>550.22199999999998</v>
      </c>
    </row>
    <row r="17" spans="1:4" ht="15.75" thickBot="1" x14ac:dyDescent="0.3">
      <c r="A17" s="53" t="s">
        <v>47</v>
      </c>
      <c r="B17" s="58"/>
      <c r="C17" s="65"/>
      <c r="D17" s="54">
        <v>609</v>
      </c>
    </row>
    <row r="18" spans="1:4" ht="15.75" thickBot="1" x14ac:dyDescent="0.3">
      <c r="A18" s="53" t="s">
        <v>48</v>
      </c>
      <c r="B18" s="58"/>
      <c r="C18" s="65"/>
      <c r="D18" s="54">
        <v>739.11099999999999</v>
      </c>
    </row>
    <row r="19" spans="1:4" ht="15.75" thickBot="1" x14ac:dyDescent="0.3">
      <c r="A19" s="55" t="s">
        <v>49</v>
      </c>
      <c r="B19" s="58"/>
      <c r="C19" s="65"/>
      <c r="D19" s="56">
        <v>746.88900000000001</v>
      </c>
    </row>
    <row r="20" spans="1:4" ht="15.75" thickBot="1" x14ac:dyDescent="0.3">
      <c r="A20" s="63"/>
      <c r="B20" s="60"/>
      <c r="C20" s="67"/>
      <c r="D20" s="60"/>
    </row>
    <row r="21" spans="1:4" ht="15.75" thickBot="1" x14ac:dyDescent="0.3">
      <c r="A21" s="53" t="s">
        <v>51</v>
      </c>
      <c r="B21" s="61" t="s">
        <v>52</v>
      </c>
      <c r="C21" s="64"/>
      <c r="D21" s="54">
        <v>19.36</v>
      </c>
    </row>
    <row r="22" spans="1:4" ht="15.75" thickBot="1" x14ac:dyDescent="0.3">
      <c r="A22" s="53" t="s">
        <v>54</v>
      </c>
      <c r="B22" s="58"/>
      <c r="C22" s="65"/>
      <c r="D22" s="54">
        <v>33.31</v>
      </c>
    </row>
    <row r="23" spans="1:4" ht="15.75" thickBot="1" x14ac:dyDescent="0.3">
      <c r="A23" s="53" t="s">
        <v>53</v>
      </c>
      <c r="B23" s="62"/>
      <c r="C23" s="66"/>
      <c r="D23" s="54">
        <v>41.74</v>
      </c>
    </row>
    <row r="24" spans="1:4" ht="15.75" thickBot="1" x14ac:dyDescent="0.3">
      <c r="A24" s="53" t="s">
        <v>55</v>
      </c>
      <c r="B24" s="57" t="s">
        <v>56</v>
      </c>
      <c r="C24" s="64"/>
      <c r="D24" s="54">
        <v>204.5</v>
      </c>
    </row>
    <row r="25" spans="1:4" ht="15.75" thickBot="1" x14ac:dyDescent="0.3">
      <c r="A25" s="55" t="s">
        <v>57</v>
      </c>
      <c r="B25" s="58"/>
      <c r="C25" s="65"/>
      <c r="D25" s="56">
        <v>277.7</v>
      </c>
    </row>
    <row r="26" spans="1:4" ht="15.75" thickBot="1" x14ac:dyDescent="0.3">
      <c r="A26" s="59"/>
      <c r="B26" s="60"/>
      <c r="C26" s="67"/>
      <c r="D26" s="60"/>
    </row>
    <row r="27" spans="1:4" ht="15.75" thickBot="1" x14ac:dyDescent="0.3">
      <c r="A27" s="53" t="s">
        <v>57</v>
      </c>
      <c r="B27" s="61" t="s">
        <v>59</v>
      </c>
      <c r="C27" s="64"/>
      <c r="D27" s="54">
        <v>10.283300000000001</v>
      </c>
    </row>
    <row r="28" spans="1:4" ht="15.75" thickBot="1" x14ac:dyDescent="0.3">
      <c r="A28" s="53" t="s">
        <v>60</v>
      </c>
      <c r="B28" s="58"/>
      <c r="C28" s="65"/>
      <c r="D28" s="54">
        <v>11.8833</v>
      </c>
    </row>
    <row r="29" spans="1:4" ht="15.75" thickBot="1" x14ac:dyDescent="0.3">
      <c r="A29" s="53" t="s">
        <v>61</v>
      </c>
      <c r="B29" s="62"/>
      <c r="C29" s="66"/>
      <c r="D29" s="54">
        <v>17.433299999999999</v>
      </c>
    </row>
    <row r="30" spans="1:4" ht="15.75" thickBot="1" x14ac:dyDescent="0.3">
      <c r="A30" s="53" t="s">
        <v>65</v>
      </c>
      <c r="B30" s="57" t="s">
        <v>63</v>
      </c>
      <c r="C30" s="64"/>
      <c r="D30" s="54">
        <v>117.467</v>
      </c>
    </row>
    <row r="31" spans="1:4" ht="15.75" thickBot="1" x14ac:dyDescent="0.3">
      <c r="A31" s="53" t="s">
        <v>64</v>
      </c>
      <c r="B31" s="58"/>
      <c r="C31" s="65"/>
      <c r="D31" s="54">
        <v>187.833</v>
      </c>
    </row>
    <row r="32" spans="1:4" ht="15.75" thickBot="1" x14ac:dyDescent="0.3">
      <c r="A32" s="53" t="s">
        <v>66</v>
      </c>
      <c r="B32" s="58"/>
      <c r="C32" s="65"/>
      <c r="D32" s="54">
        <v>218.333</v>
      </c>
    </row>
    <row r="33" spans="1:4" ht="15.75" thickBot="1" x14ac:dyDescent="0.3">
      <c r="A33" s="55" t="s">
        <v>62</v>
      </c>
      <c r="B33" s="58"/>
      <c r="C33" s="65"/>
      <c r="D33" s="56">
        <v>238.5</v>
      </c>
    </row>
    <row r="34" spans="1:4" ht="15.75" thickBot="1" x14ac:dyDescent="0.3">
      <c r="A34" s="59"/>
      <c r="B34" s="60"/>
      <c r="C34" s="67"/>
      <c r="D34" s="60"/>
    </row>
    <row r="35" spans="1:4" ht="15.75" thickBot="1" x14ac:dyDescent="0.3">
      <c r="A35" s="53" t="s">
        <v>68</v>
      </c>
      <c r="B35" s="61" t="s">
        <v>69</v>
      </c>
      <c r="C35" s="64"/>
      <c r="D35" s="54">
        <v>2</v>
      </c>
    </row>
    <row r="36" spans="1:4" ht="15.75" thickBot="1" x14ac:dyDescent="0.3">
      <c r="A36" s="53" t="s">
        <v>70</v>
      </c>
      <c r="B36" s="58"/>
      <c r="C36" s="65"/>
      <c r="D36" s="54">
        <v>7.133</v>
      </c>
    </row>
    <row r="37" spans="1:4" ht="15.75" thickBot="1" x14ac:dyDescent="0.3">
      <c r="A37" s="53" t="s">
        <v>85</v>
      </c>
      <c r="B37" s="62"/>
      <c r="C37" s="66"/>
      <c r="D37" s="54">
        <v>10.72</v>
      </c>
    </row>
    <row r="38" spans="1:4" ht="15.75" thickBot="1" x14ac:dyDescent="0.3">
      <c r="A38" s="53" t="s">
        <v>72</v>
      </c>
      <c r="B38" s="57" t="s">
        <v>73</v>
      </c>
      <c r="C38" s="64"/>
      <c r="D38" s="54">
        <v>20.466999999999999</v>
      </c>
    </row>
    <row r="39" spans="1:4" ht="15.75" thickBot="1" x14ac:dyDescent="0.3">
      <c r="A39" s="55" t="s">
        <v>74</v>
      </c>
      <c r="B39" s="58"/>
      <c r="C39" s="65"/>
      <c r="D39" s="56">
        <v>20.367000000000001</v>
      </c>
    </row>
    <row r="40" spans="1:4" ht="15.75" thickBot="1" x14ac:dyDescent="0.3">
      <c r="A40" s="59"/>
      <c r="B40" s="60"/>
      <c r="C40" s="67"/>
      <c r="D40" s="60"/>
    </row>
    <row r="41" spans="1:4" ht="15.75" thickBot="1" x14ac:dyDescent="0.3">
      <c r="A41" s="53" t="s">
        <v>76</v>
      </c>
      <c r="B41" s="61" t="s">
        <v>77</v>
      </c>
      <c r="C41" s="64"/>
      <c r="D41" s="54">
        <v>5.15</v>
      </c>
    </row>
    <row r="42" spans="1:4" x14ac:dyDescent="0.25">
      <c r="A42" s="55" t="s">
        <v>78</v>
      </c>
      <c r="B42" s="58"/>
      <c r="C42" s="65"/>
      <c r="D42" s="56">
        <v>16.2</v>
      </c>
    </row>
    <row r="43" spans="1:4" ht="15.75" thickBot="1" x14ac:dyDescent="0.3">
      <c r="A43" s="53" t="s">
        <v>79</v>
      </c>
      <c r="B43" s="61" t="s">
        <v>80</v>
      </c>
      <c r="C43" s="64"/>
      <c r="D43" s="54">
        <v>50.082999999999998</v>
      </c>
    </row>
    <row r="44" spans="1:4" ht="15.75" thickBot="1" x14ac:dyDescent="0.3">
      <c r="A44" s="53" t="s">
        <v>81</v>
      </c>
      <c r="B44" s="58"/>
      <c r="C44" s="65"/>
      <c r="D44" s="54">
        <v>93.992999999999995</v>
      </c>
    </row>
    <row r="45" spans="1:4" ht="15.75" thickBot="1" x14ac:dyDescent="0.3">
      <c r="A45" s="53" t="s">
        <v>82</v>
      </c>
      <c r="B45" s="58"/>
      <c r="C45" s="65"/>
      <c r="D45" s="54">
        <v>95.516999999999996</v>
      </c>
    </row>
    <row r="46" spans="1:4" ht="15.75" thickBot="1" x14ac:dyDescent="0.3">
      <c r="A46" s="53" t="s">
        <v>83</v>
      </c>
      <c r="B46" s="58"/>
      <c r="C46" s="65"/>
      <c r="D46" s="54">
        <v>100.92</v>
      </c>
    </row>
    <row r="47" spans="1:4" ht="15.75" thickBot="1" x14ac:dyDescent="0.3">
      <c r="A47" s="53" t="s">
        <v>84</v>
      </c>
      <c r="B47" s="62"/>
      <c r="C47" s="66"/>
      <c r="D47" s="54">
        <v>115.37</v>
      </c>
    </row>
  </sheetData>
  <phoneticPr fontId="1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Hoja3</vt:lpstr>
      <vt:lpstr>Hoja2</vt:lpstr>
      <vt:lpstr>Hoja4</vt:lpstr>
      <vt:lpstr>real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HARDWARE</dc:creator>
  <cp:lastModifiedBy>USUARIO</cp:lastModifiedBy>
  <dcterms:created xsi:type="dcterms:W3CDTF">2020-06-17T14:24:30Z</dcterms:created>
  <dcterms:modified xsi:type="dcterms:W3CDTF">2020-07-05T17:31:18Z</dcterms:modified>
</cp:coreProperties>
</file>