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s\2020\RETRO VERTICAL\1_RetroVertical_2020(modificada)\"/>
    </mc:Choice>
  </mc:AlternateContent>
  <xr:revisionPtr revIDLastSave="0" documentId="13_ncr:1_{1B47EB73-F8EE-41A2-A0BF-A5A53B75DB4B}" xr6:coauthVersionLast="36" xr6:coauthVersionMax="45" xr10:uidLastSave="{00000000-0000-0000-0000-000000000000}"/>
  <bookViews>
    <workbookView xWindow="-120" yWindow="-120" windowWidth="29040" windowHeight="15840" firstSheet="2" activeTab="4" xr2:uid="{BA9F14F2-4786-4E6B-AED4-59393AB36919}"/>
  </bookViews>
  <sheets>
    <sheet name="Hoja1" sheetId="1" state="hidden" r:id="rId1"/>
    <sheet name="Hoja2" sheetId="2" state="hidden" r:id="rId2"/>
    <sheet name="metodo de calibracion" sheetId="3" r:id="rId3"/>
    <sheet name="coviandina" sheetId="4" r:id="rId4"/>
    <sheet name="concesion sabana occidente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5" l="1"/>
  <c r="P2" i="5"/>
  <c r="O2" i="5" l="1"/>
  <c r="Q2" i="5"/>
  <c r="O15" i="5"/>
  <c r="O32" i="5" l="1"/>
  <c r="P32" i="5" s="1"/>
  <c r="O31" i="5"/>
  <c r="P31" i="5" s="1"/>
  <c r="O29" i="5"/>
  <c r="P29" i="5" s="1"/>
  <c r="O28" i="5"/>
  <c r="P28" i="5" s="1"/>
  <c r="O26" i="5"/>
  <c r="P26" i="5" s="1"/>
  <c r="O25" i="5"/>
  <c r="P25" i="5" s="1"/>
  <c r="O23" i="5"/>
  <c r="P23" i="5" s="1"/>
  <c r="O22" i="5"/>
  <c r="P22" i="5" s="1"/>
  <c r="O20" i="5"/>
  <c r="P20" i="5" s="1"/>
  <c r="O19" i="5"/>
  <c r="P19" i="5" s="1"/>
  <c r="O17" i="5"/>
  <c r="P17" i="5" s="1"/>
  <c r="O16" i="5"/>
  <c r="P16" i="5" s="1"/>
  <c r="P15" i="5"/>
  <c r="O13" i="5"/>
  <c r="P13" i="5" s="1"/>
  <c r="O10" i="5"/>
  <c r="P10" i="5" s="1"/>
  <c r="O7" i="5"/>
  <c r="P7" i="5" s="1"/>
  <c r="O5" i="5"/>
  <c r="P5" i="5" s="1"/>
  <c r="O4" i="5"/>
  <c r="P4" i="5" s="1"/>
  <c r="O12" i="5"/>
  <c r="P12" i="5" s="1"/>
  <c r="D2" i="5"/>
  <c r="O31" i="3"/>
  <c r="P31" i="3" s="1"/>
  <c r="O28" i="3"/>
  <c r="P28" i="3" s="1"/>
  <c r="O25" i="3"/>
  <c r="P25" i="3" s="1"/>
  <c r="O22" i="3"/>
  <c r="P22" i="3" s="1"/>
  <c r="O19" i="3"/>
  <c r="P19" i="3" s="1"/>
  <c r="O16" i="3"/>
  <c r="P16" i="3" s="1"/>
  <c r="P15" i="3"/>
  <c r="O13" i="3"/>
  <c r="P13" i="3" s="1"/>
  <c r="O10" i="3"/>
  <c r="P10" i="3" s="1"/>
  <c r="O7" i="3"/>
  <c r="P7" i="3" s="1"/>
  <c r="G7" i="3"/>
  <c r="O5" i="3"/>
  <c r="P5" i="3" s="1"/>
  <c r="O4" i="3"/>
  <c r="P4" i="3" s="1"/>
  <c r="Q2" i="3"/>
  <c r="O12" i="3" s="1"/>
  <c r="P12" i="3" s="1"/>
  <c r="O2" i="3"/>
  <c r="P2" i="3" s="1"/>
  <c r="D2" i="3"/>
  <c r="O8" i="5" l="1"/>
  <c r="P8" i="5" s="1"/>
  <c r="O11" i="5"/>
  <c r="P11" i="5" s="1"/>
  <c r="O14" i="5"/>
  <c r="P14" i="5" s="1"/>
  <c r="O3" i="5"/>
  <c r="P3" i="5" s="1"/>
  <c r="O6" i="5"/>
  <c r="P6" i="5" s="1"/>
  <c r="O18" i="5"/>
  <c r="P18" i="5" s="1"/>
  <c r="O21" i="5"/>
  <c r="P21" i="5" s="1"/>
  <c r="O24" i="5"/>
  <c r="P24" i="5" s="1"/>
  <c r="O27" i="5"/>
  <c r="P27" i="5" s="1"/>
  <c r="O30" i="5"/>
  <c r="P30" i="5" s="1"/>
  <c r="O9" i="5"/>
  <c r="P9" i="5" s="1"/>
  <c r="O8" i="3"/>
  <c r="P8" i="3" s="1"/>
  <c r="O17" i="3"/>
  <c r="P17" i="3" s="1"/>
  <c r="O20" i="3"/>
  <c r="P20" i="3" s="1"/>
  <c r="O23" i="3"/>
  <c r="P23" i="3" s="1"/>
  <c r="O26" i="3"/>
  <c r="P26" i="3" s="1"/>
  <c r="O29" i="3"/>
  <c r="P29" i="3" s="1"/>
  <c r="O32" i="3"/>
  <c r="P32" i="3" s="1"/>
  <c r="O3" i="3"/>
  <c r="P3" i="3" s="1"/>
  <c r="O6" i="3"/>
  <c r="P6" i="3" s="1"/>
  <c r="O11" i="3"/>
  <c r="P11" i="3" s="1"/>
  <c r="O14" i="3"/>
  <c r="P14" i="3" s="1"/>
  <c r="O18" i="3"/>
  <c r="P18" i="3" s="1"/>
  <c r="O21" i="3"/>
  <c r="P21" i="3" s="1"/>
  <c r="O24" i="3"/>
  <c r="P24" i="3" s="1"/>
  <c r="O27" i="3"/>
  <c r="P27" i="3" s="1"/>
  <c r="O30" i="3"/>
  <c r="P30" i="3" s="1"/>
  <c r="O9" i="3"/>
  <c r="P9" i="3" s="1"/>
  <c r="G7" i="4"/>
  <c r="O32" i="4"/>
  <c r="P3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O31" i="4"/>
  <c r="O3" i="4"/>
  <c r="O4" i="4"/>
  <c r="O5" i="4"/>
  <c r="O6" i="4"/>
  <c r="O7" i="4"/>
  <c r="O8" i="4"/>
  <c r="O9" i="4"/>
  <c r="O10" i="4"/>
  <c r="O11" i="4"/>
  <c r="O12" i="4"/>
  <c r="O13" i="4"/>
  <c r="O14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2" i="4"/>
  <c r="Q2" i="4"/>
  <c r="C9" i="4" l="1"/>
  <c r="D2" i="4"/>
  <c r="C2" i="4"/>
</calcChain>
</file>

<file path=xl/sharedStrings.xml><?xml version="1.0" encoding="utf-8"?>
<sst xmlns="http://schemas.openxmlformats.org/spreadsheetml/2006/main" count="342" uniqueCount="98">
  <si>
    <t>TESB6:F58TIGO</t>
  </si>
  <si>
    <t>COLOR</t>
  </si>
  <si>
    <t>VALOR ESPERADO</t>
  </si>
  <si>
    <t>VALOR LLEGADA</t>
  </si>
  <si>
    <t>VALOR SALIDA</t>
  </si>
  <si>
    <t>P16</t>
  </si>
  <si>
    <t>Amarillo I.</t>
  </si>
  <si>
    <t>P33</t>
  </si>
  <si>
    <t>p32</t>
  </si>
  <si>
    <t>p34</t>
  </si>
  <si>
    <t>P37</t>
  </si>
  <si>
    <t>P18</t>
  </si>
  <si>
    <t>Amarillo O.</t>
  </si>
  <si>
    <t>P20</t>
  </si>
  <si>
    <t>P17</t>
  </si>
  <si>
    <t>P19</t>
  </si>
  <si>
    <t>P15</t>
  </si>
  <si>
    <t>P29</t>
  </si>
  <si>
    <t>Blanco I.</t>
  </si>
  <si>
    <t>P28</t>
  </si>
  <si>
    <t>p36</t>
  </si>
  <si>
    <t>Blanco O.</t>
  </si>
  <si>
    <t>P4</t>
  </si>
  <si>
    <t>p31</t>
  </si>
  <si>
    <t>p3</t>
  </si>
  <si>
    <t>p5</t>
  </si>
  <si>
    <t>P27</t>
  </si>
  <si>
    <t>Naranja I.</t>
  </si>
  <si>
    <t>P24</t>
  </si>
  <si>
    <t>P26</t>
  </si>
  <si>
    <t>P39</t>
  </si>
  <si>
    <t>Naranja O.</t>
  </si>
  <si>
    <t>P38</t>
  </si>
  <si>
    <t>Rojo I.</t>
  </si>
  <si>
    <t>P6</t>
  </si>
  <si>
    <t>P7</t>
  </si>
  <si>
    <t>P8</t>
  </si>
  <si>
    <t>Rojo O.</t>
  </si>
  <si>
    <t>P40</t>
  </si>
  <si>
    <t>P41</t>
  </si>
  <si>
    <t>P9</t>
  </si>
  <si>
    <t>P48a</t>
  </si>
  <si>
    <t>Azul I.</t>
  </si>
  <si>
    <t>P45</t>
  </si>
  <si>
    <t>P47</t>
  </si>
  <si>
    <t>P23</t>
  </si>
  <si>
    <t>Azul O.</t>
  </si>
  <si>
    <t>P23A</t>
  </si>
  <si>
    <t>P10</t>
  </si>
  <si>
    <t>Verde I.</t>
  </si>
  <si>
    <t>P11</t>
  </si>
  <si>
    <t>P43</t>
  </si>
  <si>
    <t>Verde O.</t>
  </si>
  <si>
    <t>P44</t>
  </si>
  <si>
    <t>P14</t>
  </si>
  <si>
    <t>P13</t>
  </si>
  <si>
    <t>P42</t>
  </si>
  <si>
    <t>TESTIGO</t>
  </si>
  <si>
    <t>PAPEL BLANCO</t>
  </si>
  <si>
    <t>PAPEL NARANJA</t>
  </si>
  <si>
    <t>PAPEL ROJO</t>
  </si>
  <si>
    <t>PAPEL AZUL</t>
  </si>
  <si>
    <t>P21</t>
  </si>
  <si>
    <t>PAPEL VERDE</t>
  </si>
  <si>
    <t>p16</t>
  </si>
  <si>
    <t>p33</t>
  </si>
  <si>
    <t>p37</t>
  </si>
  <si>
    <t>p19</t>
  </si>
  <si>
    <t>p18</t>
  </si>
  <si>
    <t>p17</t>
  </si>
  <si>
    <t>p15</t>
  </si>
  <si>
    <t>led calido+vidrio opaco+ apertura normal</t>
  </si>
  <si>
    <t>verde</t>
  </si>
  <si>
    <t>rojo</t>
  </si>
  <si>
    <t>am</t>
  </si>
  <si>
    <t>blan</t>
  </si>
  <si>
    <t>led calido+sin vidrio+ apertura normal</t>
  </si>
  <si>
    <t>valor lcd</t>
  </si>
  <si>
    <t>temperatura</t>
  </si>
  <si>
    <t>valor</t>
  </si>
  <si>
    <t>factor multiplicativo</t>
  </si>
  <si>
    <t>la temperatura a la cual se midio es la referencia</t>
  </si>
  <si>
    <t>para la parte derecha que es la</t>
  </si>
  <si>
    <t xml:space="preserve"> variacion de temperatura</t>
  </si>
  <si>
    <t>amarillo 1</t>
  </si>
  <si>
    <t>= 0.000000086x3 - 0.000299026x2 + 0.446572329x - 161.175535014</t>
  </si>
  <si>
    <t>y = -0.000000073x3 + 0.000282508x2 + 0.124075350x - 130.227536077</t>
  </si>
  <si>
    <t>bglanco 1</t>
  </si>
  <si>
    <t>y = 0.000087404x2 + 0.013617682x - 27.484821912</t>
  </si>
  <si>
    <t>y = -0.000086541x2 + 0.619668128x - 303.000355066</t>
  </si>
  <si>
    <t>naranja</t>
  </si>
  <si>
    <t>y = 0.000090731x2 + 0.001064329x - 21.054491248</t>
  </si>
  <si>
    <t>rojo1</t>
  </si>
  <si>
    <t>y = 0.000113098x2 - 0.076130418x + 10.506847924</t>
  </si>
  <si>
    <t>y = 0.000000147x3 - 0.000668624x2 + 1.082394050x - 393.021359418</t>
  </si>
  <si>
    <t>azul</t>
  </si>
  <si>
    <t>y = 0.000000026x3 - 0.000018402x2 + 0.102152670x - 49.037813026</t>
  </si>
  <si>
    <t>y = 0.000000163x3 - 0.000756695x2 + 1.213142724x - 442.512774451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</si>
</sst>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name val="Arial"/>
    </font>
    <font>
      <b/>
      <sz val="9"/>
      <color theme="1"/>
      <name val="Arial"/>
      <family val="2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24"/>
      <name val="Arial"/>
      <family val="2"/>
    </font>
    <font>
      <b/>
      <sz val="10"/>
      <name val="Arial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9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EAF1D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rgb="FFFFFF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rgb="FFFFFF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/>
    <xf numFmtId="9" fontId="2" fillId="3" borderId="7" xfId="0" applyNumberFormat="1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" fontId="8" fillId="4" borderId="9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8" fillId="4" borderId="2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9" fontId="6" fillId="5" borderId="7" xfId="0" applyNumberFormat="1" applyFont="1" applyFill="1" applyBorder="1" applyAlignment="1">
      <alignment vertical="center" wrapText="1"/>
    </xf>
    <xf numFmtId="9" fontId="6" fillId="5" borderId="8" xfId="0" applyNumberFormat="1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9" fontId="6" fillId="6" borderId="7" xfId="0" applyNumberFormat="1" applyFont="1" applyFill="1" applyBorder="1" applyAlignment="1">
      <alignment vertical="center" wrapText="1"/>
    </xf>
    <xf numFmtId="9" fontId="6" fillId="6" borderId="8" xfId="0" applyNumberFormat="1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6" fillId="9" borderId="10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6" fillId="10" borderId="7" xfId="0" applyFont="1" applyFill="1" applyBorder="1" applyAlignment="1">
      <alignment vertical="center" wrapText="1"/>
    </xf>
    <xf numFmtId="0" fontId="6" fillId="10" borderId="8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0" fillId="0" borderId="13" xfId="0" applyBorder="1"/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/>
    <xf numFmtId="0" fontId="1" fillId="16" borderId="15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6" borderId="17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17" borderId="20" xfId="0" applyFont="1" applyFill="1" applyBorder="1" applyAlignment="1">
      <alignment horizontal="center" vertical="center" wrapText="1"/>
    </xf>
    <xf numFmtId="0" fontId="4" fillId="17" borderId="21" xfId="0" applyFont="1" applyFill="1" applyBorder="1"/>
    <xf numFmtId="0" fontId="0" fillId="17" borderId="21" xfId="0" applyFill="1" applyBorder="1"/>
    <xf numFmtId="0" fontId="3" fillId="17" borderId="22" xfId="0" applyFont="1" applyFill="1" applyBorder="1" applyAlignment="1">
      <alignment horizontal="center" vertical="center" wrapText="1"/>
    </xf>
    <xf numFmtId="0" fontId="2" fillId="17" borderId="15" xfId="0" applyFont="1" applyFill="1" applyBorder="1" applyAlignment="1">
      <alignment horizontal="center" vertical="center" wrapText="1"/>
    </xf>
    <xf numFmtId="0" fontId="4" fillId="17" borderId="16" xfId="0" applyFont="1" applyFill="1" applyBorder="1"/>
    <xf numFmtId="9" fontId="2" fillId="18" borderId="15" xfId="0" applyNumberFormat="1" applyFont="1" applyFill="1" applyBorder="1" applyAlignment="1">
      <alignment vertical="center" wrapText="1"/>
    </xf>
    <xf numFmtId="0" fontId="4" fillId="19" borderId="16" xfId="0" applyFont="1" applyFill="1" applyBorder="1" applyAlignment="1"/>
    <xf numFmtId="0" fontId="0" fillId="19" borderId="16" xfId="0" applyFill="1" applyBorder="1"/>
    <xf numFmtId="0" fontId="4" fillId="19" borderId="17" xfId="0" applyFont="1" applyFill="1" applyBorder="1" applyAlignment="1"/>
    <xf numFmtId="0" fontId="2" fillId="12" borderId="18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4" fillId="19" borderId="21" xfId="0" applyFont="1" applyFill="1" applyBorder="1" applyAlignment="1"/>
    <xf numFmtId="0" fontId="0" fillId="19" borderId="21" xfId="0" applyFill="1" applyBorder="1"/>
    <xf numFmtId="0" fontId="3" fillId="19" borderId="22" xfId="0" applyFont="1" applyFill="1" applyBorder="1" applyAlignment="1">
      <alignment horizontal="center" vertical="center" wrapText="1"/>
    </xf>
    <xf numFmtId="0" fontId="2" fillId="19" borderId="15" xfId="0" applyFont="1" applyFill="1" applyBorder="1" applyAlignment="1">
      <alignment horizontal="center" vertical="center" wrapText="1"/>
    </xf>
    <xf numFmtId="0" fontId="3" fillId="19" borderId="17" xfId="0" applyFont="1" applyFill="1" applyBorder="1" applyAlignment="1">
      <alignment horizontal="center" vertical="center" wrapText="1"/>
    </xf>
    <xf numFmtId="9" fontId="11" fillId="20" borderId="15" xfId="0" applyNumberFormat="1" applyFont="1" applyFill="1" applyBorder="1" applyAlignment="1">
      <alignment vertical="center" wrapText="1"/>
    </xf>
    <xf numFmtId="0" fontId="4" fillId="21" borderId="16" xfId="0" applyFont="1" applyFill="1" applyBorder="1" applyAlignment="1"/>
    <xf numFmtId="0" fontId="12" fillId="21" borderId="16" xfId="0" applyFont="1" applyFill="1" applyBorder="1"/>
    <xf numFmtId="0" fontId="4" fillId="21" borderId="17" xfId="0" applyFont="1" applyFill="1" applyBorder="1" applyAlignment="1"/>
    <xf numFmtId="0" fontId="2" fillId="13" borderId="18" xfId="0" applyFont="1" applyFill="1" applyBorder="1" applyAlignment="1">
      <alignment horizontal="center" vertical="center" wrapText="1"/>
    </xf>
    <xf numFmtId="0" fontId="2" fillId="21" borderId="20" xfId="0" applyFont="1" applyFill="1" applyBorder="1" applyAlignment="1">
      <alignment horizontal="center" vertical="center" wrapText="1"/>
    </xf>
    <xf numFmtId="0" fontId="4" fillId="21" borderId="21" xfId="0" applyFont="1" applyFill="1" applyBorder="1" applyAlignment="1"/>
    <xf numFmtId="0" fontId="0" fillId="21" borderId="21" xfId="0" applyFill="1" applyBorder="1"/>
    <xf numFmtId="0" fontId="3" fillId="21" borderId="22" xfId="0" applyFont="1" applyFill="1" applyBorder="1" applyAlignment="1">
      <alignment horizontal="center" vertical="center" wrapText="1"/>
    </xf>
    <xf numFmtId="0" fontId="2" fillId="22" borderId="15" xfId="0" applyFont="1" applyFill="1" applyBorder="1" applyAlignment="1">
      <alignment vertical="center" wrapText="1"/>
    </xf>
    <xf numFmtId="0" fontId="4" fillId="23" borderId="16" xfId="0" applyFont="1" applyFill="1" applyBorder="1" applyAlignment="1"/>
    <xf numFmtId="0" fontId="0" fillId="23" borderId="16" xfId="0" applyFill="1" applyBorder="1"/>
    <xf numFmtId="0" fontId="4" fillId="23" borderId="17" xfId="0" applyFont="1" applyFill="1" applyBorder="1" applyAlignment="1"/>
    <xf numFmtId="0" fontId="2" fillId="8" borderId="18" xfId="0" applyFont="1" applyFill="1" applyBorder="1" applyAlignment="1">
      <alignment horizontal="center" vertical="center" wrapText="1"/>
    </xf>
    <xf numFmtId="0" fontId="2" fillId="23" borderId="20" xfId="0" applyFont="1" applyFill="1" applyBorder="1" applyAlignment="1">
      <alignment horizontal="center" vertical="center" wrapText="1"/>
    </xf>
    <xf numFmtId="0" fontId="4" fillId="23" borderId="21" xfId="0" applyFont="1" applyFill="1" applyBorder="1" applyAlignment="1"/>
    <xf numFmtId="0" fontId="0" fillId="23" borderId="21" xfId="0" applyFill="1" applyBorder="1"/>
    <xf numFmtId="0" fontId="3" fillId="23" borderId="22" xfId="0" applyFont="1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3" fillId="23" borderId="17" xfId="0" applyFont="1" applyFill="1" applyBorder="1" applyAlignment="1">
      <alignment horizontal="center" vertical="center" wrapText="1"/>
    </xf>
    <xf numFmtId="0" fontId="3" fillId="23" borderId="21" xfId="0" applyFont="1" applyFill="1" applyBorder="1" applyAlignment="1">
      <alignment horizontal="center" vertical="center" wrapText="1"/>
    </xf>
    <xf numFmtId="0" fontId="2" fillId="24" borderId="15" xfId="0" applyFont="1" applyFill="1" applyBorder="1" applyAlignment="1">
      <alignment vertical="center" wrapText="1"/>
    </xf>
    <xf numFmtId="0" fontId="4" fillId="25" borderId="16" xfId="0" applyFont="1" applyFill="1" applyBorder="1" applyAlignment="1"/>
    <xf numFmtId="0" fontId="4" fillId="25" borderId="17" xfId="0" applyFont="1" applyFill="1" applyBorder="1" applyAlignment="1"/>
    <xf numFmtId="0" fontId="2" fillId="14" borderId="18" xfId="0" applyFont="1" applyFill="1" applyBorder="1" applyAlignment="1">
      <alignment horizontal="center" vertical="center" wrapText="1"/>
    </xf>
    <xf numFmtId="0" fontId="2" fillId="25" borderId="20" xfId="0" applyFont="1" applyFill="1" applyBorder="1" applyAlignment="1">
      <alignment horizontal="center" vertical="center" wrapText="1"/>
    </xf>
    <xf numFmtId="0" fontId="4" fillId="25" borderId="21" xfId="0" applyFont="1" applyFill="1" applyBorder="1" applyAlignment="1"/>
    <xf numFmtId="0" fontId="3" fillId="25" borderId="21" xfId="0" applyFont="1" applyFill="1" applyBorder="1" applyAlignment="1">
      <alignment horizontal="center" vertical="center" wrapText="1"/>
    </xf>
    <xf numFmtId="0" fontId="3" fillId="25" borderId="22" xfId="0" applyFont="1" applyFill="1" applyBorder="1" applyAlignment="1">
      <alignment horizontal="center" vertical="center" wrapText="1"/>
    </xf>
    <xf numFmtId="0" fontId="2" fillId="26" borderId="15" xfId="0" applyFont="1" applyFill="1" applyBorder="1" applyAlignment="1">
      <alignment vertical="center" wrapText="1"/>
    </xf>
    <xf numFmtId="0" fontId="4" fillId="27" borderId="16" xfId="0" applyFont="1" applyFill="1" applyBorder="1" applyAlignment="1"/>
    <xf numFmtId="0" fontId="4" fillId="27" borderId="17" xfId="0" applyFont="1" applyFill="1" applyBorder="1" applyAlignment="1"/>
    <xf numFmtId="0" fontId="2" fillId="15" borderId="18" xfId="0" applyFont="1" applyFill="1" applyBorder="1" applyAlignment="1">
      <alignment horizontal="center" vertical="center" wrapText="1"/>
    </xf>
    <xf numFmtId="0" fontId="0" fillId="27" borderId="20" xfId="0" applyFill="1" applyBorder="1"/>
    <xf numFmtId="0" fontId="0" fillId="27" borderId="21" xfId="0" applyFill="1" applyBorder="1"/>
    <xf numFmtId="0" fontId="0" fillId="27" borderId="22" xfId="0" applyFill="1" applyBorder="1"/>
    <xf numFmtId="0" fontId="0" fillId="0" borderId="23" xfId="0" applyBorder="1"/>
    <xf numFmtId="0" fontId="0" fillId="0" borderId="24" xfId="0" applyBorder="1"/>
    <xf numFmtId="0" fontId="2" fillId="11" borderId="13" xfId="0" applyFont="1" applyFill="1" applyBorder="1" applyAlignment="1">
      <alignment vertical="center" wrapText="1"/>
    </xf>
    <xf numFmtId="0" fontId="0" fillId="11" borderId="13" xfId="0" applyFill="1" applyBorder="1"/>
    <xf numFmtId="0" fontId="3" fillId="11" borderId="19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/>
    <xf numFmtId="0" fontId="0" fillId="8" borderId="0" xfId="0" applyFill="1"/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6" xfId="0" applyFont="1" applyBorder="1"/>
    <xf numFmtId="0" fontId="9" fillId="0" borderId="3" xfId="0" applyFont="1" applyBorder="1"/>
    <xf numFmtId="0" fontId="7" fillId="0" borderId="6" xfId="0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Hoja1!$D$2:$D$47</c:f>
              <c:numCache>
                <c:formatCode>General</c:formatCode>
                <c:ptCount val="46"/>
                <c:pt idx="0">
                  <c:v>116</c:v>
                </c:pt>
                <c:pt idx="1">
                  <c:v>118</c:v>
                </c:pt>
                <c:pt idx="2">
                  <c:v>115</c:v>
                </c:pt>
                <c:pt idx="3">
                  <c:v>145</c:v>
                </c:pt>
                <c:pt idx="4">
                  <c:v>205</c:v>
                </c:pt>
                <c:pt idx="5">
                  <c:v>147</c:v>
                </c:pt>
                <c:pt idx="6">
                  <c:v>173</c:v>
                </c:pt>
                <c:pt idx="7">
                  <c:v>221</c:v>
                </c:pt>
                <c:pt idx="8">
                  <c:v>307</c:v>
                </c:pt>
                <c:pt idx="9">
                  <c:v>315</c:v>
                </c:pt>
                <c:pt idx="11">
                  <c:v>134</c:v>
                </c:pt>
                <c:pt idx="12">
                  <c:v>138</c:v>
                </c:pt>
                <c:pt idx="13">
                  <c:v>180</c:v>
                </c:pt>
                <c:pt idx="14">
                  <c:v>184</c:v>
                </c:pt>
                <c:pt idx="15">
                  <c:v>295</c:v>
                </c:pt>
                <c:pt idx="16">
                  <c:v>332</c:v>
                </c:pt>
                <c:pt idx="17">
                  <c:v>232</c:v>
                </c:pt>
                <c:pt idx="19">
                  <c:v>100</c:v>
                </c:pt>
                <c:pt idx="20">
                  <c:v>124</c:v>
                </c:pt>
                <c:pt idx="21">
                  <c:v>86</c:v>
                </c:pt>
                <c:pt idx="22">
                  <c:v>192</c:v>
                </c:pt>
                <c:pt idx="23">
                  <c:v>250</c:v>
                </c:pt>
                <c:pt idx="25">
                  <c:v>82</c:v>
                </c:pt>
                <c:pt idx="26">
                  <c:v>86</c:v>
                </c:pt>
                <c:pt idx="27">
                  <c:v>105</c:v>
                </c:pt>
                <c:pt idx="28">
                  <c:v>87</c:v>
                </c:pt>
                <c:pt idx="29">
                  <c:v>115</c:v>
                </c:pt>
                <c:pt idx="30">
                  <c:v>225</c:v>
                </c:pt>
                <c:pt idx="31">
                  <c:v>180</c:v>
                </c:pt>
                <c:pt idx="33">
                  <c:v>19</c:v>
                </c:pt>
                <c:pt idx="34">
                  <c:v>23</c:v>
                </c:pt>
                <c:pt idx="35">
                  <c:v>26</c:v>
                </c:pt>
                <c:pt idx="36">
                  <c:v>22</c:v>
                </c:pt>
                <c:pt idx="37">
                  <c:v>19</c:v>
                </c:pt>
                <c:pt idx="39">
                  <c:v>23</c:v>
                </c:pt>
                <c:pt idx="40">
                  <c:v>30</c:v>
                </c:pt>
                <c:pt idx="41">
                  <c:v>24</c:v>
                </c:pt>
                <c:pt idx="42">
                  <c:v>27</c:v>
                </c:pt>
                <c:pt idx="43">
                  <c:v>24</c:v>
                </c:pt>
                <c:pt idx="44">
                  <c:v>30</c:v>
                </c:pt>
                <c:pt idx="45">
                  <c:v>29</c:v>
                </c:pt>
              </c:numCache>
            </c:numRef>
          </c:xVal>
          <c:yVal>
            <c:numRef>
              <c:f>Hoja1!$K$2:$K$47</c:f>
              <c:numCache>
                <c:formatCode>0</c:formatCode>
                <c:ptCount val="46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  <c:pt idx="11" formatCode="General">
                  <c:v>88.4</c:v>
                </c:pt>
                <c:pt idx="12" formatCode="General">
                  <c:v>94.6</c:v>
                </c:pt>
                <c:pt idx="13">
                  <c:v>271.44</c:v>
                </c:pt>
                <c:pt idx="14">
                  <c:v>550.22199999999998</c:v>
                </c:pt>
                <c:pt idx="15">
                  <c:v>746.8</c:v>
                </c:pt>
                <c:pt idx="16">
                  <c:v>768.33333333333337</c:v>
                </c:pt>
                <c:pt idx="17">
                  <c:v>609</c:v>
                </c:pt>
                <c:pt idx="19">
                  <c:v>19.741666666666667</c:v>
                </c:pt>
                <c:pt idx="20" formatCode="General">
                  <c:v>42</c:v>
                </c:pt>
                <c:pt idx="21" formatCode="General">
                  <c:v>42</c:v>
                </c:pt>
                <c:pt idx="22">
                  <c:v>204.5</c:v>
                </c:pt>
                <c:pt idx="23">
                  <c:v>277.7</c:v>
                </c:pt>
                <c:pt idx="25">
                  <c:v>12</c:v>
                </c:pt>
                <c:pt idx="26">
                  <c:v>14</c:v>
                </c:pt>
                <c:pt idx="27">
                  <c:v>17.43333333333333</c:v>
                </c:pt>
                <c:pt idx="28">
                  <c:v>117</c:v>
                </c:pt>
                <c:pt idx="29">
                  <c:v>188</c:v>
                </c:pt>
                <c:pt idx="30">
                  <c:v>218</c:v>
                </c:pt>
                <c:pt idx="31">
                  <c:v>239</c:v>
                </c:pt>
                <c:pt idx="33" formatCode="General">
                  <c:v>2</c:v>
                </c:pt>
                <c:pt idx="34" formatCode="General">
                  <c:v>7.133</c:v>
                </c:pt>
                <c:pt idx="35" formatCode="General">
                  <c:v>10.72</c:v>
                </c:pt>
                <c:pt idx="36" formatCode="General">
                  <c:v>19</c:v>
                </c:pt>
                <c:pt idx="37" formatCode="General">
                  <c:v>20</c:v>
                </c:pt>
                <c:pt idx="39" formatCode="General">
                  <c:v>6</c:v>
                </c:pt>
                <c:pt idx="40" formatCode="General">
                  <c:v>16</c:v>
                </c:pt>
                <c:pt idx="41">
                  <c:v>49.666666666666664</c:v>
                </c:pt>
                <c:pt idx="42">
                  <c:v>122</c:v>
                </c:pt>
                <c:pt idx="43">
                  <c:v>130</c:v>
                </c:pt>
                <c:pt idx="44">
                  <c:v>142</c:v>
                </c:pt>
                <c:pt idx="45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B-46F6-BACD-DFFE3EB7B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20872"/>
        <c:axId val="372710376"/>
      </c:scatterChart>
      <c:valAx>
        <c:axId val="37272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2710376"/>
        <c:crosses val="autoZero"/>
        <c:crossBetween val="midCat"/>
      </c:valAx>
      <c:valAx>
        <c:axId val="37271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2720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Hoja1!$G$2:$G$11</c:f>
              <c:numCache>
                <c:formatCode>General</c:formatCode>
                <c:ptCount val="10"/>
                <c:pt idx="0">
                  <c:v>0.33</c:v>
                </c:pt>
                <c:pt idx="1">
                  <c:v>0.55000000000000004</c:v>
                </c:pt>
                <c:pt idx="2">
                  <c:v>0.47</c:v>
                </c:pt>
                <c:pt idx="3">
                  <c:v>0.51500000000000001</c:v>
                </c:pt>
                <c:pt idx="4">
                  <c:v>0.95499999999999996</c:v>
                </c:pt>
                <c:pt idx="5">
                  <c:v>0.95</c:v>
                </c:pt>
                <c:pt idx="6">
                  <c:v>2.0499999999999998</c:v>
                </c:pt>
                <c:pt idx="7">
                  <c:v>2.0499999999999998</c:v>
                </c:pt>
                <c:pt idx="8">
                  <c:v>3.6</c:v>
                </c:pt>
                <c:pt idx="9">
                  <c:v>3.83</c:v>
                </c:pt>
              </c:numCache>
            </c:numRef>
          </c:xVal>
          <c:yVal>
            <c:numRef>
              <c:f>Hoja1!$H$2:$H$11</c:f>
              <c:numCache>
                <c:formatCode>General</c:formatCode>
                <c:ptCount val="10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7-4791-95CC-0452D1F3D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136552"/>
        <c:axId val="624141144"/>
      </c:scatterChart>
      <c:valAx>
        <c:axId val="62413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24141144"/>
        <c:crosses val="autoZero"/>
        <c:crossBetween val="midCat"/>
      </c:valAx>
      <c:valAx>
        <c:axId val="62414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24136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Hoja1!$E$2:$E$11</c:f>
              <c:numCache>
                <c:formatCode>General</c:formatCode>
                <c:ptCount val="10"/>
                <c:pt idx="0">
                  <c:v>153</c:v>
                </c:pt>
                <c:pt idx="1">
                  <c:v>156</c:v>
                </c:pt>
                <c:pt idx="2">
                  <c:v>160</c:v>
                </c:pt>
                <c:pt idx="3">
                  <c:v>199</c:v>
                </c:pt>
                <c:pt idx="4">
                  <c:v>283</c:v>
                </c:pt>
                <c:pt idx="5">
                  <c:v>203</c:v>
                </c:pt>
                <c:pt idx="6">
                  <c:v>250</c:v>
                </c:pt>
                <c:pt idx="7">
                  <c:v>341</c:v>
                </c:pt>
                <c:pt idx="8">
                  <c:v>501</c:v>
                </c:pt>
                <c:pt idx="9">
                  <c:v>537</c:v>
                </c:pt>
              </c:numCache>
            </c:numRef>
          </c:xVal>
          <c:yVal>
            <c:numRef>
              <c:f>Hoja1!$F$2:$F$11</c:f>
              <c:numCache>
                <c:formatCode>General</c:formatCode>
                <c:ptCount val="10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36-4A32-8A79-2A27BBE8B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74352"/>
        <c:axId val="431083208"/>
      </c:scatterChart>
      <c:valAx>
        <c:axId val="43107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1083208"/>
        <c:crosses val="autoZero"/>
        <c:crossBetween val="midCat"/>
      </c:valAx>
      <c:valAx>
        <c:axId val="43108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107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Hoja1!$E$2:$E$47</c:f>
              <c:numCache>
                <c:formatCode>General</c:formatCode>
                <c:ptCount val="46"/>
                <c:pt idx="0">
                  <c:v>153</c:v>
                </c:pt>
                <c:pt idx="1">
                  <c:v>156</c:v>
                </c:pt>
                <c:pt idx="2">
                  <c:v>160</c:v>
                </c:pt>
                <c:pt idx="3">
                  <c:v>199</c:v>
                </c:pt>
                <c:pt idx="4">
                  <c:v>283</c:v>
                </c:pt>
                <c:pt idx="5">
                  <c:v>203</c:v>
                </c:pt>
                <c:pt idx="6">
                  <c:v>250</c:v>
                </c:pt>
                <c:pt idx="7">
                  <c:v>341</c:v>
                </c:pt>
                <c:pt idx="8">
                  <c:v>501</c:v>
                </c:pt>
                <c:pt idx="9">
                  <c:v>537</c:v>
                </c:pt>
                <c:pt idx="11">
                  <c:v>180</c:v>
                </c:pt>
                <c:pt idx="12">
                  <c:v>183</c:v>
                </c:pt>
                <c:pt idx="13">
                  <c:v>238</c:v>
                </c:pt>
                <c:pt idx="14">
                  <c:v>280</c:v>
                </c:pt>
                <c:pt idx="15">
                  <c:v>414</c:v>
                </c:pt>
                <c:pt idx="16">
                  <c:v>525</c:v>
                </c:pt>
                <c:pt idx="17">
                  <c:v>344</c:v>
                </c:pt>
                <c:pt idx="19">
                  <c:v>139</c:v>
                </c:pt>
                <c:pt idx="20">
                  <c:v>165</c:v>
                </c:pt>
                <c:pt idx="21">
                  <c:v>137</c:v>
                </c:pt>
                <c:pt idx="22">
                  <c:v>327</c:v>
                </c:pt>
                <c:pt idx="23">
                  <c:v>424</c:v>
                </c:pt>
                <c:pt idx="25">
                  <c:v>123</c:v>
                </c:pt>
                <c:pt idx="26">
                  <c:v>124</c:v>
                </c:pt>
                <c:pt idx="27">
                  <c:v>147</c:v>
                </c:pt>
                <c:pt idx="28">
                  <c:v>200</c:v>
                </c:pt>
                <c:pt idx="29">
                  <c:v>172</c:v>
                </c:pt>
                <c:pt idx="30">
                  <c:v>380</c:v>
                </c:pt>
                <c:pt idx="31">
                  <c:v>283</c:v>
                </c:pt>
                <c:pt idx="33">
                  <c:v>66</c:v>
                </c:pt>
                <c:pt idx="34">
                  <c:v>67</c:v>
                </c:pt>
                <c:pt idx="35">
                  <c:v>60</c:v>
                </c:pt>
                <c:pt idx="36">
                  <c:v>66</c:v>
                </c:pt>
                <c:pt idx="37">
                  <c:v>66</c:v>
                </c:pt>
                <c:pt idx="39">
                  <c:v>65</c:v>
                </c:pt>
                <c:pt idx="40">
                  <c:v>66</c:v>
                </c:pt>
                <c:pt idx="41">
                  <c:v>67</c:v>
                </c:pt>
                <c:pt idx="42">
                  <c:v>78</c:v>
                </c:pt>
                <c:pt idx="43">
                  <c:v>74</c:v>
                </c:pt>
                <c:pt idx="44">
                  <c:v>81</c:v>
                </c:pt>
                <c:pt idx="45">
                  <c:v>81</c:v>
                </c:pt>
              </c:numCache>
            </c:numRef>
          </c:xVal>
          <c:yVal>
            <c:numRef>
              <c:f>Hoja1!$F$2:$F$47</c:f>
              <c:numCache>
                <c:formatCode>General</c:formatCode>
                <c:ptCount val="46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  <c:pt idx="11">
                  <c:v>88.4</c:v>
                </c:pt>
                <c:pt idx="12">
                  <c:v>94.6</c:v>
                </c:pt>
                <c:pt idx="13">
                  <c:v>271.44400000000002</c:v>
                </c:pt>
                <c:pt idx="14">
                  <c:v>550.22199999999998</c:v>
                </c:pt>
                <c:pt idx="15">
                  <c:v>609</c:v>
                </c:pt>
                <c:pt idx="16">
                  <c:v>739.11099999999999</c:v>
                </c:pt>
                <c:pt idx="17">
                  <c:v>746.88900000000001</c:v>
                </c:pt>
                <c:pt idx="19">
                  <c:v>19.36</c:v>
                </c:pt>
                <c:pt idx="20">
                  <c:v>33.31</c:v>
                </c:pt>
                <c:pt idx="21">
                  <c:v>41.74</c:v>
                </c:pt>
                <c:pt idx="22">
                  <c:v>204.5</c:v>
                </c:pt>
                <c:pt idx="23">
                  <c:v>277.7</c:v>
                </c:pt>
                <c:pt idx="25">
                  <c:v>10.283300000000001</c:v>
                </c:pt>
                <c:pt idx="26">
                  <c:v>11.8833</c:v>
                </c:pt>
                <c:pt idx="27">
                  <c:v>17.433299999999999</c:v>
                </c:pt>
                <c:pt idx="28">
                  <c:v>117.467</c:v>
                </c:pt>
                <c:pt idx="29">
                  <c:v>187.833</c:v>
                </c:pt>
                <c:pt idx="30">
                  <c:v>218.333</c:v>
                </c:pt>
                <c:pt idx="31">
                  <c:v>238.5</c:v>
                </c:pt>
                <c:pt idx="33">
                  <c:v>2</c:v>
                </c:pt>
                <c:pt idx="34">
                  <c:v>7.133</c:v>
                </c:pt>
                <c:pt idx="35">
                  <c:v>10.72</c:v>
                </c:pt>
                <c:pt idx="36">
                  <c:v>20.466999999999999</c:v>
                </c:pt>
                <c:pt idx="37">
                  <c:v>20.367000000000001</c:v>
                </c:pt>
                <c:pt idx="39">
                  <c:v>5.15</c:v>
                </c:pt>
                <c:pt idx="40">
                  <c:v>16.2</c:v>
                </c:pt>
                <c:pt idx="41">
                  <c:v>50.082999999999998</c:v>
                </c:pt>
                <c:pt idx="42">
                  <c:v>93.992999999999995</c:v>
                </c:pt>
                <c:pt idx="43">
                  <c:v>95.516999999999996</c:v>
                </c:pt>
                <c:pt idx="44">
                  <c:v>100.92</c:v>
                </c:pt>
                <c:pt idx="45">
                  <c:v>115.37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1-4DC6-A8AC-C8E1352B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187376"/>
        <c:axId val="434190000"/>
      </c:scatterChart>
      <c:valAx>
        <c:axId val="43418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4190000"/>
        <c:crosses val="autoZero"/>
        <c:crossBetween val="midCat"/>
      </c:valAx>
      <c:valAx>
        <c:axId val="4341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3418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Hoja1!$C$2:$C$11</c:f>
              <c:numCache>
                <c:formatCode>General</c:formatCode>
                <c:ptCount val="10"/>
                <c:pt idx="0">
                  <c:v>152</c:v>
                </c:pt>
                <c:pt idx="1">
                  <c:v>154</c:v>
                </c:pt>
                <c:pt idx="2">
                  <c:v>157</c:v>
                </c:pt>
                <c:pt idx="3">
                  <c:v>220</c:v>
                </c:pt>
                <c:pt idx="4">
                  <c:v>280</c:v>
                </c:pt>
                <c:pt idx="5">
                  <c:v>210</c:v>
                </c:pt>
                <c:pt idx="6">
                  <c:v>370</c:v>
                </c:pt>
                <c:pt idx="7">
                  <c:v>424</c:v>
                </c:pt>
                <c:pt idx="8">
                  <c:v>570</c:v>
                </c:pt>
                <c:pt idx="9">
                  <c:v>615</c:v>
                </c:pt>
              </c:numCache>
            </c:numRef>
          </c:xVal>
          <c:yVal>
            <c:numRef>
              <c:f>Hoja1!$F$2:$F$11</c:f>
              <c:numCache>
                <c:formatCode>General</c:formatCode>
                <c:ptCount val="10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207.78</c:v>
                </c:pt>
                <c:pt idx="6">
                  <c:v>444.11</c:v>
                </c:pt>
                <c:pt idx="7">
                  <c:v>579.55999999999995</c:v>
                </c:pt>
                <c:pt idx="8">
                  <c:v>746.22</c:v>
                </c:pt>
                <c:pt idx="9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2-45A3-BAB2-86AA7819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416736"/>
        <c:axId val="640420672"/>
      </c:scatterChart>
      <c:valAx>
        <c:axId val="64041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0420672"/>
        <c:crosses val="autoZero"/>
        <c:crossBetween val="midCat"/>
      </c:valAx>
      <c:valAx>
        <c:axId val="6404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041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Hoja1!$E$2:$E$6</c:f>
              <c:numCache>
                <c:formatCode>General</c:formatCode>
                <c:ptCount val="5"/>
                <c:pt idx="0">
                  <c:v>153</c:v>
                </c:pt>
                <c:pt idx="1">
                  <c:v>156</c:v>
                </c:pt>
                <c:pt idx="2">
                  <c:v>160</c:v>
                </c:pt>
                <c:pt idx="3">
                  <c:v>199</c:v>
                </c:pt>
                <c:pt idx="4">
                  <c:v>283</c:v>
                </c:pt>
              </c:numCache>
            </c:numRef>
          </c:xVal>
          <c:yVal>
            <c:numRef>
              <c:f>Hoja1!$F$2:$F$6</c:f>
              <c:numCache>
                <c:formatCode>General</c:formatCode>
                <c:ptCount val="5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4-4217-B6DC-B59ED2F85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18824"/>
        <c:axId val="502920464"/>
      </c:scatterChart>
      <c:valAx>
        <c:axId val="50291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2920464"/>
        <c:crosses val="autoZero"/>
        <c:crossBetween val="midCat"/>
      </c:valAx>
      <c:valAx>
        <c:axId val="5029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2918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Hoja2!$B$1:$B$8</c:f>
              <c:numCache>
                <c:formatCode>General</c:formatCode>
                <c:ptCount val="8"/>
                <c:pt idx="0">
                  <c:v>51</c:v>
                </c:pt>
                <c:pt idx="1">
                  <c:v>46</c:v>
                </c:pt>
                <c:pt idx="2">
                  <c:v>118</c:v>
                </c:pt>
                <c:pt idx="3">
                  <c:v>99</c:v>
                </c:pt>
                <c:pt idx="4">
                  <c:v>91</c:v>
                </c:pt>
                <c:pt idx="5">
                  <c:v>145</c:v>
                </c:pt>
                <c:pt idx="6">
                  <c:v>108</c:v>
                </c:pt>
                <c:pt idx="7">
                  <c:v>152</c:v>
                </c:pt>
              </c:numCache>
            </c:numRef>
          </c:xVal>
          <c:yVal>
            <c:numRef>
              <c:f>Hoja2!$C$1:$C$8</c:f>
              <c:numCache>
                <c:formatCode>General</c:formatCode>
                <c:ptCount val="8"/>
                <c:pt idx="0">
                  <c:v>55</c:v>
                </c:pt>
                <c:pt idx="1">
                  <c:v>17</c:v>
                </c:pt>
                <c:pt idx="2">
                  <c:v>71</c:v>
                </c:pt>
                <c:pt idx="3">
                  <c:v>33</c:v>
                </c:pt>
                <c:pt idx="4">
                  <c:v>79</c:v>
                </c:pt>
                <c:pt idx="5">
                  <c:v>235</c:v>
                </c:pt>
                <c:pt idx="6">
                  <c:v>122</c:v>
                </c:pt>
                <c:pt idx="7">
                  <c:v>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2-45F5-8012-194AA028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848456"/>
        <c:axId val="636853376"/>
      </c:scatterChart>
      <c:valAx>
        <c:axId val="63684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6853376"/>
        <c:crosses val="autoZero"/>
        <c:crossBetween val="midCat"/>
      </c:valAx>
      <c:valAx>
        <c:axId val="6368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36848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coviandina!$D$2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268110236220475"/>
                  <c:y val="-7.71810294546514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coviandina!$C$3:$C$60</c:f>
              <c:numCache>
                <c:formatCode>General</c:formatCode>
                <c:ptCount val="58"/>
                <c:pt idx="0">
                  <c:v>800</c:v>
                </c:pt>
                <c:pt idx="1">
                  <c:v>850</c:v>
                </c:pt>
                <c:pt idx="2">
                  <c:v>908</c:v>
                </c:pt>
                <c:pt idx="3">
                  <c:v>1081</c:v>
                </c:pt>
                <c:pt idx="4">
                  <c:v>1534</c:v>
                </c:pt>
                <c:pt idx="5">
                  <c:v>3000</c:v>
                </c:pt>
                <c:pt idx="6">
                  <c:v>450</c:v>
                </c:pt>
                <c:pt idx="7">
                  <c:v>1071</c:v>
                </c:pt>
                <c:pt idx="8">
                  <c:v>1430</c:v>
                </c:pt>
                <c:pt idx="9">
                  <c:v>1646</c:v>
                </c:pt>
                <c:pt idx="10">
                  <c:v>2531</c:v>
                </c:pt>
                <c:pt idx="11">
                  <c:v>2815</c:v>
                </c:pt>
                <c:pt idx="13">
                  <c:v>450</c:v>
                </c:pt>
                <c:pt idx="14">
                  <c:v>1050</c:v>
                </c:pt>
                <c:pt idx="15">
                  <c:v>1058</c:v>
                </c:pt>
                <c:pt idx="16">
                  <c:v>3000</c:v>
                </c:pt>
                <c:pt idx="17">
                  <c:v>450</c:v>
                </c:pt>
                <c:pt idx="18">
                  <c:v>1301</c:v>
                </c:pt>
                <c:pt idx="19">
                  <c:v>1767</c:v>
                </c:pt>
                <c:pt idx="20">
                  <c:v>2216</c:v>
                </c:pt>
                <c:pt idx="21">
                  <c:v>3016</c:v>
                </c:pt>
                <c:pt idx="22">
                  <c:v>1874</c:v>
                </c:pt>
                <c:pt idx="23">
                  <c:v>4000</c:v>
                </c:pt>
                <c:pt idx="24">
                  <c:v>450</c:v>
                </c:pt>
                <c:pt idx="25">
                  <c:v>707</c:v>
                </c:pt>
                <c:pt idx="26">
                  <c:v>778</c:v>
                </c:pt>
                <c:pt idx="27">
                  <c:v>762</c:v>
                </c:pt>
                <c:pt idx="28">
                  <c:v>1507</c:v>
                </c:pt>
                <c:pt idx="29">
                  <c:v>1915</c:v>
                </c:pt>
                <c:pt idx="30">
                  <c:v>3000</c:v>
                </c:pt>
                <c:pt idx="31">
                  <c:v>450</c:v>
                </c:pt>
                <c:pt idx="32">
                  <c:v>642</c:v>
                </c:pt>
                <c:pt idx="33">
                  <c:v>650</c:v>
                </c:pt>
                <c:pt idx="34">
                  <c:v>709</c:v>
                </c:pt>
                <c:pt idx="35">
                  <c:v>3000</c:v>
                </c:pt>
                <c:pt idx="36">
                  <c:v>450</c:v>
                </c:pt>
                <c:pt idx="37">
                  <c:v>916</c:v>
                </c:pt>
                <c:pt idx="38">
                  <c:v>1048</c:v>
                </c:pt>
                <c:pt idx="39">
                  <c:v>1806</c:v>
                </c:pt>
                <c:pt idx="40">
                  <c:v>1357</c:v>
                </c:pt>
                <c:pt idx="41">
                  <c:v>3000</c:v>
                </c:pt>
                <c:pt idx="42">
                  <c:v>450</c:v>
                </c:pt>
                <c:pt idx="43">
                  <c:v>490</c:v>
                </c:pt>
                <c:pt idx="44">
                  <c:v>533</c:v>
                </c:pt>
                <c:pt idx="45">
                  <c:v>530</c:v>
                </c:pt>
                <c:pt idx="46">
                  <c:v>624</c:v>
                </c:pt>
                <c:pt idx="47">
                  <c:v>628</c:v>
                </c:pt>
                <c:pt idx="48">
                  <c:v>3000</c:v>
                </c:pt>
                <c:pt idx="49">
                  <c:v>450</c:v>
                </c:pt>
                <c:pt idx="50">
                  <c:v>503</c:v>
                </c:pt>
                <c:pt idx="51">
                  <c:v>527</c:v>
                </c:pt>
                <c:pt idx="52">
                  <c:v>545</c:v>
                </c:pt>
                <c:pt idx="53">
                  <c:v>659</c:v>
                </c:pt>
                <c:pt idx="54">
                  <c:v>615</c:v>
                </c:pt>
                <c:pt idx="55">
                  <c:v>665</c:v>
                </c:pt>
                <c:pt idx="56">
                  <c:v>714</c:v>
                </c:pt>
                <c:pt idx="57">
                  <c:v>3000</c:v>
                </c:pt>
              </c:numCache>
            </c:numRef>
          </c:xVal>
          <c:yVal>
            <c:numRef>
              <c:f>coviandina!$D$3:$D$60</c:f>
              <c:numCache>
                <c:formatCode>General</c:formatCode>
                <c:ptCount val="58"/>
                <c:pt idx="0">
                  <c:v>28.1</c:v>
                </c:pt>
                <c:pt idx="1">
                  <c:v>63.911000000000001</c:v>
                </c:pt>
                <c:pt idx="2">
                  <c:v>69.921999999999997</c:v>
                </c:pt>
                <c:pt idx="3">
                  <c:v>96.744</c:v>
                </c:pt>
                <c:pt idx="4">
                  <c:v>128.11000000000001</c:v>
                </c:pt>
                <c:pt idx="5">
                  <c:v>800</c:v>
                </c:pt>
                <c:pt idx="6">
                  <c:v>0</c:v>
                </c:pt>
                <c:pt idx="7">
                  <c:v>207.78</c:v>
                </c:pt>
                <c:pt idx="8">
                  <c:v>444.11</c:v>
                </c:pt>
                <c:pt idx="9">
                  <c:v>579.55999999999995</c:v>
                </c:pt>
                <c:pt idx="10">
                  <c:v>746.22</c:v>
                </c:pt>
                <c:pt idx="11">
                  <c:v>869.5</c:v>
                </c:pt>
                <c:pt idx="13">
                  <c:v>0</c:v>
                </c:pt>
                <c:pt idx="14">
                  <c:v>88.4</c:v>
                </c:pt>
                <c:pt idx="15">
                  <c:v>94.6</c:v>
                </c:pt>
                <c:pt idx="16">
                  <c:v>800</c:v>
                </c:pt>
                <c:pt idx="17">
                  <c:v>0</c:v>
                </c:pt>
                <c:pt idx="18">
                  <c:v>271.44400000000002</c:v>
                </c:pt>
                <c:pt idx="19">
                  <c:v>550.22199999999998</c:v>
                </c:pt>
                <c:pt idx="20">
                  <c:v>609</c:v>
                </c:pt>
                <c:pt idx="21">
                  <c:v>739.11099999999999</c:v>
                </c:pt>
                <c:pt idx="22">
                  <c:v>746.88900000000001</c:v>
                </c:pt>
                <c:pt idx="23">
                  <c:v>800</c:v>
                </c:pt>
                <c:pt idx="24">
                  <c:v>0</c:v>
                </c:pt>
                <c:pt idx="25">
                  <c:v>19.36</c:v>
                </c:pt>
                <c:pt idx="26">
                  <c:v>33.31</c:v>
                </c:pt>
                <c:pt idx="27">
                  <c:v>41.74</c:v>
                </c:pt>
                <c:pt idx="28">
                  <c:v>204.5</c:v>
                </c:pt>
                <c:pt idx="29">
                  <c:v>277.7</c:v>
                </c:pt>
                <c:pt idx="30">
                  <c:v>800</c:v>
                </c:pt>
                <c:pt idx="31">
                  <c:v>0</c:v>
                </c:pt>
                <c:pt idx="32">
                  <c:v>10.283300000000001</c:v>
                </c:pt>
                <c:pt idx="33">
                  <c:v>11.8833</c:v>
                </c:pt>
                <c:pt idx="34">
                  <c:v>17.433299999999999</c:v>
                </c:pt>
                <c:pt idx="35">
                  <c:v>800</c:v>
                </c:pt>
                <c:pt idx="36">
                  <c:v>0</c:v>
                </c:pt>
                <c:pt idx="37">
                  <c:v>117.467</c:v>
                </c:pt>
                <c:pt idx="38">
                  <c:v>187.833</c:v>
                </c:pt>
                <c:pt idx="39">
                  <c:v>218.333</c:v>
                </c:pt>
                <c:pt idx="40">
                  <c:v>238.5</c:v>
                </c:pt>
                <c:pt idx="41">
                  <c:v>800</c:v>
                </c:pt>
                <c:pt idx="42">
                  <c:v>0</c:v>
                </c:pt>
                <c:pt idx="43">
                  <c:v>2</c:v>
                </c:pt>
                <c:pt idx="44">
                  <c:v>7.133</c:v>
                </c:pt>
                <c:pt idx="45">
                  <c:v>10.72</c:v>
                </c:pt>
                <c:pt idx="46">
                  <c:v>20.466999999999999</c:v>
                </c:pt>
                <c:pt idx="47">
                  <c:v>20.367000000000001</c:v>
                </c:pt>
                <c:pt idx="48">
                  <c:v>800</c:v>
                </c:pt>
                <c:pt idx="49">
                  <c:v>0</c:v>
                </c:pt>
                <c:pt idx="50">
                  <c:v>5.15</c:v>
                </c:pt>
                <c:pt idx="51">
                  <c:v>16.2</c:v>
                </c:pt>
                <c:pt idx="52">
                  <c:v>50.082999999999998</c:v>
                </c:pt>
                <c:pt idx="53">
                  <c:v>93.992999999999995</c:v>
                </c:pt>
                <c:pt idx="54">
                  <c:v>95.516999999999996</c:v>
                </c:pt>
                <c:pt idx="55">
                  <c:v>100.92</c:v>
                </c:pt>
                <c:pt idx="56">
                  <c:v>115.37</c:v>
                </c:pt>
                <c:pt idx="57">
                  <c:v>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9-4FF8-9224-1DB245463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47024"/>
        <c:axId val="487145384"/>
      </c:scatterChart>
      <c:valAx>
        <c:axId val="48714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7145384"/>
        <c:crosses val="autoZero"/>
        <c:crossBetween val="midCat"/>
      </c:valAx>
      <c:valAx>
        <c:axId val="48714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714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388888888888889"/>
                  <c:y val="-2.7916666666666666E-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coviandina!$C$20:$C$26</c:f>
              <c:numCache>
                <c:formatCode>General</c:formatCode>
                <c:ptCount val="7"/>
                <c:pt idx="0">
                  <c:v>450</c:v>
                </c:pt>
                <c:pt idx="1">
                  <c:v>1301</c:v>
                </c:pt>
                <c:pt idx="2">
                  <c:v>1767</c:v>
                </c:pt>
                <c:pt idx="3">
                  <c:v>2216</c:v>
                </c:pt>
                <c:pt idx="4">
                  <c:v>3016</c:v>
                </c:pt>
                <c:pt idx="5">
                  <c:v>1874</c:v>
                </c:pt>
                <c:pt idx="6">
                  <c:v>4000</c:v>
                </c:pt>
              </c:numCache>
            </c:numRef>
          </c:xVal>
          <c:yVal>
            <c:numRef>
              <c:f>coviandina!$D$20:$D$26</c:f>
              <c:numCache>
                <c:formatCode>General</c:formatCode>
                <c:ptCount val="7"/>
                <c:pt idx="0">
                  <c:v>0</c:v>
                </c:pt>
                <c:pt idx="1">
                  <c:v>271.44400000000002</c:v>
                </c:pt>
                <c:pt idx="2">
                  <c:v>550.22199999999998</c:v>
                </c:pt>
                <c:pt idx="3">
                  <c:v>609</c:v>
                </c:pt>
                <c:pt idx="4">
                  <c:v>739.11099999999999</c:v>
                </c:pt>
                <c:pt idx="5">
                  <c:v>746.88900000000001</c:v>
                </c:pt>
                <c:pt idx="6">
                  <c:v>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13-4C03-8357-97B19DC0D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50632"/>
        <c:axId val="320861712"/>
      </c:scatterChart>
      <c:valAx>
        <c:axId val="48715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0861712"/>
        <c:crosses val="autoZero"/>
        <c:crossBetween val="midCat"/>
      </c:valAx>
      <c:valAx>
        <c:axId val="3208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715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variacion de respuesta con la temperatura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01738845144357"/>
                  <c:y val="-1.57750805902839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coviandina!$M$2:$M$32</c:f>
              <c:numCache>
                <c:formatCode>General</c:formatCode>
                <c:ptCount val="31"/>
                <c:pt idx="0">
                  <c:v>224</c:v>
                </c:pt>
                <c:pt idx="1">
                  <c:v>226</c:v>
                </c:pt>
                <c:pt idx="2">
                  <c:v>288</c:v>
                </c:pt>
                <c:pt idx="3">
                  <c:v>300</c:v>
                </c:pt>
                <c:pt idx="4">
                  <c:v>317</c:v>
                </c:pt>
                <c:pt idx="5">
                  <c:v>340</c:v>
                </c:pt>
                <c:pt idx="6">
                  <c:v>363</c:v>
                </c:pt>
                <c:pt idx="7">
                  <c:v>362</c:v>
                </c:pt>
                <c:pt idx="8">
                  <c:v>370</c:v>
                </c:pt>
                <c:pt idx="9">
                  <c:v>399</c:v>
                </c:pt>
                <c:pt idx="10">
                  <c:v>175</c:v>
                </c:pt>
                <c:pt idx="11">
                  <c:v>192</c:v>
                </c:pt>
                <c:pt idx="12">
                  <c:v>259</c:v>
                </c:pt>
                <c:pt idx="13">
                  <c:v>100</c:v>
                </c:pt>
                <c:pt idx="14">
                  <c:v>260</c:v>
                </c:pt>
                <c:pt idx="15">
                  <c:v>260</c:v>
                </c:pt>
                <c:pt idx="16">
                  <c:v>327</c:v>
                </c:pt>
                <c:pt idx="17">
                  <c:v>383</c:v>
                </c:pt>
                <c:pt idx="18">
                  <c:v>474</c:v>
                </c:pt>
                <c:pt idx="19">
                  <c:v>495</c:v>
                </c:pt>
                <c:pt idx="20">
                  <c:v>490</c:v>
                </c:pt>
                <c:pt idx="21">
                  <c:v>460</c:v>
                </c:pt>
                <c:pt idx="22">
                  <c:v>423</c:v>
                </c:pt>
                <c:pt idx="23">
                  <c:v>390</c:v>
                </c:pt>
                <c:pt idx="24">
                  <c:v>362</c:v>
                </c:pt>
                <c:pt idx="25">
                  <c:v>338</c:v>
                </c:pt>
                <c:pt idx="26">
                  <c:v>320</c:v>
                </c:pt>
                <c:pt idx="27">
                  <c:v>303</c:v>
                </c:pt>
                <c:pt idx="28">
                  <c:v>290</c:v>
                </c:pt>
                <c:pt idx="29">
                  <c:v>274</c:v>
                </c:pt>
                <c:pt idx="30">
                  <c:v>252</c:v>
                </c:pt>
              </c:numCache>
            </c:numRef>
          </c:xVal>
          <c:yVal>
            <c:numRef>
              <c:f>coviandina!$N$2:$N$32</c:f>
              <c:numCache>
                <c:formatCode>General</c:formatCode>
                <c:ptCount val="31"/>
                <c:pt idx="0">
                  <c:v>3278</c:v>
                </c:pt>
                <c:pt idx="1">
                  <c:v>3271</c:v>
                </c:pt>
                <c:pt idx="2">
                  <c:v>3162</c:v>
                </c:pt>
                <c:pt idx="3">
                  <c:v>3138</c:v>
                </c:pt>
                <c:pt idx="4">
                  <c:v>3091</c:v>
                </c:pt>
                <c:pt idx="5">
                  <c:v>3052</c:v>
                </c:pt>
                <c:pt idx="6">
                  <c:v>3020</c:v>
                </c:pt>
                <c:pt idx="7">
                  <c:v>3010</c:v>
                </c:pt>
                <c:pt idx="8">
                  <c:v>2956</c:v>
                </c:pt>
                <c:pt idx="9">
                  <c:v>2898</c:v>
                </c:pt>
                <c:pt idx="10">
                  <c:v>3452</c:v>
                </c:pt>
                <c:pt idx="11">
                  <c:v>3420</c:v>
                </c:pt>
                <c:pt idx="12">
                  <c:v>3287</c:v>
                </c:pt>
                <c:pt idx="14">
                  <c:v>3285</c:v>
                </c:pt>
                <c:pt idx="15">
                  <c:v>3285</c:v>
                </c:pt>
                <c:pt idx="16">
                  <c:v>3130</c:v>
                </c:pt>
                <c:pt idx="17">
                  <c:v>2969</c:v>
                </c:pt>
                <c:pt idx="18">
                  <c:v>2772</c:v>
                </c:pt>
                <c:pt idx="19">
                  <c:v>2737</c:v>
                </c:pt>
                <c:pt idx="20">
                  <c:v>2747</c:v>
                </c:pt>
                <c:pt idx="21">
                  <c:v>2807</c:v>
                </c:pt>
                <c:pt idx="22">
                  <c:v>2892</c:v>
                </c:pt>
                <c:pt idx="23">
                  <c:v>2962</c:v>
                </c:pt>
                <c:pt idx="24">
                  <c:v>3017</c:v>
                </c:pt>
                <c:pt idx="25">
                  <c:v>3069</c:v>
                </c:pt>
                <c:pt idx="26">
                  <c:v>3110</c:v>
                </c:pt>
                <c:pt idx="27">
                  <c:v>3152</c:v>
                </c:pt>
                <c:pt idx="28">
                  <c:v>3169</c:v>
                </c:pt>
                <c:pt idx="29">
                  <c:v>3221</c:v>
                </c:pt>
                <c:pt idx="30">
                  <c:v>3262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C-44EE-BA43-76F8BA156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250344"/>
        <c:axId val="478245424"/>
      </c:scatterChart>
      <c:valAx>
        <c:axId val="47825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temperatura*10</a:t>
                </a:r>
              </a:p>
            </c:rich>
          </c:tx>
          <c:layout>
            <c:manualLayout>
              <c:xMode val="edge"/>
              <c:yMode val="edge"/>
              <c:x val="0.39960979877515312"/>
              <c:y val="0.87393654575539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8245424"/>
        <c:crosses val="autoZero"/>
        <c:crossBetween val="midCat"/>
      </c:valAx>
      <c:valAx>
        <c:axId val="478245424"/>
        <c:scaling>
          <c:orientation val="minMax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valor ADC papel</a:t>
                </a:r>
                <a:r>
                  <a:rPr lang="es-419" baseline="0"/>
                  <a:t> alto de intensidad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7825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valor ADC * Ecuacion</a:t>
            </a:r>
            <a:r>
              <a:rPr lang="es-419" baseline="0"/>
              <a:t> compensación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coviandina!$M$2:$M$32</c:f>
              <c:numCache>
                <c:formatCode>General</c:formatCode>
                <c:ptCount val="31"/>
                <c:pt idx="0">
                  <c:v>224</c:v>
                </c:pt>
                <c:pt idx="1">
                  <c:v>226</c:v>
                </c:pt>
                <c:pt idx="2">
                  <c:v>288</c:v>
                </c:pt>
                <c:pt idx="3">
                  <c:v>300</c:v>
                </c:pt>
                <c:pt idx="4">
                  <c:v>317</c:v>
                </c:pt>
                <c:pt idx="5">
                  <c:v>340</c:v>
                </c:pt>
                <c:pt idx="6">
                  <c:v>363</c:v>
                </c:pt>
                <c:pt idx="7">
                  <c:v>362</c:v>
                </c:pt>
                <c:pt idx="8">
                  <c:v>370</c:v>
                </c:pt>
                <c:pt idx="9">
                  <c:v>399</c:v>
                </c:pt>
                <c:pt idx="10">
                  <c:v>175</c:v>
                </c:pt>
                <c:pt idx="11">
                  <c:v>192</c:v>
                </c:pt>
                <c:pt idx="12">
                  <c:v>259</c:v>
                </c:pt>
                <c:pt idx="13">
                  <c:v>100</c:v>
                </c:pt>
                <c:pt idx="14">
                  <c:v>260</c:v>
                </c:pt>
                <c:pt idx="15">
                  <c:v>260</c:v>
                </c:pt>
                <c:pt idx="16">
                  <c:v>327</c:v>
                </c:pt>
                <c:pt idx="17">
                  <c:v>383</c:v>
                </c:pt>
                <c:pt idx="18">
                  <c:v>474</c:v>
                </c:pt>
                <c:pt idx="19">
                  <c:v>495</c:v>
                </c:pt>
                <c:pt idx="20">
                  <c:v>490</c:v>
                </c:pt>
                <c:pt idx="21">
                  <c:v>460</c:v>
                </c:pt>
                <c:pt idx="22">
                  <c:v>423</c:v>
                </c:pt>
                <c:pt idx="23">
                  <c:v>390</c:v>
                </c:pt>
                <c:pt idx="24">
                  <c:v>362</c:v>
                </c:pt>
                <c:pt idx="25">
                  <c:v>338</c:v>
                </c:pt>
                <c:pt idx="26">
                  <c:v>320</c:v>
                </c:pt>
                <c:pt idx="27">
                  <c:v>303</c:v>
                </c:pt>
                <c:pt idx="28">
                  <c:v>290</c:v>
                </c:pt>
                <c:pt idx="29">
                  <c:v>274</c:v>
                </c:pt>
                <c:pt idx="30">
                  <c:v>252</c:v>
                </c:pt>
              </c:numCache>
            </c:numRef>
          </c:xVal>
          <c:yVal>
            <c:numRef>
              <c:f>coviandina!$O$2:$O$32</c:f>
              <c:numCache>
                <c:formatCode>General</c:formatCode>
                <c:ptCount val="31"/>
                <c:pt idx="0">
                  <c:v>1.0242122025625382</c:v>
                </c:pt>
                <c:pt idx="1">
                  <c:v>1.0264040354631612</c:v>
                </c:pt>
                <c:pt idx="2">
                  <c:v>1.0617860847564833</c:v>
                </c:pt>
                <c:pt idx="3">
                  <c:v>1.0699068196303378</c:v>
                </c:pt>
                <c:pt idx="4">
                  <c:v>1.0861752183759301</c:v>
                </c:pt>
                <c:pt idx="5">
                  <c:v>1.1000549148099608</c:v>
                </c:pt>
                <c:pt idx="6">
                  <c:v>1.1117111258278145</c:v>
                </c:pt>
                <c:pt idx="7">
                  <c:v>1.1154045182724253</c:v>
                </c:pt>
                <c:pt idx="8">
                  <c:v>1.1357806495263871</c:v>
                </c:pt>
                <c:pt idx="9">
                  <c:v>1.1585119392684611</c:v>
                </c:pt>
                <c:pt idx="10">
                  <c:v>0.9725862108922364</c:v>
                </c:pt>
                <c:pt idx="11">
                  <c:v>0.98168643274853806</c:v>
                </c:pt>
                <c:pt idx="12">
                  <c:v>1.0214078491025251</c:v>
                </c:pt>
                <c:pt idx="14">
                  <c:v>1.0220297108066971</c:v>
                </c:pt>
                <c:pt idx="15">
                  <c:v>1.0220297108066971</c:v>
                </c:pt>
                <c:pt idx="16">
                  <c:v>1.0726414057507987</c:v>
                </c:pt>
                <c:pt idx="17">
                  <c:v>1.1308075446278207</c:v>
                </c:pt>
                <c:pt idx="18">
                  <c:v>1.2111715728715728</c:v>
                </c:pt>
                <c:pt idx="19">
                  <c:v>1.2266597004019</c:v>
                </c:pt>
                <c:pt idx="20">
                  <c:v>1.222194248270841</c:v>
                </c:pt>
                <c:pt idx="21">
                  <c:v>1.1960696829355184</c:v>
                </c:pt>
                <c:pt idx="22">
                  <c:v>1.1609154910096819</c:v>
                </c:pt>
                <c:pt idx="23">
                  <c:v>1.1334799459824443</c:v>
                </c:pt>
                <c:pt idx="24">
                  <c:v>1.1128165727543917</c:v>
                </c:pt>
                <c:pt idx="25">
                  <c:v>1.0939614206581949</c:v>
                </c:pt>
                <c:pt idx="26">
                  <c:v>1.079539421221865</c:v>
                </c:pt>
                <c:pt idx="27">
                  <c:v>1.0651546954314721</c:v>
                </c:pt>
                <c:pt idx="28">
                  <c:v>1.059440706847586</c:v>
                </c:pt>
                <c:pt idx="29">
                  <c:v>1.0423370381868986</c:v>
                </c:pt>
                <c:pt idx="30">
                  <c:v>1.0292359288779889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5-4D83-B6AC-5429A75D5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339752"/>
        <c:axId val="481345328"/>
      </c:scatterChart>
      <c:valAx>
        <c:axId val="48133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1345328"/>
        <c:crosses val="autoZero"/>
        <c:crossBetween val="midCat"/>
      </c:valAx>
      <c:valAx>
        <c:axId val="481345328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constante variante en el</a:t>
                </a:r>
                <a:r>
                  <a:rPr lang="es-419" baseline="0"/>
                  <a:t> tiempo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133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258027121609799"/>
                  <c:y val="-4.6363006707494984E-2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'concesion sabana occidente'!$M$2:$M$39</c:f>
              <c:numCache>
                <c:formatCode>General</c:formatCode>
                <c:ptCount val="38"/>
                <c:pt idx="0">
                  <c:v>240</c:v>
                </c:pt>
                <c:pt idx="1">
                  <c:v>307</c:v>
                </c:pt>
                <c:pt idx="2">
                  <c:v>376</c:v>
                </c:pt>
                <c:pt idx="3">
                  <c:v>381</c:v>
                </c:pt>
                <c:pt idx="4">
                  <c:v>433</c:v>
                </c:pt>
                <c:pt idx="5">
                  <c:v>491</c:v>
                </c:pt>
                <c:pt idx="6">
                  <c:v>506</c:v>
                </c:pt>
                <c:pt idx="7">
                  <c:v>467</c:v>
                </c:pt>
                <c:pt idx="8">
                  <c:v>440</c:v>
                </c:pt>
                <c:pt idx="9">
                  <c:v>426</c:v>
                </c:pt>
                <c:pt idx="10">
                  <c:v>395</c:v>
                </c:pt>
                <c:pt idx="11">
                  <c:v>384</c:v>
                </c:pt>
                <c:pt idx="12">
                  <c:v>196</c:v>
                </c:pt>
                <c:pt idx="13">
                  <c:v>199</c:v>
                </c:pt>
                <c:pt idx="14">
                  <c:v>214</c:v>
                </c:pt>
                <c:pt idx="15">
                  <c:v>219</c:v>
                </c:pt>
                <c:pt idx="16">
                  <c:v>220</c:v>
                </c:pt>
                <c:pt idx="17">
                  <c:v>257</c:v>
                </c:pt>
                <c:pt idx="18">
                  <c:v>297</c:v>
                </c:pt>
                <c:pt idx="19">
                  <c:v>331</c:v>
                </c:pt>
                <c:pt idx="20">
                  <c:v>348</c:v>
                </c:pt>
                <c:pt idx="21">
                  <c:v>338</c:v>
                </c:pt>
                <c:pt idx="22">
                  <c:v>370</c:v>
                </c:pt>
                <c:pt idx="23">
                  <c:v>394</c:v>
                </c:pt>
                <c:pt idx="24">
                  <c:v>335</c:v>
                </c:pt>
                <c:pt idx="25">
                  <c:v>448</c:v>
                </c:pt>
                <c:pt idx="26">
                  <c:v>370</c:v>
                </c:pt>
                <c:pt idx="27">
                  <c:v>189</c:v>
                </c:pt>
              </c:numCache>
            </c:numRef>
          </c:xVal>
          <c:yVal>
            <c:numRef>
              <c:f>'concesion sabana occidente'!$O$2:$O$39</c:f>
              <c:numCache>
                <c:formatCode>General</c:formatCode>
                <c:ptCount val="38"/>
                <c:pt idx="0">
                  <c:v>1.0197448359659782</c:v>
                </c:pt>
                <c:pt idx="1">
                  <c:v>1.0454687013391466</c:v>
                </c:pt>
                <c:pt idx="2">
                  <c:v>1.0694488690665818</c:v>
                </c:pt>
                <c:pt idx="3">
                  <c:v>1.0714969677625279</c:v>
                </c:pt>
                <c:pt idx="4">
                  <c:v>1.0970588235294119</c:v>
                </c:pt>
                <c:pt idx="5">
                  <c:v>1.1208681135225376</c:v>
                </c:pt>
                <c:pt idx="6">
                  <c:v>1.146516393442623</c:v>
                </c:pt>
                <c:pt idx="7">
                  <c:v>1.1031876437725929</c:v>
                </c:pt>
                <c:pt idx="8">
                  <c:v>1.0850032320620555</c:v>
                </c:pt>
                <c:pt idx="9">
                  <c:v>1.0811594202898551</c:v>
                </c:pt>
                <c:pt idx="10">
                  <c:v>1.0653760710885434</c:v>
                </c:pt>
                <c:pt idx="11">
                  <c:v>1.0593247081098138</c:v>
                </c:pt>
                <c:pt idx="12">
                  <c:v>0.98909840895698287</c:v>
                </c:pt>
                <c:pt idx="13">
                  <c:v>0.99290150842945879</c:v>
                </c:pt>
                <c:pt idx="14">
                  <c:v>1</c:v>
                </c:pt>
                <c:pt idx="15">
                  <c:v>1.0023887727679905</c:v>
                </c:pt>
                <c:pt idx="16">
                  <c:v>1</c:v>
                </c:pt>
                <c:pt idx="17">
                  <c:v>1.0120590895387398</c:v>
                </c:pt>
                <c:pt idx="18">
                  <c:v>1.0212960146029815</c:v>
                </c:pt>
                <c:pt idx="19">
                  <c:v>1.0335591133004927</c:v>
                </c:pt>
                <c:pt idx="20">
                  <c:v>1.0431945307644499</c:v>
                </c:pt>
                <c:pt idx="21">
                  <c:v>1.0373918417799752</c:v>
                </c:pt>
                <c:pt idx="22">
                  <c:v>1.0543341708542713</c:v>
                </c:pt>
                <c:pt idx="23">
                  <c:v>1.064025356576862</c:v>
                </c:pt>
                <c:pt idx="24">
                  <c:v>1.0422229121390871</c:v>
                </c:pt>
                <c:pt idx="25">
                  <c:v>1.0895813047711782</c:v>
                </c:pt>
                <c:pt idx="26">
                  <c:v>1.0543341708542713</c:v>
                </c:pt>
                <c:pt idx="27">
                  <c:v>0.97643979057591623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B-408E-A1C3-78BC50F3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93048"/>
        <c:axId val="544899280"/>
      </c:scatterChart>
      <c:valAx>
        <c:axId val="54489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4899280"/>
        <c:crosses val="autoZero"/>
        <c:crossBetween val="midCat"/>
      </c:valAx>
      <c:valAx>
        <c:axId val="5448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4893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'concesion sabana occidente'!$C$9:$C$15</c:f>
              <c:numCache>
                <c:formatCode>General</c:formatCode>
                <c:ptCount val="7"/>
                <c:pt idx="0">
                  <c:v>488</c:v>
                </c:pt>
                <c:pt idx="1">
                  <c:v>1112</c:v>
                </c:pt>
                <c:pt idx="2">
                  <c:v>1463</c:v>
                </c:pt>
                <c:pt idx="3">
                  <c:v>1686</c:v>
                </c:pt>
                <c:pt idx="4">
                  <c:v>2507</c:v>
                </c:pt>
                <c:pt idx="5">
                  <c:v>2741</c:v>
                </c:pt>
              </c:numCache>
            </c:numRef>
          </c:xVal>
          <c:yVal>
            <c:numRef>
              <c:f>'concesion sabana occidente'!$D$9:$D$15</c:f>
              <c:numCache>
                <c:formatCode>General</c:formatCode>
                <c:ptCount val="7"/>
                <c:pt idx="0">
                  <c:v>0</c:v>
                </c:pt>
                <c:pt idx="1">
                  <c:v>207.78</c:v>
                </c:pt>
                <c:pt idx="2">
                  <c:v>444.11</c:v>
                </c:pt>
                <c:pt idx="3">
                  <c:v>579.55999999999995</c:v>
                </c:pt>
                <c:pt idx="4">
                  <c:v>746.22</c:v>
                </c:pt>
                <c:pt idx="5">
                  <c:v>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D-492D-AA0C-CB69F8AD4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349912"/>
        <c:axId val="382628320"/>
      </c:scatterChart>
      <c:valAx>
        <c:axId val="32034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2628320"/>
        <c:crosses val="autoZero"/>
        <c:crossBetween val="midCat"/>
      </c:valAx>
      <c:valAx>
        <c:axId val="3826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0349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1</xdr:row>
      <xdr:rowOff>138112</xdr:rowOff>
    </xdr:from>
    <xdr:to>
      <xdr:col>19</xdr:col>
      <xdr:colOff>285750</xdr:colOff>
      <xdr:row>14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0B5C81-6426-46BA-AF08-29A571A53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0</xdr:row>
      <xdr:rowOff>76200</xdr:rowOff>
    </xdr:from>
    <xdr:to>
      <xdr:col>11</xdr:col>
      <xdr:colOff>295275</xdr:colOff>
      <xdr:row>10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6A3801B-A007-4B91-9390-E75541A5D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285750</xdr:colOff>
      <xdr:row>9</xdr:row>
      <xdr:rowOff>195262</xdr:rowOff>
    </xdr:from>
    <xdr:to>
      <xdr:col>10</xdr:col>
      <xdr:colOff>742950</xdr:colOff>
      <xdr:row>18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5826ED-9C4D-4FB1-AEDE-225E065BA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619125</xdr:colOff>
      <xdr:row>25</xdr:row>
      <xdr:rowOff>347662</xdr:rowOff>
    </xdr:from>
    <xdr:to>
      <xdr:col>16</xdr:col>
      <xdr:colOff>619125</xdr:colOff>
      <xdr:row>33</xdr:row>
      <xdr:rowOff>719137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ABA8017-D7AD-47E7-A26A-B0F110E55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</xdr:row>
      <xdr:rowOff>109537</xdr:rowOff>
    </xdr:from>
    <xdr:to>
      <xdr:col>11</xdr:col>
      <xdr:colOff>457200</xdr:colOff>
      <xdr:row>19</xdr:row>
      <xdr:rowOff>80962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51BC03-A273-42C1-89E2-48727127E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104775</xdr:colOff>
      <xdr:row>4</xdr:row>
      <xdr:rowOff>100012</xdr:rowOff>
    </xdr:from>
    <xdr:to>
      <xdr:col>11</xdr:col>
      <xdr:colOff>561975</xdr:colOff>
      <xdr:row>15</xdr:row>
      <xdr:rowOff>71437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B229D05-5AD0-42F6-B089-38A6CF35B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185737</xdr:rowOff>
    </xdr:from>
    <xdr:to>
      <xdr:col>13</xdr:col>
      <xdr:colOff>0</xdr:colOff>
      <xdr:row>26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62933E-96AA-49A1-834A-DFBD0FA7D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60</xdr:row>
      <xdr:rowOff>52387</xdr:rowOff>
    </xdr:from>
    <xdr:to>
      <xdr:col>8</xdr:col>
      <xdr:colOff>390525</xdr:colOff>
      <xdr:row>79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A5B4EE-C75A-409B-AA8E-AEEE2FA8A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574398</xdr:colOff>
      <xdr:row>4</xdr:row>
      <xdr:rowOff>30852</xdr:rowOff>
    </xdr:from>
    <xdr:to>
      <xdr:col>10</xdr:col>
      <xdr:colOff>574398</xdr:colOff>
      <xdr:row>18</xdr:row>
      <xdr:rowOff>86760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CCC6C90-6DE4-445E-8BB1-F36044A15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146797</xdr:colOff>
      <xdr:row>3</xdr:row>
      <xdr:rowOff>12046</xdr:rowOff>
    </xdr:from>
    <xdr:to>
      <xdr:col>21</xdr:col>
      <xdr:colOff>146797</xdr:colOff>
      <xdr:row>17</xdr:row>
      <xdr:rowOff>69196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0E7C454-FE9F-4814-A41E-C323F73F6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246529</xdr:colOff>
      <xdr:row>20</xdr:row>
      <xdr:rowOff>90767</xdr:rowOff>
    </xdr:from>
    <xdr:to>
      <xdr:col>21</xdr:col>
      <xdr:colOff>246529</xdr:colOff>
      <xdr:row>34</xdr:row>
      <xdr:rowOff>144555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F2E505-9E8F-445F-8A0B-BDDA2EDBD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733425</xdr:colOff>
      <xdr:row>5</xdr:row>
      <xdr:rowOff>4762</xdr:rowOff>
    </xdr:from>
    <xdr:to>
      <xdr:col>21</xdr:col>
      <xdr:colOff>733425</xdr:colOff>
      <xdr:row>19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15805E-65C0-4E70-9631-7D2E8F175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195262</xdr:colOff>
      <xdr:row>9</xdr:row>
      <xdr:rowOff>42862</xdr:rowOff>
    </xdr:from>
    <xdr:to>
      <xdr:col>11</xdr:col>
      <xdr:colOff>195262</xdr:colOff>
      <xdr:row>23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9980F9-9432-4F56-A92C-2940E9699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1935-6051-4C5D-BEE2-8544702477D7}">
  <dimension ref="A1:U47"/>
  <sheetViews>
    <sheetView workbookViewId="0">
      <selection activeCell="E2" sqref="E2:F6"/>
    </sheetView>
  </sheetViews>
  <sheetFormatPr baseColWidth="10" defaultRowHeight="15" x14ac:dyDescent="0.25"/>
  <cols>
    <col min="9" max="9" width="27.42578125" customWidth="1"/>
  </cols>
  <sheetData>
    <row r="1" spans="1:21" ht="60.75" thickBot="1" x14ac:dyDescent="0.3">
      <c r="A1" s="1" t="s">
        <v>0</v>
      </c>
      <c r="B1" s="2" t="s">
        <v>1</v>
      </c>
      <c r="C1" s="5" t="s">
        <v>76</v>
      </c>
      <c r="D1" s="5" t="s">
        <v>71</v>
      </c>
      <c r="E1" s="5" t="s">
        <v>71</v>
      </c>
      <c r="F1" s="2" t="s">
        <v>2</v>
      </c>
      <c r="I1" s="9" t="s">
        <v>57</v>
      </c>
      <c r="J1" s="10" t="s">
        <v>1</v>
      </c>
      <c r="K1" s="10" t="s">
        <v>2</v>
      </c>
      <c r="L1" s="10" t="s">
        <v>3</v>
      </c>
      <c r="M1" s="11" t="s">
        <v>4</v>
      </c>
      <c r="U1" t="s">
        <v>64</v>
      </c>
    </row>
    <row r="2" spans="1:21" ht="15.75" thickBot="1" x14ac:dyDescent="0.3">
      <c r="A2" s="41" t="s">
        <v>5</v>
      </c>
      <c r="B2" s="127" t="s">
        <v>6</v>
      </c>
      <c r="C2">
        <v>152</v>
      </c>
      <c r="D2">
        <v>116</v>
      </c>
      <c r="E2">
        <v>153</v>
      </c>
      <c r="F2" s="3">
        <v>28.1</v>
      </c>
      <c r="G2">
        <v>0.33</v>
      </c>
      <c r="H2" s="3">
        <v>28.1</v>
      </c>
      <c r="I2" s="12" t="s">
        <v>5</v>
      </c>
      <c r="J2" s="128" t="s">
        <v>6</v>
      </c>
      <c r="K2" s="13">
        <v>28.1</v>
      </c>
      <c r="L2" s="14"/>
      <c r="M2" s="13"/>
      <c r="U2" t="s">
        <v>65</v>
      </c>
    </row>
    <row r="3" spans="1:21" ht="15.75" thickBot="1" x14ac:dyDescent="0.3">
      <c r="A3" s="41" t="s">
        <v>7</v>
      </c>
      <c r="B3" s="125"/>
      <c r="C3">
        <v>154</v>
      </c>
      <c r="D3">
        <v>118</v>
      </c>
      <c r="E3">
        <v>156</v>
      </c>
      <c r="F3" s="3">
        <v>63.911000000000001</v>
      </c>
      <c r="G3">
        <v>0.55000000000000004</v>
      </c>
      <c r="H3" s="3">
        <v>63.911000000000001</v>
      </c>
      <c r="I3" s="12" t="s">
        <v>7</v>
      </c>
      <c r="J3" s="129"/>
      <c r="K3" s="13">
        <v>63.911000000000001</v>
      </c>
      <c r="L3" s="14"/>
      <c r="M3" s="13"/>
      <c r="U3" t="s">
        <v>8</v>
      </c>
    </row>
    <row r="4" spans="1:21" ht="15.75" thickBot="1" x14ac:dyDescent="0.3">
      <c r="A4" s="41" t="s">
        <v>8</v>
      </c>
      <c r="B4" s="125"/>
      <c r="C4">
        <v>157</v>
      </c>
      <c r="D4">
        <v>115</v>
      </c>
      <c r="E4">
        <v>160</v>
      </c>
      <c r="F4" s="3">
        <v>69.921999999999997</v>
      </c>
      <c r="G4">
        <v>0.47</v>
      </c>
      <c r="H4" s="3">
        <v>69.921999999999997</v>
      </c>
      <c r="I4" s="12" t="s">
        <v>8</v>
      </c>
      <c r="J4" s="129"/>
      <c r="K4" s="13">
        <v>69.921999999999997</v>
      </c>
      <c r="L4" s="14"/>
      <c r="M4" s="13"/>
      <c r="U4" t="s">
        <v>9</v>
      </c>
    </row>
    <row r="5" spans="1:21" ht="15.75" thickBot="1" x14ac:dyDescent="0.3">
      <c r="A5" s="41" t="s">
        <v>9</v>
      </c>
      <c r="B5" s="125"/>
      <c r="C5">
        <v>220</v>
      </c>
      <c r="D5">
        <v>145</v>
      </c>
      <c r="E5">
        <v>199</v>
      </c>
      <c r="F5" s="3">
        <v>96.744</v>
      </c>
      <c r="G5">
        <v>0.51500000000000001</v>
      </c>
      <c r="H5" s="3">
        <v>96.744</v>
      </c>
      <c r="I5" s="12" t="s">
        <v>9</v>
      </c>
      <c r="J5" s="129"/>
      <c r="K5" s="13">
        <v>96.744</v>
      </c>
      <c r="L5" s="14"/>
      <c r="M5" s="13"/>
      <c r="U5" s="53" t="s">
        <v>66</v>
      </c>
    </row>
    <row r="6" spans="1:21" ht="15.75" thickBot="1" x14ac:dyDescent="0.3">
      <c r="A6" s="41" t="s">
        <v>10</v>
      </c>
      <c r="B6" s="126"/>
      <c r="C6">
        <v>280</v>
      </c>
      <c r="D6">
        <v>205</v>
      </c>
      <c r="E6">
        <v>283</v>
      </c>
      <c r="F6" s="3">
        <v>128.11000000000001</v>
      </c>
      <c r="G6" s="53">
        <v>0.95499999999999996</v>
      </c>
      <c r="H6" s="3">
        <v>128.11000000000001</v>
      </c>
      <c r="I6" s="12" t="s">
        <v>10</v>
      </c>
      <c r="J6" s="130"/>
      <c r="K6" s="13">
        <v>128.11000000000001</v>
      </c>
      <c r="L6" s="14"/>
      <c r="M6" s="13"/>
      <c r="U6" t="s">
        <v>67</v>
      </c>
    </row>
    <row r="7" spans="1:21" ht="15.75" thickBot="1" x14ac:dyDescent="0.3">
      <c r="A7" s="41" t="s">
        <v>11</v>
      </c>
      <c r="B7" s="127" t="s">
        <v>12</v>
      </c>
      <c r="C7">
        <v>210</v>
      </c>
      <c r="D7">
        <v>147</v>
      </c>
      <c r="E7">
        <v>203</v>
      </c>
      <c r="F7" s="3">
        <v>207.78</v>
      </c>
      <c r="G7" s="53">
        <v>0.95</v>
      </c>
      <c r="H7" s="3">
        <v>207.78</v>
      </c>
      <c r="I7" s="15" t="s">
        <v>11</v>
      </c>
      <c r="J7" s="128" t="s">
        <v>12</v>
      </c>
      <c r="K7" s="13">
        <v>207.78</v>
      </c>
      <c r="L7" s="14"/>
      <c r="M7" s="13"/>
      <c r="U7" s="53" t="s">
        <v>68</v>
      </c>
    </row>
    <row r="8" spans="1:21" ht="15.75" thickBot="1" x14ac:dyDescent="0.3">
      <c r="A8" s="41" t="s">
        <v>13</v>
      </c>
      <c r="B8" s="125"/>
      <c r="C8">
        <v>370</v>
      </c>
      <c r="D8">
        <v>173</v>
      </c>
      <c r="E8">
        <v>250</v>
      </c>
      <c r="F8" s="3">
        <v>444.11</v>
      </c>
      <c r="G8">
        <v>2.0499999999999998</v>
      </c>
      <c r="H8" s="3">
        <v>444.11</v>
      </c>
      <c r="I8" s="15" t="s">
        <v>13</v>
      </c>
      <c r="J8" s="129"/>
      <c r="K8" s="13">
        <v>444.11</v>
      </c>
      <c r="L8" s="14"/>
      <c r="M8" s="13"/>
      <c r="U8" t="s">
        <v>69</v>
      </c>
    </row>
    <row r="9" spans="1:21" ht="15.75" thickBot="1" x14ac:dyDescent="0.3">
      <c r="A9" s="41" t="s">
        <v>14</v>
      </c>
      <c r="B9" s="125"/>
      <c r="C9">
        <v>424</v>
      </c>
      <c r="D9">
        <v>221</v>
      </c>
      <c r="E9">
        <v>341</v>
      </c>
      <c r="F9" s="3">
        <v>579.55999999999995</v>
      </c>
      <c r="G9">
        <v>2.0499999999999998</v>
      </c>
      <c r="H9" s="3">
        <v>579.55999999999995</v>
      </c>
      <c r="I9" s="15" t="s">
        <v>14</v>
      </c>
      <c r="J9" s="129"/>
      <c r="K9" s="13">
        <v>579.55999999999995</v>
      </c>
      <c r="L9" s="14"/>
      <c r="M9" s="13"/>
      <c r="U9" t="s">
        <v>70</v>
      </c>
    </row>
    <row r="10" spans="1:21" ht="15.75" thickBot="1" x14ac:dyDescent="0.3">
      <c r="A10" s="41" t="s">
        <v>15</v>
      </c>
      <c r="B10" s="125"/>
      <c r="C10">
        <v>570</v>
      </c>
      <c r="D10">
        <v>307</v>
      </c>
      <c r="E10">
        <v>501</v>
      </c>
      <c r="F10" s="3">
        <v>746.22</v>
      </c>
      <c r="G10">
        <v>3.6</v>
      </c>
      <c r="H10" s="3">
        <v>746.22</v>
      </c>
      <c r="I10" s="16" t="s">
        <v>15</v>
      </c>
      <c r="J10" s="129"/>
      <c r="K10" s="17">
        <v>746.22</v>
      </c>
      <c r="L10" s="14"/>
      <c r="M10" s="13"/>
    </row>
    <row r="11" spans="1:21" ht="15.75" thickBot="1" x14ac:dyDescent="0.3">
      <c r="A11" s="42" t="s">
        <v>16</v>
      </c>
      <c r="B11" s="125"/>
      <c r="C11">
        <v>615</v>
      </c>
      <c r="D11">
        <v>315</v>
      </c>
      <c r="E11">
        <v>537</v>
      </c>
      <c r="F11" s="4">
        <v>869.5</v>
      </c>
      <c r="G11">
        <v>3.83</v>
      </c>
      <c r="H11" s="4">
        <v>869.5</v>
      </c>
      <c r="I11" s="18" t="s">
        <v>16</v>
      </c>
      <c r="J11" s="130"/>
      <c r="K11" s="19">
        <v>869.5</v>
      </c>
      <c r="L11" s="20"/>
      <c r="M11" s="13"/>
    </row>
    <row r="12" spans="1:21" ht="60.75" thickBot="1" x14ac:dyDescent="0.3">
      <c r="A12" s="7"/>
      <c r="B12" s="6"/>
      <c r="F12" s="6"/>
      <c r="I12" s="21" t="s">
        <v>58</v>
      </c>
      <c r="J12" s="22"/>
      <c r="K12" s="22"/>
      <c r="L12" s="22"/>
      <c r="M12" s="22"/>
    </row>
    <row r="13" spans="1:21" ht="15.75" thickBot="1" x14ac:dyDescent="0.3">
      <c r="A13" s="43" t="s">
        <v>17</v>
      </c>
      <c r="B13" s="124" t="s">
        <v>18</v>
      </c>
      <c r="C13">
        <v>143</v>
      </c>
      <c r="D13">
        <v>134</v>
      </c>
      <c r="E13">
        <v>180</v>
      </c>
      <c r="F13" s="3">
        <v>88.4</v>
      </c>
      <c r="I13" s="12" t="s">
        <v>17</v>
      </c>
      <c r="J13" s="131" t="s">
        <v>18</v>
      </c>
      <c r="K13" s="23">
        <v>88.4</v>
      </c>
      <c r="L13" s="23"/>
      <c r="M13" s="24"/>
    </row>
    <row r="14" spans="1:21" ht="15.75" thickBot="1" x14ac:dyDescent="0.3">
      <c r="A14" s="43" t="s">
        <v>19</v>
      </c>
      <c r="B14" s="125"/>
      <c r="C14">
        <v>143</v>
      </c>
      <c r="D14">
        <v>138</v>
      </c>
      <c r="E14">
        <v>183</v>
      </c>
      <c r="F14" s="3">
        <v>94.6</v>
      </c>
      <c r="I14" s="12" t="s">
        <v>19</v>
      </c>
      <c r="J14" s="129"/>
      <c r="K14" s="23">
        <v>94.6</v>
      </c>
      <c r="L14" s="23"/>
      <c r="M14" s="24"/>
    </row>
    <row r="15" spans="1:21" ht="15.75" thickBot="1" x14ac:dyDescent="0.3">
      <c r="A15" s="43" t="s">
        <v>20</v>
      </c>
      <c r="B15" s="127" t="s">
        <v>21</v>
      </c>
      <c r="C15">
        <v>178</v>
      </c>
      <c r="D15">
        <v>180</v>
      </c>
      <c r="E15">
        <v>238</v>
      </c>
      <c r="F15" s="3">
        <v>271.44400000000002</v>
      </c>
      <c r="I15" s="15" t="s">
        <v>20</v>
      </c>
      <c r="J15" s="128" t="s">
        <v>21</v>
      </c>
      <c r="K15" s="24">
        <v>271.44</v>
      </c>
      <c r="L15" s="23"/>
      <c r="M15" s="23"/>
    </row>
    <row r="16" spans="1:21" ht="15.75" thickBot="1" x14ac:dyDescent="0.3">
      <c r="A16" s="43" t="s">
        <v>22</v>
      </c>
      <c r="B16" s="125"/>
      <c r="C16">
        <v>203</v>
      </c>
      <c r="D16">
        <v>184</v>
      </c>
      <c r="E16">
        <v>280</v>
      </c>
      <c r="F16" s="3">
        <v>550.22199999999998</v>
      </c>
      <c r="I16" s="15" t="s">
        <v>22</v>
      </c>
      <c r="J16" s="129"/>
      <c r="K16" s="24">
        <v>550.22199999999998</v>
      </c>
      <c r="L16" s="23"/>
      <c r="M16" s="23"/>
    </row>
    <row r="17" spans="1:13" ht="15.75" thickBot="1" x14ac:dyDescent="0.3">
      <c r="A17" s="43" t="s">
        <v>23</v>
      </c>
      <c r="B17" s="125"/>
      <c r="C17">
        <v>299</v>
      </c>
      <c r="D17">
        <v>295</v>
      </c>
      <c r="E17">
        <v>414</v>
      </c>
      <c r="F17" s="3">
        <v>609</v>
      </c>
      <c r="I17" s="15" t="s">
        <v>23</v>
      </c>
      <c r="J17" s="129"/>
      <c r="K17" s="24">
        <v>746.8</v>
      </c>
      <c r="L17" s="23"/>
      <c r="M17" s="23"/>
    </row>
    <row r="18" spans="1:13" ht="15.75" thickBot="1" x14ac:dyDescent="0.3">
      <c r="A18" s="43" t="s">
        <v>24</v>
      </c>
      <c r="B18" s="125"/>
      <c r="C18">
        <v>360</v>
      </c>
      <c r="D18">
        <v>332</v>
      </c>
      <c r="E18">
        <v>525</v>
      </c>
      <c r="F18" s="3">
        <v>739.11099999999999</v>
      </c>
      <c r="I18" s="16" t="s">
        <v>24</v>
      </c>
      <c r="J18" s="129"/>
      <c r="K18" s="25">
        <v>768.33333333333337</v>
      </c>
      <c r="L18" s="23"/>
      <c r="M18" s="23"/>
    </row>
    <row r="19" spans="1:13" ht="15.75" thickBot="1" x14ac:dyDescent="0.3">
      <c r="A19" s="44" t="s">
        <v>25</v>
      </c>
      <c r="B19" s="125"/>
      <c r="C19">
        <v>255</v>
      </c>
      <c r="D19">
        <v>232</v>
      </c>
      <c r="E19">
        <v>344</v>
      </c>
      <c r="F19" s="4">
        <v>746.88900000000001</v>
      </c>
      <c r="I19" s="26" t="s">
        <v>25</v>
      </c>
      <c r="J19" s="130"/>
      <c r="K19" s="27">
        <v>609</v>
      </c>
      <c r="L19" s="28"/>
      <c r="M19" s="23"/>
    </row>
    <row r="20" spans="1:13" ht="60.75" thickBot="1" x14ac:dyDescent="0.3">
      <c r="A20" s="7"/>
      <c r="B20" s="6"/>
      <c r="F20" s="6"/>
      <c r="I20" s="29" t="s">
        <v>59</v>
      </c>
      <c r="J20" s="30"/>
      <c r="K20" s="30"/>
      <c r="L20" s="30"/>
      <c r="M20" s="30"/>
    </row>
    <row r="21" spans="1:13" ht="15.75" thickBot="1" x14ac:dyDescent="0.3">
      <c r="A21" s="45" t="s">
        <v>26</v>
      </c>
      <c r="B21" s="124" t="s">
        <v>27</v>
      </c>
      <c r="C21">
        <v>110</v>
      </c>
      <c r="D21">
        <v>100</v>
      </c>
      <c r="E21">
        <v>139</v>
      </c>
      <c r="F21" s="3">
        <v>19.36</v>
      </c>
      <c r="I21" s="12" t="s">
        <v>26</v>
      </c>
      <c r="J21" s="131" t="s">
        <v>27</v>
      </c>
      <c r="K21" s="24">
        <v>19.741666666666667</v>
      </c>
      <c r="L21" s="23"/>
      <c r="M21" s="24"/>
    </row>
    <row r="22" spans="1:13" ht="15.75" thickBot="1" x14ac:dyDescent="0.3">
      <c r="A22" s="45" t="s">
        <v>28</v>
      </c>
      <c r="B22" s="125"/>
      <c r="C22">
        <v>126</v>
      </c>
      <c r="D22">
        <v>124</v>
      </c>
      <c r="E22">
        <v>165</v>
      </c>
      <c r="F22" s="3">
        <v>33.31</v>
      </c>
      <c r="I22" s="12" t="s">
        <v>29</v>
      </c>
      <c r="J22" s="129"/>
      <c r="K22" s="23">
        <v>42</v>
      </c>
      <c r="L22" s="23"/>
      <c r="M22" s="24"/>
    </row>
    <row r="23" spans="1:13" ht="15.75" thickBot="1" x14ac:dyDescent="0.3">
      <c r="A23" s="45" t="s">
        <v>29</v>
      </c>
      <c r="B23" s="126"/>
      <c r="C23">
        <v>104</v>
      </c>
      <c r="D23">
        <v>86</v>
      </c>
      <c r="E23">
        <v>137</v>
      </c>
      <c r="F23" s="3">
        <v>41.74</v>
      </c>
      <c r="I23" s="12" t="s">
        <v>28</v>
      </c>
      <c r="J23" s="130"/>
      <c r="K23" s="23">
        <v>42</v>
      </c>
      <c r="L23" s="23"/>
      <c r="M23" s="24"/>
    </row>
    <row r="24" spans="1:13" ht="15.75" thickBot="1" x14ac:dyDescent="0.3">
      <c r="A24" s="45" t="s">
        <v>30</v>
      </c>
      <c r="B24" s="127" t="s">
        <v>31</v>
      </c>
      <c r="C24">
        <v>226</v>
      </c>
      <c r="D24">
        <v>192</v>
      </c>
      <c r="E24">
        <v>327</v>
      </c>
      <c r="F24" s="3">
        <v>204.5</v>
      </c>
      <c r="I24" s="16" t="s">
        <v>30</v>
      </c>
      <c r="J24" s="128" t="s">
        <v>31</v>
      </c>
      <c r="K24" s="25">
        <v>204.5</v>
      </c>
      <c r="L24" s="23"/>
      <c r="M24" s="24"/>
    </row>
    <row r="25" spans="1:13" ht="15.75" thickBot="1" x14ac:dyDescent="0.3">
      <c r="A25" s="46" t="s">
        <v>32</v>
      </c>
      <c r="B25" s="125"/>
      <c r="C25">
        <v>282</v>
      </c>
      <c r="D25">
        <v>250</v>
      </c>
      <c r="E25">
        <v>424</v>
      </c>
      <c r="F25" s="4">
        <v>277.7</v>
      </c>
      <c r="I25" s="18" t="s">
        <v>32</v>
      </c>
      <c r="J25" s="130"/>
      <c r="K25" s="27">
        <v>277.7</v>
      </c>
      <c r="L25" s="28"/>
      <c r="M25" s="24"/>
    </row>
    <row r="26" spans="1:13" ht="60.75" thickBot="1" x14ac:dyDescent="0.3">
      <c r="A26" s="8"/>
      <c r="B26" s="6"/>
      <c r="F26" s="6"/>
      <c r="I26" s="31" t="s">
        <v>60</v>
      </c>
      <c r="J26" s="32"/>
      <c r="K26" s="32"/>
      <c r="L26" s="32"/>
      <c r="M26" s="32"/>
    </row>
    <row r="27" spans="1:13" ht="15.75" thickBot="1" x14ac:dyDescent="0.3">
      <c r="A27" s="47" t="s">
        <v>32</v>
      </c>
      <c r="B27" s="124" t="s">
        <v>33</v>
      </c>
      <c r="C27">
        <v>91</v>
      </c>
      <c r="D27">
        <v>82</v>
      </c>
      <c r="E27">
        <v>123</v>
      </c>
      <c r="F27" s="3">
        <v>10.283300000000001</v>
      </c>
      <c r="I27" s="33" t="s">
        <v>32</v>
      </c>
      <c r="J27" s="132" t="s">
        <v>33</v>
      </c>
      <c r="K27" s="24">
        <v>12</v>
      </c>
      <c r="L27" s="23"/>
      <c r="M27" s="24"/>
    </row>
    <row r="28" spans="1:13" ht="15.75" thickBot="1" x14ac:dyDescent="0.3">
      <c r="A28" s="47" t="s">
        <v>34</v>
      </c>
      <c r="B28" s="125"/>
      <c r="C28">
        <v>91</v>
      </c>
      <c r="D28">
        <v>86</v>
      </c>
      <c r="E28">
        <v>124</v>
      </c>
      <c r="F28" s="3">
        <v>11.8833</v>
      </c>
      <c r="I28" s="33" t="s">
        <v>34</v>
      </c>
      <c r="J28" s="129"/>
      <c r="K28" s="24">
        <v>14</v>
      </c>
      <c r="L28" s="23"/>
      <c r="M28" s="24"/>
    </row>
    <row r="29" spans="1:13" ht="15" customHeight="1" thickBot="1" x14ac:dyDescent="0.3">
      <c r="A29" s="47" t="s">
        <v>35</v>
      </c>
      <c r="B29" s="126"/>
      <c r="C29">
        <v>110</v>
      </c>
      <c r="D29">
        <v>105</v>
      </c>
      <c r="E29">
        <v>147</v>
      </c>
      <c r="F29" s="3">
        <v>17.433299999999999</v>
      </c>
      <c r="I29" s="33" t="s">
        <v>35</v>
      </c>
      <c r="J29" s="130"/>
      <c r="K29" s="24">
        <v>17.43333333333333</v>
      </c>
      <c r="L29" s="23"/>
      <c r="M29" s="24"/>
    </row>
    <row r="30" spans="1:13" ht="15.75" thickBot="1" x14ac:dyDescent="0.3">
      <c r="A30" s="47" t="s">
        <v>36</v>
      </c>
      <c r="B30" s="127" t="s">
        <v>37</v>
      </c>
      <c r="C30" s="3">
        <v>145</v>
      </c>
      <c r="D30" s="3">
        <v>87</v>
      </c>
      <c r="E30">
        <v>200</v>
      </c>
      <c r="F30" s="3">
        <v>117.467</v>
      </c>
      <c r="I30" s="33" t="s">
        <v>40</v>
      </c>
      <c r="J30" s="133" t="s">
        <v>37</v>
      </c>
      <c r="K30" s="24">
        <v>117</v>
      </c>
      <c r="L30" s="23"/>
      <c r="M30" s="24"/>
    </row>
    <row r="31" spans="1:13" ht="15.75" thickBot="1" x14ac:dyDescent="0.3">
      <c r="A31" s="47" t="s">
        <v>38</v>
      </c>
      <c r="B31" s="125"/>
      <c r="C31" s="3">
        <v>117</v>
      </c>
      <c r="D31" s="3">
        <v>115</v>
      </c>
      <c r="E31">
        <v>172</v>
      </c>
      <c r="F31" s="3">
        <v>187.833</v>
      </c>
      <c r="I31" s="33" t="s">
        <v>38</v>
      </c>
      <c r="J31" s="129"/>
      <c r="K31" s="24">
        <v>188</v>
      </c>
      <c r="L31" s="23"/>
      <c r="M31" s="24"/>
    </row>
    <row r="32" spans="1:13" ht="15.75" thickBot="1" x14ac:dyDescent="0.3">
      <c r="A32" s="47" t="s">
        <v>39</v>
      </c>
      <c r="B32" s="125"/>
      <c r="C32" s="3">
        <v>259</v>
      </c>
      <c r="D32" s="3">
        <v>225</v>
      </c>
      <c r="E32">
        <v>380</v>
      </c>
      <c r="F32" s="3">
        <v>218.333</v>
      </c>
      <c r="I32" s="33" t="s">
        <v>36</v>
      </c>
      <c r="J32" s="129"/>
      <c r="K32" s="25">
        <v>218</v>
      </c>
      <c r="L32" s="23"/>
      <c r="M32" s="24"/>
    </row>
    <row r="33" spans="1:13" ht="15.75" thickBot="1" x14ac:dyDescent="0.3">
      <c r="A33" s="48" t="s">
        <v>40</v>
      </c>
      <c r="B33" s="125"/>
      <c r="C33" s="4">
        <v>198</v>
      </c>
      <c r="D33" s="4">
        <v>180</v>
      </c>
      <c r="E33">
        <v>283</v>
      </c>
      <c r="F33" s="4">
        <v>238.5</v>
      </c>
      <c r="I33" s="34" t="s">
        <v>39</v>
      </c>
      <c r="J33" s="129"/>
      <c r="K33" s="35">
        <v>239</v>
      </c>
      <c r="L33" s="28"/>
      <c r="M33" s="24"/>
    </row>
    <row r="34" spans="1:13" ht="60.75" thickBot="1" x14ac:dyDescent="0.3">
      <c r="A34" s="8"/>
      <c r="B34" s="6"/>
      <c r="C34" s="6"/>
      <c r="D34" s="6"/>
      <c r="F34" s="6"/>
      <c r="I34" s="36" t="s">
        <v>61</v>
      </c>
      <c r="J34" s="37"/>
      <c r="K34" s="37"/>
      <c r="L34" s="37"/>
      <c r="M34" s="37"/>
    </row>
    <row r="35" spans="1:13" ht="15.75" thickBot="1" x14ac:dyDescent="0.3">
      <c r="A35" s="49" t="s">
        <v>41</v>
      </c>
      <c r="B35" s="124" t="s">
        <v>42</v>
      </c>
      <c r="C35" s="3">
        <v>51</v>
      </c>
      <c r="D35" s="3">
        <v>19</v>
      </c>
      <c r="E35">
        <v>66</v>
      </c>
      <c r="F35" s="3">
        <v>2</v>
      </c>
      <c r="I35" s="12" t="s">
        <v>41</v>
      </c>
      <c r="J35" s="131" t="s">
        <v>42</v>
      </c>
      <c r="K35" s="23">
        <v>2</v>
      </c>
      <c r="L35" s="23"/>
      <c r="M35" s="24"/>
    </row>
    <row r="36" spans="1:13" ht="15.75" thickBot="1" x14ac:dyDescent="0.3">
      <c r="A36" s="49" t="s">
        <v>43</v>
      </c>
      <c r="B36" s="125"/>
      <c r="C36" s="3">
        <v>47</v>
      </c>
      <c r="D36" s="3">
        <v>23</v>
      </c>
      <c r="E36">
        <v>67</v>
      </c>
      <c r="F36" s="3">
        <v>7.133</v>
      </c>
      <c r="I36" s="12" t="s">
        <v>43</v>
      </c>
      <c r="J36" s="129"/>
      <c r="K36" s="23">
        <v>7.133</v>
      </c>
      <c r="L36" s="23"/>
      <c r="M36" s="24"/>
    </row>
    <row r="37" spans="1:13" ht="15.75" thickBot="1" x14ac:dyDescent="0.3">
      <c r="A37" s="49" t="s">
        <v>44</v>
      </c>
      <c r="B37" s="126"/>
      <c r="C37" s="3">
        <v>46</v>
      </c>
      <c r="D37" s="3">
        <v>26</v>
      </c>
      <c r="E37">
        <v>60</v>
      </c>
      <c r="F37" s="3">
        <v>10.72</v>
      </c>
      <c r="I37" s="12" t="s">
        <v>62</v>
      </c>
      <c r="J37" s="130"/>
      <c r="K37" s="23">
        <v>10.72</v>
      </c>
      <c r="L37" s="23"/>
      <c r="M37" s="24"/>
    </row>
    <row r="38" spans="1:13" ht="15.75" thickBot="1" x14ac:dyDescent="0.3">
      <c r="A38" s="49" t="s">
        <v>45</v>
      </c>
      <c r="B38" s="127" t="s">
        <v>46</v>
      </c>
      <c r="C38" s="3">
        <v>46</v>
      </c>
      <c r="D38" s="3">
        <v>22</v>
      </c>
      <c r="E38">
        <v>66</v>
      </c>
      <c r="F38" s="3">
        <v>20.466999999999999</v>
      </c>
      <c r="I38" s="16" t="s">
        <v>45</v>
      </c>
      <c r="J38" s="128" t="s">
        <v>46</v>
      </c>
      <c r="K38" s="28">
        <v>19</v>
      </c>
      <c r="L38" s="23"/>
      <c r="M38" s="24"/>
    </row>
    <row r="39" spans="1:13" ht="15.75" thickBot="1" x14ac:dyDescent="0.3">
      <c r="A39" s="50" t="s">
        <v>47</v>
      </c>
      <c r="B39" s="125"/>
      <c r="C39" s="4">
        <v>48</v>
      </c>
      <c r="D39" s="4">
        <v>19</v>
      </c>
      <c r="E39">
        <v>66</v>
      </c>
      <c r="F39" s="4">
        <v>20.367000000000001</v>
      </c>
      <c r="I39" s="18" t="s">
        <v>47</v>
      </c>
      <c r="J39" s="130"/>
      <c r="K39" s="38">
        <v>20</v>
      </c>
      <c r="L39" s="28"/>
      <c r="M39" s="24"/>
    </row>
    <row r="40" spans="1:13" ht="60.75" thickBot="1" x14ac:dyDescent="0.3">
      <c r="A40" s="8"/>
      <c r="B40" s="6"/>
      <c r="C40" s="6"/>
      <c r="D40" s="6"/>
      <c r="F40" s="6"/>
      <c r="I40" s="39" t="s">
        <v>63</v>
      </c>
      <c r="J40" s="40"/>
      <c r="K40" s="40"/>
      <c r="L40" s="40"/>
      <c r="M40" s="40"/>
    </row>
    <row r="41" spans="1:13" ht="15.75" thickBot="1" x14ac:dyDescent="0.3">
      <c r="A41" s="51" t="s">
        <v>48</v>
      </c>
      <c r="B41" s="124" t="s">
        <v>49</v>
      </c>
      <c r="C41" s="3">
        <v>47</v>
      </c>
      <c r="D41" s="3">
        <v>23</v>
      </c>
      <c r="E41">
        <v>65</v>
      </c>
      <c r="F41" s="3">
        <v>5.15</v>
      </c>
      <c r="I41" s="26" t="s">
        <v>48</v>
      </c>
      <c r="J41" s="128" t="s">
        <v>49</v>
      </c>
      <c r="K41" s="38">
        <v>6</v>
      </c>
      <c r="L41" s="23"/>
      <c r="M41" s="24"/>
    </row>
    <row r="42" spans="1:13" ht="15.75" thickBot="1" x14ac:dyDescent="0.3">
      <c r="A42" s="52" t="s">
        <v>50</v>
      </c>
      <c r="B42" s="125"/>
      <c r="C42" s="4">
        <v>47</v>
      </c>
      <c r="D42" s="4">
        <v>30</v>
      </c>
      <c r="E42">
        <v>66</v>
      </c>
      <c r="F42" s="4">
        <v>16.2</v>
      </c>
      <c r="I42" s="15" t="s">
        <v>50</v>
      </c>
      <c r="J42" s="130"/>
      <c r="K42" s="23">
        <v>16</v>
      </c>
      <c r="L42" s="28"/>
      <c r="M42" s="24"/>
    </row>
    <row r="43" spans="1:13" ht="15.75" thickBot="1" x14ac:dyDescent="0.3">
      <c r="A43" s="51" t="s">
        <v>51</v>
      </c>
      <c r="B43" s="124" t="s">
        <v>52</v>
      </c>
      <c r="C43" s="3">
        <v>48</v>
      </c>
      <c r="D43" s="3">
        <v>24</v>
      </c>
      <c r="E43">
        <v>67</v>
      </c>
      <c r="F43" s="3">
        <v>50.082999999999998</v>
      </c>
      <c r="I43" s="12" t="s">
        <v>51</v>
      </c>
      <c r="J43" s="131" t="s">
        <v>52</v>
      </c>
      <c r="K43" s="24">
        <v>49.666666666666664</v>
      </c>
      <c r="L43" s="23"/>
      <c r="M43" s="24"/>
    </row>
    <row r="44" spans="1:13" ht="15.75" thickBot="1" x14ac:dyDescent="0.3">
      <c r="A44" s="51" t="s">
        <v>53</v>
      </c>
      <c r="B44" s="125"/>
      <c r="C44" s="3">
        <v>54</v>
      </c>
      <c r="D44" s="3">
        <v>27</v>
      </c>
      <c r="E44">
        <v>78</v>
      </c>
      <c r="F44" s="3">
        <v>93.992999999999995</v>
      </c>
      <c r="I44" s="12" t="s">
        <v>53</v>
      </c>
      <c r="J44" s="129"/>
      <c r="K44" s="24">
        <v>122</v>
      </c>
      <c r="L44" s="23"/>
      <c r="M44" s="24"/>
    </row>
    <row r="45" spans="1:13" ht="15.75" thickBot="1" x14ac:dyDescent="0.3">
      <c r="A45" s="51" t="s">
        <v>54</v>
      </c>
      <c r="B45" s="125"/>
      <c r="C45" s="3">
        <v>50</v>
      </c>
      <c r="D45" s="3">
        <v>24</v>
      </c>
      <c r="E45">
        <v>74</v>
      </c>
      <c r="F45" s="3">
        <v>95.516999999999996</v>
      </c>
      <c r="I45" s="12" t="s">
        <v>54</v>
      </c>
      <c r="J45" s="129"/>
      <c r="K45" s="24">
        <v>130</v>
      </c>
      <c r="L45" s="23"/>
      <c r="M45" s="24"/>
    </row>
    <row r="46" spans="1:13" ht="15.75" thickBot="1" x14ac:dyDescent="0.3">
      <c r="A46" s="51" t="s">
        <v>55</v>
      </c>
      <c r="B46" s="125"/>
      <c r="C46" s="3">
        <v>58</v>
      </c>
      <c r="D46" s="3">
        <v>30</v>
      </c>
      <c r="E46">
        <v>81</v>
      </c>
      <c r="F46" s="3">
        <v>100.92</v>
      </c>
      <c r="I46" s="12" t="s">
        <v>55</v>
      </c>
      <c r="J46" s="129"/>
      <c r="K46" s="24">
        <v>142</v>
      </c>
      <c r="L46" s="23"/>
      <c r="M46" s="24"/>
    </row>
    <row r="47" spans="1:13" ht="15.75" thickBot="1" x14ac:dyDescent="0.3">
      <c r="A47" s="51" t="s">
        <v>56</v>
      </c>
      <c r="B47" s="126"/>
      <c r="C47" s="3">
        <v>57</v>
      </c>
      <c r="D47" s="3">
        <v>29</v>
      </c>
      <c r="E47">
        <v>81</v>
      </c>
      <c r="F47" s="3">
        <v>115.37</v>
      </c>
      <c r="I47" s="12" t="s">
        <v>56</v>
      </c>
      <c r="J47" s="130"/>
      <c r="K47" s="24">
        <v>146</v>
      </c>
      <c r="L47" s="23"/>
      <c r="M47" s="24"/>
    </row>
  </sheetData>
  <mergeCells count="24">
    <mergeCell ref="B38:B39"/>
    <mergeCell ref="B41:B42"/>
    <mergeCell ref="B43:B47"/>
    <mergeCell ref="B27:B29"/>
    <mergeCell ref="B30:B33"/>
    <mergeCell ref="B35:B37"/>
    <mergeCell ref="J43:J47"/>
    <mergeCell ref="J24:J25"/>
    <mergeCell ref="J27:J29"/>
    <mergeCell ref="J30:J33"/>
    <mergeCell ref="J35:J37"/>
    <mergeCell ref="J38:J39"/>
    <mergeCell ref="J41:J42"/>
    <mergeCell ref="B21:B23"/>
    <mergeCell ref="B24:B25"/>
    <mergeCell ref="B2:B6"/>
    <mergeCell ref="J2:J6"/>
    <mergeCell ref="J7:J11"/>
    <mergeCell ref="J13:J14"/>
    <mergeCell ref="J15:J19"/>
    <mergeCell ref="J21:J23"/>
    <mergeCell ref="B7:B11"/>
    <mergeCell ref="B13:B14"/>
    <mergeCell ref="B15:B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C1F9-8AC8-44A1-A52C-99383781214A}">
  <dimension ref="A1:C8"/>
  <sheetViews>
    <sheetView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72</v>
      </c>
      <c r="B1">
        <v>51</v>
      </c>
      <c r="C1">
        <v>55</v>
      </c>
    </row>
    <row r="2" spans="1:3" x14ac:dyDescent="0.25">
      <c r="B2">
        <v>46</v>
      </c>
      <c r="C2">
        <v>17</v>
      </c>
    </row>
    <row r="3" spans="1:3" x14ac:dyDescent="0.25">
      <c r="A3" t="s">
        <v>73</v>
      </c>
      <c r="B3">
        <v>118</v>
      </c>
      <c r="C3">
        <v>71</v>
      </c>
    </row>
    <row r="4" spans="1:3" x14ac:dyDescent="0.25">
      <c r="B4">
        <v>99</v>
      </c>
      <c r="C4">
        <v>33</v>
      </c>
    </row>
    <row r="5" spans="1:3" x14ac:dyDescent="0.25">
      <c r="A5" t="s">
        <v>74</v>
      </c>
      <c r="B5">
        <v>91</v>
      </c>
      <c r="C5">
        <v>79</v>
      </c>
    </row>
    <row r="6" spans="1:3" x14ac:dyDescent="0.25">
      <c r="B6">
        <v>145</v>
      </c>
      <c r="C6">
        <v>235</v>
      </c>
    </row>
    <row r="7" spans="1:3" x14ac:dyDescent="0.25">
      <c r="A7" t="s">
        <v>75</v>
      </c>
      <c r="B7">
        <v>108</v>
      </c>
      <c r="C7">
        <v>122</v>
      </c>
    </row>
    <row r="8" spans="1:3" x14ac:dyDescent="0.25">
      <c r="B8">
        <v>152</v>
      </c>
      <c r="C8">
        <v>311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FB23-EE5A-401F-B5CF-BBCB3443CCA0}">
  <dimension ref="A1:Q60"/>
  <sheetViews>
    <sheetView workbookViewId="0">
      <selection sqref="A1:XFD1048576"/>
    </sheetView>
  </sheetViews>
  <sheetFormatPr baseColWidth="10" defaultRowHeight="15" x14ac:dyDescent="0.25"/>
  <cols>
    <col min="12" max="12" width="11.42578125" style="117"/>
    <col min="13" max="13" width="12.140625" style="118" bestFit="1" customWidth="1"/>
    <col min="15" max="15" width="19" bestFit="1" customWidth="1"/>
  </cols>
  <sheetData>
    <row r="1" spans="1:17" ht="24.75" thickBot="1" x14ac:dyDescent="0.3">
      <c r="A1" s="55" t="s">
        <v>0</v>
      </c>
      <c r="B1" s="54" t="s">
        <v>1</v>
      </c>
      <c r="C1" s="5" t="s">
        <v>77</v>
      </c>
      <c r="D1" s="54" t="s">
        <v>2</v>
      </c>
      <c r="E1" s="5" t="s">
        <v>78</v>
      </c>
      <c r="F1" s="123">
        <v>209</v>
      </c>
      <c r="I1" s="134" t="s">
        <v>81</v>
      </c>
      <c r="J1" s="134"/>
      <c r="K1" s="134"/>
      <c r="L1" s="135"/>
      <c r="M1" s="118" t="s">
        <v>78</v>
      </c>
      <c r="N1" t="s">
        <v>79</v>
      </c>
      <c r="O1" t="s">
        <v>80</v>
      </c>
    </row>
    <row r="2" spans="1:17" x14ac:dyDescent="0.25">
      <c r="A2" s="59"/>
      <c r="B2" s="60"/>
      <c r="C2" s="60"/>
      <c r="D2" s="61">
        <f>$G$2</f>
        <v>0</v>
      </c>
      <c r="F2" s="60">
        <v>450</v>
      </c>
      <c r="G2" s="61">
        <v>0</v>
      </c>
      <c r="I2" t="s">
        <v>82</v>
      </c>
      <c r="O2" t="e">
        <f>$Q$2/N2</f>
        <v>#DIV/0!</v>
      </c>
      <c r="P2" t="e">
        <f>N2*O2</f>
        <v>#DIV/0!</v>
      </c>
      <c r="Q2" s="123">
        <f xml:space="preserve"> -2.2236*Q3 + 3822.1</f>
        <v>3357.3676</v>
      </c>
    </row>
    <row r="3" spans="1:17" x14ac:dyDescent="0.25">
      <c r="A3" s="62" t="s">
        <v>5</v>
      </c>
      <c r="B3" s="119" t="s">
        <v>6</v>
      </c>
      <c r="C3" s="120"/>
      <c r="D3" s="121">
        <v>28.1</v>
      </c>
      <c r="I3" t="s">
        <v>83</v>
      </c>
      <c r="O3" t="e">
        <f t="shared" ref="O3:O32" si="0">$Q$2/N3</f>
        <v>#DIV/0!</v>
      </c>
      <c r="P3" t="e">
        <f t="shared" ref="P3:P32" si="1">N3*O3</f>
        <v>#DIV/0!</v>
      </c>
      <c r="Q3">
        <v>209</v>
      </c>
    </row>
    <row r="4" spans="1:17" x14ac:dyDescent="0.25">
      <c r="A4" s="62" t="s">
        <v>7</v>
      </c>
      <c r="B4" s="122"/>
      <c r="C4" s="120"/>
      <c r="D4" s="121">
        <v>63.911000000000001</v>
      </c>
      <c r="O4" t="e">
        <f t="shared" si="0"/>
        <v>#DIV/0!</v>
      </c>
      <c r="P4" t="e">
        <f t="shared" si="1"/>
        <v>#DIV/0!</v>
      </c>
    </row>
    <row r="5" spans="1:17" x14ac:dyDescent="0.25">
      <c r="A5" s="62" t="s">
        <v>8</v>
      </c>
      <c r="B5" s="122"/>
      <c r="C5" s="120"/>
      <c r="D5" s="121">
        <v>69.921999999999997</v>
      </c>
      <c r="O5" t="e">
        <f t="shared" si="0"/>
        <v>#DIV/0!</v>
      </c>
      <c r="P5" t="e">
        <f t="shared" si="1"/>
        <v>#DIV/0!</v>
      </c>
    </row>
    <row r="6" spans="1:17" x14ac:dyDescent="0.25">
      <c r="A6" s="62" t="s">
        <v>9</v>
      </c>
      <c r="B6" s="122"/>
      <c r="C6" s="120"/>
      <c r="D6" s="121">
        <v>96.744</v>
      </c>
      <c r="O6" t="e">
        <f t="shared" si="0"/>
        <v>#DIV/0!</v>
      </c>
      <c r="P6" t="e">
        <f t="shared" si="1"/>
        <v>#DIV/0!</v>
      </c>
    </row>
    <row r="7" spans="1:17" x14ac:dyDescent="0.25">
      <c r="A7" s="62" t="s">
        <v>10</v>
      </c>
      <c r="B7" s="122"/>
      <c r="C7" s="120"/>
      <c r="D7" s="121">
        <v>128.11000000000001</v>
      </c>
      <c r="G7">
        <f>0.0000000809*G8*G8*G8 - 0.0002744028*G8*G8 + 0.4086071142*G8 - 140.29</f>
        <v>53.021156573500065</v>
      </c>
      <c r="O7" t="e">
        <f t="shared" si="0"/>
        <v>#DIV/0!</v>
      </c>
      <c r="P7" t="e">
        <f t="shared" si="1"/>
        <v>#DIV/0!</v>
      </c>
    </row>
    <row r="8" spans="1:17" ht="15.75" thickBot="1" x14ac:dyDescent="0.3">
      <c r="A8" s="64"/>
      <c r="B8" s="65"/>
      <c r="C8" s="66"/>
      <c r="D8" s="67">
        <v>800</v>
      </c>
      <c r="G8">
        <v>805</v>
      </c>
      <c r="O8" t="e">
        <f t="shared" si="0"/>
        <v>#DIV/0!</v>
      </c>
      <c r="P8" t="e">
        <f t="shared" si="1"/>
        <v>#DIV/0!</v>
      </c>
    </row>
    <row r="9" spans="1:17" x14ac:dyDescent="0.25">
      <c r="A9" s="68"/>
      <c r="B9" s="69"/>
      <c r="C9" s="60"/>
      <c r="D9" s="61">
        <v>0</v>
      </c>
      <c r="O9" t="e">
        <f t="shared" si="0"/>
        <v>#DIV/0!</v>
      </c>
      <c r="P9" t="e">
        <f t="shared" si="1"/>
        <v>#DIV/0!</v>
      </c>
    </row>
    <row r="10" spans="1:17" x14ac:dyDescent="0.25">
      <c r="A10" s="62" t="s">
        <v>11</v>
      </c>
      <c r="B10" s="119" t="s">
        <v>12</v>
      </c>
      <c r="C10" s="120"/>
      <c r="D10" s="121">
        <v>207.78</v>
      </c>
      <c r="O10" t="e">
        <f t="shared" si="0"/>
        <v>#DIV/0!</v>
      </c>
      <c r="P10" t="e">
        <f t="shared" si="1"/>
        <v>#DIV/0!</v>
      </c>
    </row>
    <row r="11" spans="1:17" x14ac:dyDescent="0.25">
      <c r="A11" s="62" t="s">
        <v>13</v>
      </c>
      <c r="B11" s="122"/>
      <c r="C11" s="120"/>
      <c r="D11" s="121">
        <v>444.11</v>
      </c>
      <c r="O11" t="e">
        <f t="shared" si="0"/>
        <v>#DIV/0!</v>
      </c>
      <c r="P11" t="e">
        <f t="shared" si="1"/>
        <v>#DIV/0!</v>
      </c>
    </row>
    <row r="12" spans="1:17" x14ac:dyDescent="0.25">
      <c r="A12" s="62" t="s">
        <v>14</v>
      </c>
      <c r="B12" s="122"/>
      <c r="C12" s="120"/>
      <c r="D12" s="121">
        <v>579.55999999999995</v>
      </c>
      <c r="O12" t="e">
        <f t="shared" si="0"/>
        <v>#DIV/0!</v>
      </c>
      <c r="P12" t="e">
        <f t="shared" si="1"/>
        <v>#DIV/0!</v>
      </c>
    </row>
    <row r="13" spans="1:17" x14ac:dyDescent="0.25">
      <c r="A13" s="62" t="s">
        <v>15</v>
      </c>
      <c r="B13" s="122"/>
      <c r="C13" s="120"/>
      <c r="D13" s="121">
        <v>746.22</v>
      </c>
      <c r="O13" t="e">
        <f t="shared" si="0"/>
        <v>#DIV/0!</v>
      </c>
      <c r="P13" t="e">
        <f t="shared" si="1"/>
        <v>#DIV/0!</v>
      </c>
    </row>
    <row r="14" spans="1:17" x14ac:dyDescent="0.25">
      <c r="A14" s="62" t="s">
        <v>16</v>
      </c>
      <c r="B14" s="122"/>
      <c r="C14" s="120"/>
      <c r="D14" s="121">
        <v>869.5</v>
      </c>
      <c r="O14" t="e">
        <f t="shared" si="0"/>
        <v>#DIV/0!</v>
      </c>
      <c r="P14" t="e">
        <f t="shared" si="1"/>
        <v>#DIV/0!</v>
      </c>
    </row>
    <row r="15" spans="1:17" ht="15.75" thickBot="1" x14ac:dyDescent="0.3">
      <c r="A15" s="64"/>
      <c r="B15" s="65"/>
      <c r="C15" s="66"/>
      <c r="D15" s="67"/>
      <c r="P15">
        <f t="shared" si="1"/>
        <v>0</v>
      </c>
    </row>
    <row r="16" spans="1:17" x14ac:dyDescent="0.25">
      <c r="A16" s="70"/>
      <c r="B16" s="71"/>
      <c r="C16" s="72"/>
      <c r="D16" s="73">
        <v>0</v>
      </c>
      <c r="O16" t="e">
        <f t="shared" si="0"/>
        <v>#DIV/0!</v>
      </c>
      <c r="P16" t="e">
        <f t="shared" si="1"/>
        <v>#DIV/0!</v>
      </c>
    </row>
    <row r="17" spans="1:16" x14ac:dyDescent="0.25">
      <c r="A17" s="74" t="s">
        <v>17</v>
      </c>
      <c r="B17" s="56" t="s">
        <v>18</v>
      </c>
      <c r="C17" s="53"/>
      <c r="D17" s="63">
        <v>88.4</v>
      </c>
      <c r="O17" t="e">
        <f t="shared" si="0"/>
        <v>#DIV/0!</v>
      </c>
      <c r="P17" t="e">
        <f t="shared" si="1"/>
        <v>#DIV/0!</v>
      </c>
    </row>
    <row r="18" spans="1:16" x14ac:dyDescent="0.25">
      <c r="A18" s="74" t="s">
        <v>19</v>
      </c>
      <c r="B18" s="58"/>
      <c r="C18" s="53"/>
      <c r="D18" s="63">
        <v>94.6</v>
      </c>
      <c r="O18" t="e">
        <f t="shared" si="0"/>
        <v>#DIV/0!</v>
      </c>
      <c r="P18" t="e">
        <f t="shared" si="1"/>
        <v>#DIV/0!</v>
      </c>
    </row>
    <row r="19" spans="1:16" ht="15.75" thickBot="1" x14ac:dyDescent="0.3">
      <c r="A19" s="75"/>
      <c r="B19" s="76"/>
      <c r="C19" s="77"/>
      <c r="D19" s="78">
        <v>800</v>
      </c>
      <c r="O19" t="e">
        <f t="shared" si="0"/>
        <v>#DIV/0!</v>
      </c>
      <c r="P19" t="e">
        <f t="shared" si="1"/>
        <v>#DIV/0!</v>
      </c>
    </row>
    <row r="20" spans="1:16" x14ac:dyDescent="0.25">
      <c r="A20" s="79"/>
      <c r="B20" s="71"/>
      <c r="C20" s="72"/>
      <c r="D20" s="80">
        <v>0</v>
      </c>
      <c r="O20" t="e">
        <f t="shared" si="0"/>
        <v>#DIV/0!</v>
      </c>
      <c r="P20" t="e">
        <f t="shared" si="1"/>
        <v>#DIV/0!</v>
      </c>
    </row>
    <row r="21" spans="1:16" x14ac:dyDescent="0.25">
      <c r="A21" s="74" t="s">
        <v>20</v>
      </c>
      <c r="B21" s="56" t="s">
        <v>21</v>
      </c>
      <c r="C21" s="53"/>
      <c r="D21" s="63">
        <v>271.44400000000002</v>
      </c>
      <c r="O21" t="e">
        <f t="shared" si="0"/>
        <v>#DIV/0!</v>
      </c>
      <c r="P21" t="e">
        <f t="shared" si="1"/>
        <v>#DIV/0!</v>
      </c>
    </row>
    <row r="22" spans="1:16" x14ac:dyDescent="0.25">
      <c r="A22" s="74" t="s">
        <v>22</v>
      </c>
      <c r="B22" s="58"/>
      <c r="C22" s="53"/>
      <c r="D22" s="63">
        <v>550.22199999999998</v>
      </c>
      <c r="O22" t="e">
        <f t="shared" si="0"/>
        <v>#DIV/0!</v>
      </c>
      <c r="P22" t="e">
        <f t="shared" si="1"/>
        <v>#DIV/0!</v>
      </c>
    </row>
    <row r="23" spans="1:16" x14ac:dyDescent="0.25">
      <c r="A23" s="74" t="s">
        <v>23</v>
      </c>
      <c r="B23" s="58"/>
      <c r="C23" s="53"/>
      <c r="D23" s="63">
        <v>609</v>
      </c>
      <c r="O23" t="e">
        <f t="shared" si="0"/>
        <v>#DIV/0!</v>
      </c>
      <c r="P23" t="e">
        <f t="shared" si="1"/>
        <v>#DIV/0!</v>
      </c>
    </row>
    <row r="24" spans="1:16" x14ac:dyDescent="0.25">
      <c r="A24" s="74" t="s">
        <v>24</v>
      </c>
      <c r="B24" s="58"/>
      <c r="C24" s="53"/>
      <c r="D24" s="63">
        <v>739.11099999999999</v>
      </c>
      <c r="O24" t="e">
        <f t="shared" si="0"/>
        <v>#DIV/0!</v>
      </c>
      <c r="P24" t="e">
        <f t="shared" si="1"/>
        <v>#DIV/0!</v>
      </c>
    </row>
    <row r="25" spans="1:16" x14ac:dyDescent="0.25">
      <c r="A25" s="74" t="s">
        <v>25</v>
      </c>
      <c r="B25" s="58"/>
      <c r="C25" s="53"/>
      <c r="D25" s="63">
        <v>746.88900000000001</v>
      </c>
      <c r="O25" t="e">
        <f t="shared" si="0"/>
        <v>#DIV/0!</v>
      </c>
      <c r="P25" t="e">
        <f t="shared" si="1"/>
        <v>#DIV/0!</v>
      </c>
    </row>
    <row r="26" spans="1:16" ht="15.75" thickBot="1" x14ac:dyDescent="0.3">
      <c r="A26" s="75"/>
      <c r="B26" s="76"/>
      <c r="C26" s="77"/>
      <c r="D26" s="78">
        <v>800</v>
      </c>
      <c r="O26" t="e">
        <f t="shared" si="0"/>
        <v>#DIV/0!</v>
      </c>
      <c r="P26" t="e">
        <f t="shared" si="1"/>
        <v>#DIV/0!</v>
      </c>
    </row>
    <row r="27" spans="1:16" x14ac:dyDescent="0.25">
      <c r="A27" s="81"/>
      <c r="B27" s="82"/>
      <c r="C27" s="83"/>
      <c r="D27" s="84">
        <v>0</v>
      </c>
      <c r="O27" t="e">
        <f t="shared" si="0"/>
        <v>#DIV/0!</v>
      </c>
      <c r="P27" t="e">
        <f t="shared" si="1"/>
        <v>#DIV/0!</v>
      </c>
    </row>
    <row r="28" spans="1:16" x14ac:dyDescent="0.25">
      <c r="A28" s="85" t="s">
        <v>26</v>
      </c>
      <c r="B28" s="56" t="s">
        <v>27</v>
      </c>
      <c r="C28" s="53"/>
      <c r="D28" s="63">
        <v>19.36</v>
      </c>
      <c r="O28" t="e">
        <f t="shared" si="0"/>
        <v>#DIV/0!</v>
      </c>
      <c r="P28" t="e">
        <f t="shared" si="1"/>
        <v>#DIV/0!</v>
      </c>
    </row>
    <row r="29" spans="1:16" x14ac:dyDescent="0.25">
      <c r="A29" s="85" t="s">
        <v>28</v>
      </c>
      <c r="B29" s="58"/>
      <c r="C29" s="53"/>
      <c r="D29" s="63">
        <v>33.31</v>
      </c>
      <c r="O29" t="e">
        <f t="shared" si="0"/>
        <v>#DIV/0!</v>
      </c>
      <c r="P29" t="e">
        <f t="shared" si="1"/>
        <v>#DIV/0!</v>
      </c>
    </row>
    <row r="30" spans="1:16" x14ac:dyDescent="0.25">
      <c r="A30" s="85" t="s">
        <v>29</v>
      </c>
      <c r="B30" s="58"/>
      <c r="C30" s="53"/>
      <c r="D30" s="63">
        <v>41.74</v>
      </c>
      <c r="O30" t="e">
        <f t="shared" si="0"/>
        <v>#DIV/0!</v>
      </c>
      <c r="P30" t="e">
        <f t="shared" si="1"/>
        <v>#DIV/0!</v>
      </c>
    </row>
    <row r="31" spans="1:16" x14ac:dyDescent="0.25">
      <c r="A31" s="85" t="s">
        <v>30</v>
      </c>
      <c r="B31" s="56" t="s">
        <v>31</v>
      </c>
      <c r="C31" s="53"/>
      <c r="D31" s="63">
        <v>204.5</v>
      </c>
      <c r="O31" t="e">
        <f t="shared" si="0"/>
        <v>#DIV/0!</v>
      </c>
      <c r="P31" t="e">
        <f t="shared" si="1"/>
        <v>#DIV/0!</v>
      </c>
    </row>
    <row r="32" spans="1:16" x14ac:dyDescent="0.25">
      <c r="A32" s="85" t="s">
        <v>32</v>
      </c>
      <c r="B32" s="58"/>
      <c r="C32" s="53"/>
      <c r="D32" s="63">
        <v>277.7</v>
      </c>
      <c r="O32" t="e">
        <f t="shared" si="0"/>
        <v>#DIV/0!</v>
      </c>
      <c r="P32" t="e">
        <f t="shared" si="1"/>
        <v>#DIV/0!</v>
      </c>
    </row>
    <row r="33" spans="1:4" ht="15.75" thickBot="1" x14ac:dyDescent="0.3">
      <c r="A33" s="86"/>
      <c r="B33" s="87"/>
      <c r="C33" s="88"/>
      <c r="D33" s="89">
        <v>800</v>
      </c>
    </row>
    <row r="34" spans="1:4" x14ac:dyDescent="0.25">
      <c r="A34" s="90"/>
      <c r="B34" s="91"/>
      <c r="C34" s="92"/>
      <c r="D34" s="93">
        <v>0</v>
      </c>
    </row>
    <row r="35" spans="1:4" x14ac:dyDescent="0.25">
      <c r="A35" s="94" t="s">
        <v>32</v>
      </c>
      <c r="B35" s="56" t="s">
        <v>33</v>
      </c>
      <c r="C35" s="53"/>
      <c r="D35" s="63">
        <v>10.283300000000001</v>
      </c>
    </row>
    <row r="36" spans="1:4" x14ac:dyDescent="0.25">
      <c r="A36" s="94" t="s">
        <v>34</v>
      </c>
      <c r="B36" s="58"/>
      <c r="C36" s="53"/>
      <c r="D36" s="63">
        <v>11.8833</v>
      </c>
    </row>
    <row r="37" spans="1:4" x14ac:dyDescent="0.25">
      <c r="A37" s="94" t="s">
        <v>35</v>
      </c>
      <c r="B37" s="58"/>
      <c r="C37" s="53"/>
      <c r="D37" s="63">
        <v>17.433299999999999</v>
      </c>
    </row>
    <row r="38" spans="1:4" ht="15.75" thickBot="1" x14ac:dyDescent="0.3">
      <c r="A38" s="95"/>
      <c r="B38" s="96"/>
      <c r="C38" s="97"/>
      <c r="D38" s="98">
        <v>800</v>
      </c>
    </row>
    <row r="39" spans="1:4" x14ac:dyDescent="0.25">
      <c r="A39" s="99"/>
      <c r="B39" s="91"/>
      <c r="C39" s="92"/>
      <c r="D39" s="100">
        <v>0</v>
      </c>
    </row>
    <row r="40" spans="1:4" x14ac:dyDescent="0.25">
      <c r="A40" s="94" t="s">
        <v>36</v>
      </c>
      <c r="B40" s="56" t="s">
        <v>37</v>
      </c>
      <c r="C40" s="57"/>
      <c r="D40" s="63">
        <v>117.467</v>
      </c>
    </row>
    <row r="41" spans="1:4" x14ac:dyDescent="0.25">
      <c r="A41" s="94" t="s">
        <v>38</v>
      </c>
      <c r="B41" s="58"/>
      <c r="C41" s="57"/>
      <c r="D41" s="63">
        <v>187.833</v>
      </c>
    </row>
    <row r="42" spans="1:4" x14ac:dyDescent="0.25">
      <c r="A42" s="94" t="s">
        <v>39</v>
      </c>
      <c r="B42" s="58"/>
      <c r="C42" s="57"/>
      <c r="D42" s="63">
        <v>218.333</v>
      </c>
    </row>
    <row r="43" spans="1:4" x14ac:dyDescent="0.25">
      <c r="A43" s="94" t="s">
        <v>40</v>
      </c>
      <c r="B43" s="58"/>
      <c r="C43" s="57"/>
      <c r="D43" s="63">
        <v>238.5</v>
      </c>
    </row>
    <row r="44" spans="1:4" ht="15.75" thickBot="1" x14ac:dyDescent="0.3">
      <c r="A44" s="95"/>
      <c r="B44" s="96"/>
      <c r="C44" s="101"/>
      <c r="D44" s="98">
        <v>800</v>
      </c>
    </row>
    <row r="45" spans="1:4" x14ac:dyDescent="0.25">
      <c r="A45" s="102"/>
      <c r="B45" s="103"/>
      <c r="C45" s="103"/>
      <c r="D45" s="104">
        <v>0</v>
      </c>
    </row>
    <row r="46" spans="1:4" x14ac:dyDescent="0.25">
      <c r="A46" s="105" t="s">
        <v>41</v>
      </c>
      <c r="B46" s="56" t="s">
        <v>42</v>
      </c>
      <c r="C46" s="57"/>
      <c r="D46" s="63">
        <v>2</v>
      </c>
    </row>
    <row r="47" spans="1:4" x14ac:dyDescent="0.25">
      <c r="A47" s="105" t="s">
        <v>43</v>
      </c>
      <c r="B47" s="58"/>
      <c r="C47" s="57"/>
      <c r="D47" s="63">
        <v>7.133</v>
      </c>
    </row>
    <row r="48" spans="1:4" x14ac:dyDescent="0.25">
      <c r="A48" s="105" t="s">
        <v>44</v>
      </c>
      <c r="B48" s="58"/>
      <c r="C48" s="57"/>
      <c r="D48" s="63">
        <v>10.72</v>
      </c>
    </row>
    <row r="49" spans="1:4" x14ac:dyDescent="0.25">
      <c r="A49" s="105" t="s">
        <v>45</v>
      </c>
      <c r="B49" s="56" t="s">
        <v>46</v>
      </c>
      <c r="C49" s="57"/>
      <c r="D49" s="63">
        <v>20.466999999999999</v>
      </c>
    </row>
    <row r="50" spans="1:4" x14ac:dyDescent="0.25">
      <c r="A50" s="105" t="s">
        <v>47</v>
      </c>
      <c r="B50" s="58"/>
      <c r="C50" s="57"/>
      <c r="D50" s="63">
        <v>20.367000000000001</v>
      </c>
    </row>
    <row r="51" spans="1:4" ht="15.75" thickBot="1" x14ac:dyDescent="0.3">
      <c r="A51" s="106"/>
      <c r="B51" s="107"/>
      <c r="C51" s="108"/>
      <c r="D51" s="109">
        <v>800</v>
      </c>
    </row>
    <row r="52" spans="1:4" x14ac:dyDescent="0.25">
      <c r="A52" s="110"/>
      <c r="B52" s="111"/>
      <c r="C52" s="111"/>
      <c r="D52" s="112">
        <v>0</v>
      </c>
    </row>
    <row r="53" spans="1:4" x14ac:dyDescent="0.25">
      <c r="A53" s="113" t="s">
        <v>48</v>
      </c>
      <c r="B53" s="56" t="s">
        <v>49</v>
      </c>
      <c r="C53" s="57"/>
      <c r="D53" s="63">
        <v>5.15</v>
      </c>
    </row>
    <row r="54" spans="1:4" x14ac:dyDescent="0.25">
      <c r="A54" s="113" t="s">
        <v>50</v>
      </c>
      <c r="B54" s="58"/>
      <c r="C54" s="57"/>
      <c r="D54" s="63">
        <v>16.2</v>
      </c>
    </row>
    <row r="55" spans="1:4" x14ac:dyDescent="0.25">
      <c r="A55" s="113" t="s">
        <v>51</v>
      </c>
      <c r="B55" s="56" t="s">
        <v>52</v>
      </c>
      <c r="C55" s="57"/>
      <c r="D55" s="63">
        <v>50.082999999999998</v>
      </c>
    </row>
    <row r="56" spans="1:4" x14ac:dyDescent="0.25">
      <c r="A56" s="113" t="s">
        <v>53</v>
      </c>
      <c r="B56" s="58"/>
      <c r="C56" s="57"/>
      <c r="D56" s="63">
        <v>93.992999999999995</v>
      </c>
    </row>
    <row r="57" spans="1:4" x14ac:dyDescent="0.25">
      <c r="A57" s="113" t="s">
        <v>54</v>
      </c>
      <c r="B57" s="58"/>
      <c r="C57" s="57"/>
      <c r="D57" s="63">
        <v>95.516999999999996</v>
      </c>
    </row>
    <row r="58" spans="1:4" x14ac:dyDescent="0.25">
      <c r="A58" s="113" t="s">
        <v>55</v>
      </c>
      <c r="B58" s="58"/>
      <c r="C58" s="57"/>
      <c r="D58" s="63">
        <v>100.92</v>
      </c>
    </row>
    <row r="59" spans="1:4" x14ac:dyDescent="0.25">
      <c r="A59" s="113" t="s">
        <v>56</v>
      </c>
      <c r="B59" s="58"/>
      <c r="C59" s="57"/>
      <c r="D59" s="63">
        <v>115.37</v>
      </c>
    </row>
    <row r="60" spans="1:4" ht="15.75" thickBot="1" x14ac:dyDescent="0.3">
      <c r="A60" s="114"/>
      <c r="B60" s="115"/>
      <c r="C60" s="115"/>
      <c r="D60" s="116">
        <v>800</v>
      </c>
    </row>
  </sheetData>
  <mergeCells count="1">
    <mergeCell ref="I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CAE-6073-4466-AEE5-E0FD5D1F0CD4}">
  <dimension ref="A1:Q60"/>
  <sheetViews>
    <sheetView topLeftCell="A7" zoomScale="115" zoomScaleNormal="115" workbookViewId="0">
      <selection sqref="A1:XFD1048576"/>
    </sheetView>
  </sheetViews>
  <sheetFormatPr baseColWidth="10" defaultRowHeight="15" x14ac:dyDescent="0.25"/>
  <cols>
    <col min="12" max="12" width="11.42578125" style="117"/>
    <col min="13" max="13" width="12.140625" style="118" bestFit="1" customWidth="1"/>
    <col min="15" max="15" width="19" bestFit="1" customWidth="1"/>
  </cols>
  <sheetData>
    <row r="1" spans="1:17" ht="24.75" thickBot="1" x14ac:dyDescent="0.3">
      <c r="A1" s="55" t="s">
        <v>0</v>
      </c>
      <c r="B1" s="54" t="s">
        <v>1</v>
      </c>
      <c r="C1" s="5" t="s">
        <v>77</v>
      </c>
      <c r="D1" s="54" t="s">
        <v>2</v>
      </c>
      <c r="E1" s="5" t="s">
        <v>78</v>
      </c>
      <c r="F1" s="123">
        <v>209</v>
      </c>
      <c r="I1" s="134" t="s">
        <v>81</v>
      </c>
      <c r="J1" s="134"/>
      <c r="K1" s="134"/>
      <c r="L1" s="135"/>
      <c r="M1" s="118" t="s">
        <v>78</v>
      </c>
      <c r="N1" t="s">
        <v>79</v>
      </c>
      <c r="O1" t="s">
        <v>80</v>
      </c>
    </row>
    <row r="2" spans="1:17" x14ac:dyDescent="0.25">
      <c r="A2" s="59"/>
      <c r="B2" s="60"/>
      <c r="C2" s="60">
        <f>$F$2</f>
        <v>450</v>
      </c>
      <c r="D2" s="61">
        <f>$G$2</f>
        <v>0</v>
      </c>
      <c r="F2" s="60">
        <v>450</v>
      </c>
      <c r="G2" s="61">
        <v>0</v>
      </c>
      <c r="I2" t="s">
        <v>82</v>
      </c>
      <c r="M2" s="118">
        <v>224</v>
      </c>
      <c r="N2">
        <v>3278</v>
      </c>
      <c r="O2">
        <f>$Q$2/N2</f>
        <v>1.0242122025625382</v>
      </c>
      <c r="P2">
        <f>N2*O2</f>
        <v>3357.3676</v>
      </c>
      <c r="Q2" s="123">
        <f xml:space="preserve"> -2.2236*Q3 + 3822.1</f>
        <v>3357.3676</v>
      </c>
    </row>
    <row r="3" spans="1:17" x14ac:dyDescent="0.25">
      <c r="A3" s="62" t="s">
        <v>5</v>
      </c>
      <c r="B3" s="119" t="s">
        <v>6</v>
      </c>
      <c r="C3" s="120">
        <v>800</v>
      </c>
      <c r="D3" s="121">
        <v>28.1</v>
      </c>
      <c r="I3" t="s">
        <v>83</v>
      </c>
      <c r="M3" s="118">
        <v>226</v>
      </c>
      <c r="N3">
        <v>3271</v>
      </c>
      <c r="O3">
        <f t="shared" ref="O3:O32" si="0">$Q$2/N3</f>
        <v>1.0264040354631612</v>
      </c>
      <c r="P3">
        <f t="shared" ref="P3:P32" si="1">N3*O3</f>
        <v>3357.3676</v>
      </c>
      <c r="Q3">
        <v>209</v>
      </c>
    </row>
    <row r="4" spans="1:17" x14ac:dyDescent="0.25">
      <c r="A4" s="62" t="s">
        <v>7</v>
      </c>
      <c r="B4" s="122"/>
      <c r="C4" s="120">
        <v>850</v>
      </c>
      <c r="D4" s="121">
        <v>63.911000000000001</v>
      </c>
      <c r="M4" s="118">
        <v>288</v>
      </c>
      <c r="N4">
        <v>3162</v>
      </c>
      <c r="O4">
        <f t="shared" si="0"/>
        <v>1.0617860847564833</v>
      </c>
      <c r="P4">
        <f t="shared" si="1"/>
        <v>3357.3676</v>
      </c>
    </row>
    <row r="5" spans="1:17" x14ac:dyDescent="0.25">
      <c r="A5" s="62" t="s">
        <v>8</v>
      </c>
      <c r="B5" s="122"/>
      <c r="C5" s="120">
        <v>908</v>
      </c>
      <c r="D5" s="121">
        <v>69.921999999999997</v>
      </c>
      <c r="M5" s="118">
        <v>300</v>
      </c>
      <c r="N5">
        <v>3138</v>
      </c>
      <c r="O5">
        <f t="shared" si="0"/>
        <v>1.0699068196303378</v>
      </c>
      <c r="P5">
        <f t="shared" si="1"/>
        <v>3357.3676</v>
      </c>
    </row>
    <row r="6" spans="1:17" x14ac:dyDescent="0.25">
      <c r="A6" s="62" t="s">
        <v>9</v>
      </c>
      <c r="B6" s="122"/>
      <c r="C6" s="120">
        <v>1081</v>
      </c>
      <c r="D6" s="121">
        <v>96.744</v>
      </c>
      <c r="M6" s="118">
        <v>317</v>
      </c>
      <c r="N6">
        <v>3091</v>
      </c>
      <c r="O6">
        <f t="shared" si="0"/>
        <v>1.0861752183759301</v>
      </c>
      <c r="P6">
        <f t="shared" si="1"/>
        <v>3357.3676</v>
      </c>
    </row>
    <row r="7" spans="1:17" x14ac:dyDescent="0.25">
      <c r="A7" s="62" t="s">
        <v>10</v>
      </c>
      <c r="B7" s="122"/>
      <c r="C7" s="120">
        <v>1534</v>
      </c>
      <c r="D7" s="121">
        <v>128.11000000000001</v>
      </c>
      <c r="G7">
        <f>0.0000000809*G8*G8*G8 - 0.0002744028*G8*G8 + 0.4086071142*G8 - 140.29</f>
        <v>53.021156573500065</v>
      </c>
      <c r="M7" s="118">
        <v>340</v>
      </c>
      <c r="N7">
        <v>3052</v>
      </c>
      <c r="O7">
        <f t="shared" si="0"/>
        <v>1.1000549148099608</v>
      </c>
      <c r="P7">
        <f t="shared" si="1"/>
        <v>3357.3676</v>
      </c>
    </row>
    <row r="8" spans="1:17" ht="15.75" thickBot="1" x14ac:dyDescent="0.3">
      <c r="A8" s="64"/>
      <c r="B8" s="65"/>
      <c r="C8" s="66">
        <v>3000</v>
      </c>
      <c r="D8" s="67">
        <v>800</v>
      </c>
      <c r="G8">
        <v>805</v>
      </c>
      <c r="M8" s="118">
        <v>363</v>
      </c>
      <c r="N8">
        <v>3020</v>
      </c>
      <c r="O8">
        <f t="shared" si="0"/>
        <v>1.1117111258278145</v>
      </c>
      <c r="P8">
        <f t="shared" si="1"/>
        <v>3357.3675999999996</v>
      </c>
    </row>
    <row r="9" spans="1:17" x14ac:dyDescent="0.25">
      <c r="A9" s="68"/>
      <c r="B9" s="69"/>
      <c r="C9" s="60">
        <f>$F$2</f>
        <v>450</v>
      </c>
      <c r="D9" s="61">
        <v>0</v>
      </c>
      <c r="M9" s="118">
        <v>362</v>
      </c>
      <c r="N9">
        <v>3010</v>
      </c>
      <c r="O9">
        <f t="shared" si="0"/>
        <v>1.1154045182724253</v>
      </c>
      <c r="P9">
        <f t="shared" si="1"/>
        <v>3357.3676</v>
      </c>
    </row>
    <row r="10" spans="1:17" x14ac:dyDescent="0.25">
      <c r="A10" s="62" t="s">
        <v>11</v>
      </c>
      <c r="B10" s="119" t="s">
        <v>12</v>
      </c>
      <c r="C10" s="120">
        <v>1071</v>
      </c>
      <c r="D10" s="121">
        <v>207.78</v>
      </c>
      <c r="M10" s="118">
        <v>370</v>
      </c>
      <c r="N10">
        <v>2956</v>
      </c>
      <c r="O10">
        <f t="shared" si="0"/>
        <v>1.1357806495263871</v>
      </c>
      <c r="P10">
        <f t="shared" si="1"/>
        <v>3357.3676000000005</v>
      </c>
    </row>
    <row r="11" spans="1:17" x14ac:dyDescent="0.25">
      <c r="A11" s="62" t="s">
        <v>13</v>
      </c>
      <c r="B11" s="122"/>
      <c r="C11" s="120">
        <v>1430</v>
      </c>
      <c r="D11" s="121">
        <v>444.11</v>
      </c>
      <c r="M11" s="118">
        <v>399</v>
      </c>
      <c r="N11">
        <v>2898</v>
      </c>
      <c r="O11">
        <f t="shared" si="0"/>
        <v>1.1585119392684611</v>
      </c>
      <c r="P11">
        <f t="shared" si="1"/>
        <v>3357.3676</v>
      </c>
    </row>
    <row r="12" spans="1:17" x14ac:dyDescent="0.25">
      <c r="A12" s="62" t="s">
        <v>14</v>
      </c>
      <c r="B12" s="122"/>
      <c r="C12" s="120">
        <v>1646</v>
      </c>
      <c r="D12" s="121">
        <v>579.55999999999995</v>
      </c>
      <c r="M12" s="118">
        <v>175</v>
      </c>
      <c r="N12">
        <v>3452</v>
      </c>
      <c r="O12">
        <f t="shared" si="0"/>
        <v>0.9725862108922364</v>
      </c>
      <c r="P12">
        <f t="shared" si="1"/>
        <v>3357.3676</v>
      </c>
    </row>
    <row r="13" spans="1:17" x14ac:dyDescent="0.25">
      <c r="A13" s="62" t="s">
        <v>15</v>
      </c>
      <c r="B13" s="122"/>
      <c r="C13" s="120">
        <v>2531</v>
      </c>
      <c r="D13" s="121">
        <v>746.22</v>
      </c>
      <c r="M13" s="118">
        <v>192</v>
      </c>
      <c r="N13">
        <v>3420</v>
      </c>
      <c r="O13">
        <f t="shared" si="0"/>
        <v>0.98168643274853806</v>
      </c>
      <c r="P13">
        <f t="shared" si="1"/>
        <v>3357.3676</v>
      </c>
    </row>
    <row r="14" spans="1:17" x14ac:dyDescent="0.25">
      <c r="A14" s="62" t="s">
        <v>16</v>
      </c>
      <c r="B14" s="122"/>
      <c r="C14" s="120">
        <v>2815</v>
      </c>
      <c r="D14" s="121">
        <v>869.5</v>
      </c>
      <c r="M14" s="118">
        <v>259</v>
      </c>
      <c r="N14">
        <v>3287</v>
      </c>
      <c r="O14">
        <f t="shared" si="0"/>
        <v>1.0214078491025251</v>
      </c>
      <c r="P14">
        <f t="shared" si="1"/>
        <v>3357.3676</v>
      </c>
    </row>
    <row r="15" spans="1:17" ht="15.75" thickBot="1" x14ac:dyDescent="0.3">
      <c r="A15" s="64"/>
      <c r="B15" s="65"/>
      <c r="C15" s="66"/>
      <c r="D15" s="67"/>
      <c r="M15" s="118">
        <v>100</v>
      </c>
      <c r="P15">
        <f t="shared" si="1"/>
        <v>0</v>
      </c>
    </row>
    <row r="16" spans="1:17" x14ac:dyDescent="0.25">
      <c r="A16" s="70"/>
      <c r="B16" s="71"/>
      <c r="C16" s="72">
        <v>450</v>
      </c>
      <c r="D16" s="73">
        <v>0</v>
      </c>
      <c r="M16" s="118">
        <v>260</v>
      </c>
      <c r="N16">
        <v>3285</v>
      </c>
      <c r="O16">
        <f t="shared" si="0"/>
        <v>1.0220297108066971</v>
      </c>
      <c r="P16">
        <f t="shared" si="1"/>
        <v>3357.3676</v>
      </c>
    </row>
    <row r="17" spans="1:16" x14ac:dyDescent="0.25">
      <c r="A17" s="74" t="s">
        <v>17</v>
      </c>
      <c r="B17" s="56" t="s">
        <v>18</v>
      </c>
      <c r="C17" s="53">
        <v>1050</v>
      </c>
      <c r="D17" s="63">
        <v>88.4</v>
      </c>
      <c r="M17" s="118">
        <v>260</v>
      </c>
      <c r="N17">
        <v>3285</v>
      </c>
      <c r="O17">
        <f t="shared" si="0"/>
        <v>1.0220297108066971</v>
      </c>
      <c r="P17">
        <f t="shared" si="1"/>
        <v>3357.3676</v>
      </c>
    </row>
    <row r="18" spans="1:16" x14ac:dyDescent="0.25">
      <c r="A18" s="74" t="s">
        <v>19</v>
      </c>
      <c r="B18" s="58"/>
      <c r="C18" s="53">
        <v>1058</v>
      </c>
      <c r="D18" s="63">
        <v>94.6</v>
      </c>
      <c r="M18" s="118">
        <v>327</v>
      </c>
      <c r="N18">
        <v>3130</v>
      </c>
      <c r="O18">
        <f t="shared" si="0"/>
        <v>1.0726414057507987</v>
      </c>
      <c r="P18">
        <f t="shared" si="1"/>
        <v>3357.3676</v>
      </c>
    </row>
    <row r="19" spans="1:16" ht="15.75" thickBot="1" x14ac:dyDescent="0.3">
      <c r="A19" s="75"/>
      <c r="B19" s="76"/>
      <c r="C19" s="77">
        <v>3000</v>
      </c>
      <c r="D19" s="78">
        <v>800</v>
      </c>
      <c r="M19" s="118">
        <v>383</v>
      </c>
      <c r="N19">
        <v>2969</v>
      </c>
      <c r="O19">
        <f t="shared" si="0"/>
        <v>1.1308075446278207</v>
      </c>
      <c r="P19">
        <f t="shared" si="1"/>
        <v>3357.3675999999996</v>
      </c>
    </row>
    <row r="20" spans="1:16" x14ac:dyDescent="0.25">
      <c r="A20" s="79"/>
      <c r="B20" s="71"/>
      <c r="C20" s="72">
        <v>450</v>
      </c>
      <c r="D20" s="80">
        <v>0</v>
      </c>
      <c r="M20" s="118">
        <v>474</v>
      </c>
      <c r="N20">
        <v>2772</v>
      </c>
      <c r="O20">
        <f t="shared" si="0"/>
        <v>1.2111715728715728</v>
      </c>
      <c r="P20">
        <f t="shared" si="1"/>
        <v>3357.3676</v>
      </c>
    </row>
    <row r="21" spans="1:16" x14ac:dyDescent="0.25">
      <c r="A21" s="74" t="s">
        <v>20</v>
      </c>
      <c r="B21" s="56" t="s">
        <v>21</v>
      </c>
      <c r="C21" s="53">
        <v>1301</v>
      </c>
      <c r="D21" s="63">
        <v>271.44400000000002</v>
      </c>
      <c r="M21" s="118">
        <v>495</v>
      </c>
      <c r="N21">
        <v>2737</v>
      </c>
      <c r="O21">
        <f t="shared" si="0"/>
        <v>1.2266597004019</v>
      </c>
      <c r="P21">
        <f t="shared" si="1"/>
        <v>3357.3676</v>
      </c>
    </row>
    <row r="22" spans="1:16" x14ac:dyDescent="0.25">
      <c r="A22" s="74" t="s">
        <v>22</v>
      </c>
      <c r="B22" s="58"/>
      <c r="C22" s="53">
        <v>1767</v>
      </c>
      <c r="D22" s="63">
        <v>550.22199999999998</v>
      </c>
      <c r="M22" s="118">
        <v>490</v>
      </c>
      <c r="N22">
        <v>2747</v>
      </c>
      <c r="O22">
        <f t="shared" si="0"/>
        <v>1.222194248270841</v>
      </c>
      <c r="P22">
        <f t="shared" si="1"/>
        <v>3357.3676</v>
      </c>
    </row>
    <row r="23" spans="1:16" x14ac:dyDescent="0.25">
      <c r="A23" s="74" t="s">
        <v>23</v>
      </c>
      <c r="B23" s="58"/>
      <c r="C23" s="53">
        <v>2216</v>
      </c>
      <c r="D23" s="63">
        <v>609</v>
      </c>
      <c r="M23" s="118">
        <v>460</v>
      </c>
      <c r="N23">
        <v>2807</v>
      </c>
      <c r="O23">
        <f t="shared" si="0"/>
        <v>1.1960696829355184</v>
      </c>
      <c r="P23">
        <f t="shared" si="1"/>
        <v>3357.3676</v>
      </c>
    </row>
    <row r="24" spans="1:16" x14ac:dyDescent="0.25">
      <c r="A24" s="74" t="s">
        <v>24</v>
      </c>
      <c r="B24" s="58"/>
      <c r="C24" s="53">
        <v>3016</v>
      </c>
      <c r="D24" s="63">
        <v>739.11099999999999</v>
      </c>
      <c r="M24" s="118">
        <v>423</v>
      </c>
      <c r="N24">
        <v>2892</v>
      </c>
      <c r="O24">
        <f t="shared" si="0"/>
        <v>1.1609154910096819</v>
      </c>
      <c r="P24">
        <f t="shared" si="1"/>
        <v>3357.3676</v>
      </c>
    </row>
    <row r="25" spans="1:16" x14ac:dyDescent="0.25">
      <c r="A25" s="74" t="s">
        <v>25</v>
      </c>
      <c r="B25" s="58"/>
      <c r="C25" s="53">
        <v>1874</v>
      </c>
      <c r="D25" s="63">
        <v>746.88900000000001</v>
      </c>
      <c r="M25" s="118">
        <v>390</v>
      </c>
      <c r="N25">
        <v>2962</v>
      </c>
      <c r="O25">
        <f t="shared" si="0"/>
        <v>1.1334799459824443</v>
      </c>
      <c r="P25">
        <f t="shared" si="1"/>
        <v>3357.3676</v>
      </c>
    </row>
    <row r="26" spans="1:16" ht="15.75" thickBot="1" x14ac:dyDescent="0.3">
      <c r="A26" s="75"/>
      <c r="B26" s="76"/>
      <c r="C26" s="77">
        <v>4000</v>
      </c>
      <c r="D26" s="78">
        <v>800</v>
      </c>
      <c r="M26" s="118">
        <v>362</v>
      </c>
      <c r="N26">
        <v>3017</v>
      </c>
      <c r="O26">
        <f t="shared" si="0"/>
        <v>1.1128165727543917</v>
      </c>
      <c r="P26">
        <f t="shared" si="1"/>
        <v>3357.3676</v>
      </c>
    </row>
    <row r="27" spans="1:16" x14ac:dyDescent="0.25">
      <c r="A27" s="81"/>
      <c r="B27" s="82"/>
      <c r="C27" s="83">
        <v>450</v>
      </c>
      <c r="D27" s="84">
        <v>0</v>
      </c>
      <c r="M27" s="118">
        <v>338</v>
      </c>
      <c r="N27">
        <v>3069</v>
      </c>
      <c r="O27">
        <f t="shared" si="0"/>
        <v>1.0939614206581949</v>
      </c>
      <c r="P27">
        <f t="shared" si="1"/>
        <v>3357.3676</v>
      </c>
    </row>
    <row r="28" spans="1:16" x14ac:dyDescent="0.25">
      <c r="A28" s="85" t="s">
        <v>26</v>
      </c>
      <c r="B28" s="56" t="s">
        <v>27</v>
      </c>
      <c r="C28" s="53">
        <v>707</v>
      </c>
      <c r="D28" s="63">
        <v>19.36</v>
      </c>
      <c r="M28" s="118">
        <v>320</v>
      </c>
      <c r="N28">
        <v>3110</v>
      </c>
      <c r="O28">
        <f t="shared" si="0"/>
        <v>1.079539421221865</v>
      </c>
      <c r="P28">
        <f t="shared" si="1"/>
        <v>3357.3676</v>
      </c>
    </row>
    <row r="29" spans="1:16" x14ac:dyDescent="0.25">
      <c r="A29" s="85" t="s">
        <v>28</v>
      </c>
      <c r="B29" s="58"/>
      <c r="C29" s="53">
        <v>778</v>
      </c>
      <c r="D29" s="63">
        <v>33.31</v>
      </c>
      <c r="M29" s="118">
        <v>303</v>
      </c>
      <c r="N29">
        <v>3152</v>
      </c>
      <c r="O29">
        <f t="shared" si="0"/>
        <v>1.0651546954314721</v>
      </c>
      <c r="P29">
        <f t="shared" si="1"/>
        <v>3357.3676</v>
      </c>
    </row>
    <row r="30" spans="1:16" x14ac:dyDescent="0.25">
      <c r="A30" s="85" t="s">
        <v>29</v>
      </c>
      <c r="B30" s="58"/>
      <c r="C30" s="53">
        <v>762</v>
      </c>
      <c r="D30" s="63">
        <v>41.74</v>
      </c>
      <c r="M30" s="118">
        <v>290</v>
      </c>
      <c r="N30">
        <v>3169</v>
      </c>
      <c r="O30">
        <f t="shared" si="0"/>
        <v>1.059440706847586</v>
      </c>
      <c r="P30">
        <f t="shared" si="1"/>
        <v>3357.3676</v>
      </c>
    </row>
    <row r="31" spans="1:16" x14ac:dyDescent="0.25">
      <c r="A31" s="85" t="s">
        <v>30</v>
      </c>
      <c r="B31" s="56" t="s">
        <v>31</v>
      </c>
      <c r="C31" s="53">
        <v>1507</v>
      </c>
      <c r="D31" s="63">
        <v>204.5</v>
      </c>
      <c r="M31" s="118">
        <v>274</v>
      </c>
      <c r="N31">
        <v>3221</v>
      </c>
      <c r="O31">
        <f t="shared" si="0"/>
        <v>1.0423370381868986</v>
      </c>
      <c r="P31">
        <f t="shared" si="1"/>
        <v>3357.3676000000005</v>
      </c>
    </row>
    <row r="32" spans="1:16" x14ac:dyDescent="0.25">
      <c r="A32" s="85" t="s">
        <v>32</v>
      </c>
      <c r="B32" s="58"/>
      <c r="C32" s="53">
        <v>1915</v>
      </c>
      <c r="D32" s="63">
        <v>277.7</v>
      </c>
      <c r="M32" s="118">
        <v>252</v>
      </c>
      <c r="N32">
        <v>3262</v>
      </c>
      <c r="O32">
        <f t="shared" si="0"/>
        <v>1.0292359288779889</v>
      </c>
      <c r="P32">
        <f t="shared" si="1"/>
        <v>3357.3675999999996</v>
      </c>
    </row>
    <row r="33" spans="1:4" ht="15.75" thickBot="1" x14ac:dyDescent="0.3">
      <c r="A33" s="86"/>
      <c r="B33" s="87"/>
      <c r="C33" s="88">
        <v>3000</v>
      </c>
      <c r="D33" s="89">
        <v>800</v>
      </c>
    </row>
    <row r="34" spans="1:4" x14ac:dyDescent="0.25">
      <c r="A34" s="90"/>
      <c r="B34" s="91"/>
      <c r="C34" s="92">
        <v>450</v>
      </c>
      <c r="D34" s="93">
        <v>0</v>
      </c>
    </row>
    <row r="35" spans="1:4" x14ac:dyDescent="0.25">
      <c r="A35" s="94" t="s">
        <v>32</v>
      </c>
      <c r="B35" s="56" t="s">
        <v>33</v>
      </c>
      <c r="C35" s="53">
        <v>642</v>
      </c>
      <c r="D35" s="63">
        <v>10.283300000000001</v>
      </c>
    </row>
    <row r="36" spans="1:4" x14ac:dyDescent="0.25">
      <c r="A36" s="94" t="s">
        <v>34</v>
      </c>
      <c r="B36" s="58"/>
      <c r="C36" s="53">
        <v>650</v>
      </c>
      <c r="D36" s="63">
        <v>11.8833</v>
      </c>
    </row>
    <row r="37" spans="1:4" x14ac:dyDescent="0.25">
      <c r="A37" s="94" t="s">
        <v>35</v>
      </c>
      <c r="B37" s="58"/>
      <c r="C37" s="53">
        <v>709</v>
      </c>
      <c r="D37" s="63">
        <v>17.433299999999999</v>
      </c>
    </row>
    <row r="38" spans="1:4" ht="15.75" thickBot="1" x14ac:dyDescent="0.3">
      <c r="A38" s="95"/>
      <c r="B38" s="96"/>
      <c r="C38" s="97">
        <v>3000</v>
      </c>
      <c r="D38" s="98">
        <v>800</v>
      </c>
    </row>
    <row r="39" spans="1:4" x14ac:dyDescent="0.25">
      <c r="A39" s="99"/>
      <c r="B39" s="91"/>
      <c r="C39" s="92">
        <v>450</v>
      </c>
      <c r="D39" s="100">
        <v>0</v>
      </c>
    </row>
    <row r="40" spans="1:4" x14ac:dyDescent="0.25">
      <c r="A40" s="94" t="s">
        <v>36</v>
      </c>
      <c r="B40" s="56" t="s">
        <v>37</v>
      </c>
      <c r="C40" s="57">
        <v>916</v>
      </c>
      <c r="D40" s="63">
        <v>117.467</v>
      </c>
    </row>
    <row r="41" spans="1:4" x14ac:dyDescent="0.25">
      <c r="A41" s="94" t="s">
        <v>38</v>
      </c>
      <c r="B41" s="58"/>
      <c r="C41" s="57">
        <v>1048</v>
      </c>
      <c r="D41" s="63">
        <v>187.833</v>
      </c>
    </row>
    <row r="42" spans="1:4" x14ac:dyDescent="0.25">
      <c r="A42" s="94" t="s">
        <v>39</v>
      </c>
      <c r="B42" s="58"/>
      <c r="C42" s="57">
        <v>1806</v>
      </c>
      <c r="D42" s="63">
        <v>218.333</v>
      </c>
    </row>
    <row r="43" spans="1:4" x14ac:dyDescent="0.25">
      <c r="A43" s="94" t="s">
        <v>40</v>
      </c>
      <c r="B43" s="58"/>
      <c r="C43" s="57">
        <v>1357</v>
      </c>
      <c r="D43" s="63">
        <v>238.5</v>
      </c>
    </row>
    <row r="44" spans="1:4" ht="15.75" thickBot="1" x14ac:dyDescent="0.3">
      <c r="A44" s="95"/>
      <c r="B44" s="96"/>
      <c r="C44" s="101">
        <v>3000</v>
      </c>
      <c r="D44" s="98">
        <v>800</v>
      </c>
    </row>
    <row r="45" spans="1:4" x14ac:dyDescent="0.25">
      <c r="A45" s="102"/>
      <c r="B45" s="103"/>
      <c r="C45" s="103">
        <v>450</v>
      </c>
      <c r="D45" s="104">
        <v>0</v>
      </c>
    </row>
    <row r="46" spans="1:4" x14ac:dyDescent="0.25">
      <c r="A46" s="105" t="s">
        <v>41</v>
      </c>
      <c r="B46" s="56" t="s">
        <v>42</v>
      </c>
      <c r="C46" s="57">
        <v>490</v>
      </c>
      <c r="D46" s="63">
        <v>2</v>
      </c>
    </row>
    <row r="47" spans="1:4" x14ac:dyDescent="0.25">
      <c r="A47" s="105" t="s">
        <v>43</v>
      </c>
      <c r="B47" s="58"/>
      <c r="C47" s="57">
        <v>533</v>
      </c>
      <c r="D47" s="63">
        <v>7.133</v>
      </c>
    </row>
    <row r="48" spans="1:4" x14ac:dyDescent="0.25">
      <c r="A48" s="105" t="s">
        <v>44</v>
      </c>
      <c r="B48" s="58"/>
      <c r="C48" s="57">
        <v>530</v>
      </c>
      <c r="D48" s="63">
        <v>10.72</v>
      </c>
    </row>
    <row r="49" spans="1:4" x14ac:dyDescent="0.25">
      <c r="A49" s="105" t="s">
        <v>45</v>
      </c>
      <c r="B49" s="56" t="s">
        <v>46</v>
      </c>
      <c r="C49" s="57">
        <v>624</v>
      </c>
      <c r="D49" s="63">
        <v>20.466999999999999</v>
      </c>
    </row>
    <row r="50" spans="1:4" x14ac:dyDescent="0.25">
      <c r="A50" s="105" t="s">
        <v>47</v>
      </c>
      <c r="B50" s="58"/>
      <c r="C50" s="57">
        <v>628</v>
      </c>
      <c r="D50" s="63">
        <v>20.367000000000001</v>
      </c>
    </row>
    <row r="51" spans="1:4" ht="15.75" thickBot="1" x14ac:dyDescent="0.3">
      <c r="A51" s="106"/>
      <c r="B51" s="107"/>
      <c r="C51" s="108">
        <v>3000</v>
      </c>
      <c r="D51" s="109">
        <v>800</v>
      </c>
    </row>
    <row r="52" spans="1:4" x14ac:dyDescent="0.25">
      <c r="A52" s="110"/>
      <c r="B52" s="111"/>
      <c r="C52" s="111">
        <v>450</v>
      </c>
      <c r="D52" s="112">
        <v>0</v>
      </c>
    </row>
    <row r="53" spans="1:4" x14ac:dyDescent="0.25">
      <c r="A53" s="113" t="s">
        <v>48</v>
      </c>
      <c r="B53" s="56" t="s">
        <v>49</v>
      </c>
      <c r="C53" s="57">
        <v>503</v>
      </c>
      <c r="D53" s="63">
        <v>5.15</v>
      </c>
    </row>
    <row r="54" spans="1:4" x14ac:dyDescent="0.25">
      <c r="A54" s="113" t="s">
        <v>50</v>
      </c>
      <c r="B54" s="58"/>
      <c r="C54" s="57">
        <v>527</v>
      </c>
      <c r="D54" s="63">
        <v>16.2</v>
      </c>
    </row>
    <row r="55" spans="1:4" x14ac:dyDescent="0.25">
      <c r="A55" s="113" t="s">
        <v>51</v>
      </c>
      <c r="B55" s="56" t="s">
        <v>52</v>
      </c>
      <c r="C55" s="57">
        <v>545</v>
      </c>
      <c r="D55" s="63">
        <v>50.082999999999998</v>
      </c>
    </row>
    <row r="56" spans="1:4" x14ac:dyDescent="0.25">
      <c r="A56" s="113" t="s">
        <v>53</v>
      </c>
      <c r="B56" s="58"/>
      <c r="C56" s="57">
        <v>659</v>
      </c>
      <c r="D56" s="63">
        <v>93.992999999999995</v>
      </c>
    </row>
    <row r="57" spans="1:4" x14ac:dyDescent="0.25">
      <c r="A57" s="113" t="s">
        <v>54</v>
      </c>
      <c r="B57" s="58"/>
      <c r="C57" s="57">
        <v>615</v>
      </c>
      <c r="D57" s="63">
        <v>95.516999999999996</v>
      </c>
    </row>
    <row r="58" spans="1:4" x14ac:dyDescent="0.25">
      <c r="A58" s="113" t="s">
        <v>55</v>
      </c>
      <c r="B58" s="58"/>
      <c r="C58" s="57">
        <v>665</v>
      </c>
      <c r="D58" s="63">
        <v>100.92</v>
      </c>
    </row>
    <row r="59" spans="1:4" x14ac:dyDescent="0.25">
      <c r="A59" s="113" t="s">
        <v>56</v>
      </c>
      <c r="B59" s="58"/>
      <c r="C59" s="57">
        <v>714</v>
      </c>
      <c r="D59" s="63">
        <v>115.37</v>
      </c>
    </row>
    <row r="60" spans="1:4" ht="15.75" thickBot="1" x14ac:dyDescent="0.3">
      <c r="A60" s="114"/>
      <c r="B60" s="115"/>
      <c r="C60" s="115">
        <v>3000</v>
      </c>
      <c r="D60" s="116">
        <v>800</v>
      </c>
    </row>
  </sheetData>
  <mergeCells count="1">
    <mergeCell ref="I1:L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600D-0041-4BD4-A659-CC9971A922C9}">
  <dimension ref="A1:Q85"/>
  <sheetViews>
    <sheetView tabSelected="1" workbookViewId="0">
      <selection activeCell="G8" sqref="G8"/>
    </sheetView>
  </sheetViews>
  <sheetFormatPr baseColWidth="10" defaultRowHeight="15" x14ac:dyDescent="0.25"/>
  <cols>
    <col min="12" max="12" width="11.42578125" style="117"/>
    <col min="13" max="13" width="12.140625" style="118" bestFit="1" customWidth="1"/>
    <col min="15" max="15" width="19" bestFit="1" customWidth="1"/>
  </cols>
  <sheetData>
    <row r="1" spans="1:17" ht="24.75" thickBot="1" x14ac:dyDescent="0.3">
      <c r="A1" s="55" t="s">
        <v>0</v>
      </c>
      <c r="B1" s="54" t="s">
        <v>1</v>
      </c>
      <c r="C1" s="5" t="s">
        <v>77</v>
      </c>
      <c r="D1" s="54" t="s">
        <v>2</v>
      </c>
      <c r="E1" s="5" t="s">
        <v>78</v>
      </c>
      <c r="F1" s="123">
        <v>209</v>
      </c>
      <c r="I1" s="134" t="s">
        <v>81</v>
      </c>
      <c r="J1" s="134"/>
      <c r="K1" s="134"/>
      <c r="L1" s="135"/>
      <c r="M1" s="118" t="s">
        <v>78</v>
      </c>
      <c r="N1" t="s">
        <v>79</v>
      </c>
      <c r="O1" t="s">
        <v>80</v>
      </c>
    </row>
    <row r="2" spans="1:17" x14ac:dyDescent="0.25">
      <c r="A2" s="59"/>
      <c r="B2" s="60"/>
      <c r="C2" s="60">
        <v>488</v>
      </c>
      <c r="D2" s="61">
        <f>$G$2</f>
        <v>0</v>
      </c>
      <c r="F2" s="60">
        <v>450</v>
      </c>
      <c r="G2" s="61">
        <v>0</v>
      </c>
      <c r="I2" t="s">
        <v>82</v>
      </c>
      <c r="M2" s="118">
        <v>240</v>
      </c>
      <c r="N2">
        <v>3292</v>
      </c>
      <c r="O2">
        <f>$Q$2/N2</f>
        <v>1.0197448359659782</v>
      </c>
      <c r="P2">
        <f>N2*O2</f>
        <v>3357.0000000000005</v>
      </c>
      <c r="Q2" s="123">
        <f xml:space="preserve"> 3357</f>
        <v>3357</v>
      </c>
    </row>
    <row r="3" spans="1:17" x14ac:dyDescent="0.25">
      <c r="A3" s="62" t="s">
        <v>5</v>
      </c>
      <c r="B3" s="119" t="s">
        <v>6</v>
      </c>
      <c r="C3" s="120">
        <v>836</v>
      </c>
      <c r="D3" s="121">
        <v>28.1</v>
      </c>
      <c r="I3" t="s">
        <v>83</v>
      </c>
      <c r="M3" s="118">
        <v>307</v>
      </c>
      <c r="N3">
        <v>3211</v>
      </c>
      <c r="O3">
        <f t="shared" ref="O3:O32" si="0">$Q$2/N3</f>
        <v>1.0454687013391466</v>
      </c>
      <c r="P3">
        <f t="shared" ref="P3:P32" si="1">N3*O3</f>
        <v>3356.9999999999995</v>
      </c>
    </row>
    <row r="4" spans="1:17" x14ac:dyDescent="0.25">
      <c r="A4" s="62" t="s">
        <v>7</v>
      </c>
      <c r="B4" s="122"/>
      <c r="C4" s="120">
        <v>878</v>
      </c>
      <c r="D4" s="121">
        <v>63.911000000000001</v>
      </c>
      <c r="M4" s="118">
        <v>376</v>
      </c>
      <c r="N4">
        <v>3139</v>
      </c>
      <c r="O4">
        <f t="shared" si="0"/>
        <v>1.0694488690665818</v>
      </c>
      <c r="P4">
        <f t="shared" si="1"/>
        <v>3357</v>
      </c>
    </row>
    <row r="5" spans="1:17" x14ac:dyDescent="0.25">
      <c r="A5" s="62" t="s">
        <v>8</v>
      </c>
      <c r="B5" s="122"/>
      <c r="C5" s="120">
        <v>929</v>
      </c>
      <c r="D5" s="121">
        <v>69.921999999999997</v>
      </c>
      <c r="E5">
        <v>3</v>
      </c>
      <c r="M5" s="118">
        <v>381</v>
      </c>
      <c r="N5">
        <v>3133</v>
      </c>
      <c r="O5">
        <f t="shared" si="0"/>
        <v>1.0714969677625279</v>
      </c>
      <c r="P5">
        <f t="shared" si="1"/>
        <v>3357</v>
      </c>
    </row>
    <row r="6" spans="1:17" x14ac:dyDescent="0.25">
      <c r="A6" s="62" t="s">
        <v>9</v>
      </c>
      <c r="B6" s="122"/>
      <c r="C6" s="120">
        <v>1107</v>
      </c>
      <c r="D6" s="121">
        <v>96.744</v>
      </c>
      <c r="M6" s="118">
        <v>433</v>
      </c>
      <c r="N6">
        <v>3060</v>
      </c>
      <c r="O6">
        <f t="shared" si="0"/>
        <v>1.0970588235294119</v>
      </c>
      <c r="P6">
        <f t="shared" si="1"/>
        <v>3357.0000000000005</v>
      </c>
    </row>
    <row r="7" spans="1:17" x14ac:dyDescent="0.25">
      <c r="A7" s="62" t="s">
        <v>10</v>
      </c>
      <c r="B7" s="122"/>
      <c r="C7" s="120">
        <v>1558</v>
      </c>
      <c r="D7" s="121">
        <v>128.11000000000001</v>
      </c>
      <c r="G7">
        <f>-0.000000073*C14*C14 *C14  + 0.000282508*C14 *C14  + 0.12407535*C14  - 130.227536077</f>
        <v>829.05356888800009</v>
      </c>
      <c r="M7" s="118">
        <v>491</v>
      </c>
      <c r="N7">
        <v>2995</v>
      </c>
      <c r="O7">
        <f t="shared" si="0"/>
        <v>1.1208681135225376</v>
      </c>
      <c r="P7">
        <f t="shared" si="1"/>
        <v>3357</v>
      </c>
    </row>
    <row r="8" spans="1:17" ht="15.75" thickBot="1" x14ac:dyDescent="0.3">
      <c r="A8" s="64"/>
      <c r="B8" s="65"/>
      <c r="C8" s="66">
        <v>3000</v>
      </c>
      <c r="D8" s="67">
        <v>800</v>
      </c>
      <c r="G8">
        <v>805</v>
      </c>
      <c r="M8" s="118">
        <v>506</v>
      </c>
      <c r="N8">
        <v>2928</v>
      </c>
      <c r="O8">
        <f t="shared" si="0"/>
        <v>1.146516393442623</v>
      </c>
      <c r="P8">
        <f t="shared" si="1"/>
        <v>3357</v>
      </c>
    </row>
    <row r="9" spans="1:17" x14ac:dyDescent="0.25">
      <c r="A9" s="68"/>
      <c r="B9" s="69"/>
      <c r="C9" s="60">
        <v>488</v>
      </c>
      <c r="D9" s="61">
        <v>0</v>
      </c>
      <c r="M9" s="118">
        <v>467</v>
      </c>
      <c r="N9">
        <v>3043</v>
      </c>
      <c r="O9">
        <f t="shared" si="0"/>
        <v>1.1031876437725929</v>
      </c>
      <c r="P9">
        <f t="shared" si="1"/>
        <v>3357.0000000000005</v>
      </c>
    </row>
    <row r="10" spans="1:17" x14ac:dyDescent="0.25">
      <c r="A10" s="62" t="s">
        <v>11</v>
      </c>
      <c r="B10" s="119" t="s">
        <v>12</v>
      </c>
      <c r="C10" s="120">
        <v>1112</v>
      </c>
      <c r="D10" s="121">
        <v>207.78</v>
      </c>
      <c r="M10" s="118">
        <v>440</v>
      </c>
      <c r="N10">
        <v>3094</v>
      </c>
      <c r="O10">
        <f t="shared" si="0"/>
        <v>1.0850032320620555</v>
      </c>
      <c r="P10">
        <f t="shared" si="1"/>
        <v>3356.9999999999995</v>
      </c>
    </row>
    <row r="11" spans="1:17" x14ac:dyDescent="0.25">
      <c r="A11" s="62" t="s">
        <v>13</v>
      </c>
      <c r="B11" s="122"/>
      <c r="C11" s="120">
        <v>1463</v>
      </c>
      <c r="D11" s="121">
        <v>444.11</v>
      </c>
      <c r="M11" s="118">
        <v>426</v>
      </c>
      <c r="N11">
        <v>3105</v>
      </c>
      <c r="O11">
        <f t="shared" si="0"/>
        <v>1.0811594202898551</v>
      </c>
      <c r="P11">
        <f t="shared" si="1"/>
        <v>3357</v>
      </c>
    </row>
    <row r="12" spans="1:17" x14ac:dyDescent="0.25">
      <c r="A12" s="62" t="s">
        <v>14</v>
      </c>
      <c r="B12" s="122"/>
      <c r="C12" s="120">
        <v>1686</v>
      </c>
      <c r="D12" s="121">
        <v>579.55999999999995</v>
      </c>
      <c r="E12">
        <v>3</v>
      </c>
      <c r="M12" s="118">
        <v>395</v>
      </c>
      <c r="N12">
        <v>3151</v>
      </c>
      <c r="O12">
        <f t="shared" si="0"/>
        <v>1.0653760710885434</v>
      </c>
      <c r="P12">
        <f t="shared" si="1"/>
        <v>3357</v>
      </c>
    </row>
    <row r="13" spans="1:17" x14ac:dyDescent="0.25">
      <c r="A13" s="62" t="s">
        <v>15</v>
      </c>
      <c r="B13" s="122"/>
      <c r="C13" s="120">
        <v>2507</v>
      </c>
      <c r="D13" s="121">
        <v>746.22</v>
      </c>
      <c r="M13" s="118">
        <v>384</v>
      </c>
      <c r="N13">
        <v>3169</v>
      </c>
      <c r="O13">
        <f t="shared" si="0"/>
        <v>1.0593247081098138</v>
      </c>
      <c r="P13">
        <f t="shared" si="1"/>
        <v>3357</v>
      </c>
    </row>
    <row r="14" spans="1:17" x14ac:dyDescent="0.25">
      <c r="A14" s="62" t="s">
        <v>16</v>
      </c>
      <c r="B14" s="122"/>
      <c r="C14" s="120">
        <v>2741</v>
      </c>
      <c r="D14" s="121">
        <v>869.5</v>
      </c>
      <c r="M14" s="118">
        <v>196</v>
      </c>
      <c r="N14">
        <v>3394</v>
      </c>
      <c r="O14">
        <f t="shared" si="0"/>
        <v>0.98909840895698287</v>
      </c>
      <c r="P14">
        <f t="shared" si="1"/>
        <v>3357</v>
      </c>
    </row>
    <row r="15" spans="1:17" ht="15.75" thickBot="1" x14ac:dyDescent="0.3">
      <c r="A15" s="64"/>
      <c r="B15" s="65"/>
      <c r="C15" s="66"/>
      <c r="D15" s="67"/>
      <c r="M15" s="118">
        <v>199</v>
      </c>
      <c r="N15">
        <v>3381</v>
      </c>
      <c r="O15">
        <f t="shared" si="0"/>
        <v>0.99290150842945879</v>
      </c>
      <c r="P15">
        <f t="shared" si="1"/>
        <v>3357</v>
      </c>
    </row>
    <row r="16" spans="1:17" x14ac:dyDescent="0.25">
      <c r="A16" s="70"/>
      <c r="B16" s="71"/>
      <c r="C16" s="72">
        <v>488</v>
      </c>
      <c r="D16" s="73">
        <v>0</v>
      </c>
      <c r="M16" s="118">
        <v>214</v>
      </c>
      <c r="N16">
        <v>3357</v>
      </c>
      <c r="O16">
        <f t="shared" si="0"/>
        <v>1</v>
      </c>
      <c r="P16">
        <f t="shared" si="1"/>
        <v>3357</v>
      </c>
    </row>
    <row r="17" spans="1:16" x14ac:dyDescent="0.25">
      <c r="A17" s="74" t="s">
        <v>17</v>
      </c>
      <c r="B17" s="56" t="s">
        <v>18</v>
      </c>
      <c r="C17" s="53">
        <v>1087</v>
      </c>
      <c r="D17" s="63">
        <v>88.4</v>
      </c>
      <c r="E17">
        <v>2</v>
      </c>
      <c r="M17" s="118">
        <v>219</v>
      </c>
      <c r="N17">
        <v>3349</v>
      </c>
      <c r="O17">
        <f t="shared" si="0"/>
        <v>1.0023887727679905</v>
      </c>
      <c r="P17">
        <f t="shared" si="1"/>
        <v>3357.0000000000005</v>
      </c>
    </row>
    <row r="18" spans="1:16" x14ac:dyDescent="0.25">
      <c r="A18" s="74" t="s">
        <v>19</v>
      </c>
      <c r="B18" s="58"/>
      <c r="C18" s="53">
        <v>1096</v>
      </c>
      <c r="D18" s="63">
        <v>94.6</v>
      </c>
      <c r="M18" s="118">
        <v>220</v>
      </c>
      <c r="N18">
        <v>3357</v>
      </c>
      <c r="O18">
        <f t="shared" si="0"/>
        <v>1</v>
      </c>
      <c r="P18">
        <f t="shared" si="1"/>
        <v>3357</v>
      </c>
    </row>
    <row r="19" spans="1:16" ht="15.75" thickBot="1" x14ac:dyDescent="0.3">
      <c r="A19" s="75"/>
      <c r="B19" s="76"/>
      <c r="C19" s="77">
        <v>3000</v>
      </c>
      <c r="D19" s="78">
        <v>800</v>
      </c>
      <c r="M19" s="118">
        <v>257</v>
      </c>
      <c r="N19">
        <v>3317</v>
      </c>
      <c r="O19">
        <f t="shared" si="0"/>
        <v>1.0120590895387398</v>
      </c>
      <c r="P19">
        <f t="shared" si="1"/>
        <v>3357</v>
      </c>
    </row>
    <row r="20" spans="1:16" x14ac:dyDescent="0.25">
      <c r="A20" s="79"/>
      <c r="B20" s="71"/>
      <c r="C20" s="72">
        <v>488</v>
      </c>
      <c r="D20" s="80">
        <v>0</v>
      </c>
      <c r="M20" s="118">
        <v>297</v>
      </c>
      <c r="N20">
        <v>3287</v>
      </c>
      <c r="O20">
        <f t="shared" si="0"/>
        <v>1.0212960146029815</v>
      </c>
      <c r="P20">
        <f t="shared" si="1"/>
        <v>3357</v>
      </c>
    </row>
    <row r="21" spans="1:16" x14ac:dyDescent="0.25">
      <c r="A21" s="74" t="s">
        <v>20</v>
      </c>
      <c r="B21" s="56" t="s">
        <v>21</v>
      </c>
      <c r="C21" s="53">
        <v>1345</v>
      </c>
      <c r="D21" s="63">
        <v>271.44400000000002</v>
      </c>
      <c r="M21" s="118">
        <v>331</v>
      </c>
      <c r="N21">
        <v>3248</v>
      </c>
      <c r="O21">
        <f t="shared" si="0"/>
        <v>1.0335591133004927</v>
      </c>
      <c r="P21">
        <f t="shared" si="1"/>
        <v>3357</v>
      </c>
    </row>
    <row r="22" spans="1:16" x14ac:dyDescent="0.25">
      <c r="A22" s="74" t="s">
        <v>22</v>
      </c>
      <c r="B22" s="58"/>
      <c r="C22" s="53">
        <v>1772</v>
      </c>
      <c r="D22" s="63">
        <v>550.22199999999998</v>
      </c>
      <c r="M22" s="118">
        <v>348</v>
      </c>
      <c r="N22">
        <v>3218</v>
      </c>
      <c r="O22">
        <f t="shared" si="0"/>
        <v>1.0431945307644499</v>
      </c>
      <c r="P22">
        <f t="shared" si="1"/>
        <v>3357</v>
      </c>
    </row>
    <row r="23" spans="1:16" x14ac:dyDescent="0.25">
      <c r="A23" s="74" t="s">
        <v>23</v>
      </c>
      <c r="B23" s="58"/>
      <c r="C23" s="53">
        <v>2313</v>
      </c>
      <c r="D23" s="63">
        <v>609</v>
      </c>
      <c r="E23">
        <v>2</v>
      </c>
      <c r="M23" s="118">
        <v>338</v>
      </c>
      <c r="N23">
        <v>3236</v>
      </c>
      <c r="O23">
        <f t="shared" si="0"/>
        <v>1.0373918417799752</v>
      </c>
      <c r="P23">
        <f t="shared" si="1"/>
        <v>3357</v>
      </c>
    </row>
    <row r="24" spans="1:16" x14ac:dyDescent="0.25">
      <c r="A24" s="74" t="s">
        <v>24</v>
      </c>
      <c r="B24" s="58"/>
      <c r="C24" s="53">
        <v>2992</v>
      </c>
      <c r="D24" s="63">
        <v>739.11099999999999</v>
      </c>
      <c r="M24" s="118">
        <v>370</v>
      </c>
      <c r="N24">
        <v>3184</v>
      </c>
      <c r="O24">
        <f t="shared" si="0"/>
        <v>1.0543341708542713</v>
      </c>
      <c r="P24">
        <f t="shared" si="1"/>
        <v>3356.9999999999995</v>
      </c>
    </row>
    <row r="25" spans="1:16" x14ac:dyDescent="0.25">
      <c r="A25" s="74" t="s">
        <v>25</v>
      </c>
      <c r="B25" s="58"/>
      <c r="C25" s="53">
        <v>2059</v>
      </c>
      <c r="D25" s="63">
        <v>746.88900000000001</v>
      </c>
      <c r="M25" s="118">
        <v>394</v>
      </c>
      <c r="N25">
        <v>3155</v>
      </c>
      <c r="O25">
        <f t="shared" si="0"/>
        <v>1.064025356576862</v>
      </c>
      <c r="P25">
        <f t="shared" si="1"/>
        <v>3356.9999999999995</v>
      </c>
    </row>
    <row r="26" spans="1:16" ht="15.75" thickBot="1" x14ac:dyDescent="0.3">
      <c r="A26" s="75"/>
      <c r="B26" s="76"/>
      <c r="C26" s="77">
        <v>4000</v>
      </c>
      <c r="D26" s="78">
        <v>800</v>
      </c>
      <c r="M26" s="118">
        <v>335</v>
      </c>
      <c r="N26">
        <v>3221</v>
      </c>
      <c r="O26">
        <f t="shared" si="0"/>
        <v>1.0422229121390871</v>
      </c>
      <c r="P26">
        <f t="shared" si="1"/>
        <v>3356.9999999999995</v>
      </c>
    </row>
    <row r="27" spans="1:16" x14ac:dyDescent="0.25">
      <c r="A27" s="81"/>
      <c r="B27" s="82"/>
      <c r="C27" s="83">
        <v>488</v>
      </c>
      <c r="D27" s="84">
        <v>0</v>
      </c>
      <c r="M27" s="118">
        <v>448</v>
      </c>
      <c r="N27">
        <v>3081</v>
      </c>
      <c r="O27">
        <f t="shared" si="0"/>
        <v>1.0895813047711782</v>
      </c>
      <c r="P27">
        <f t="shared" si="1"/>
        <v>3357</v>
      </c>
    </row>
    <row r="28" spans="1:16" x14ac:dyDescent="0.25">
      <c r="A28" s="85" t="s">
        <v>26</v>
      </c>
      <c r="B28" s="56" t="s">
        <v>27</v>
      </c>
      <c r="C28" s="53"/>
      <c r="D28" s="63">
        <v>19.36</v>
      </c>
      <c r="M28" s="118">
        <v>370</v>
      </c>
      <c r="N28">
        <v>3184</v>
      </c>
      <c r="O28">
        <f t="shared" si="0"/>
        <v>1.0543341708542713</v>
      </c>
      <c r="P28">
        <f t="shared" si="1"/>
        <v>3356.9999999999995</v>
      </c>
    </row>
    <row r="29" spans="1:16" x14ac:dyDescent="0.25">
      <c r="A29" s="85" t="s">
        <v>28</v>
      </c>
      <c r="B29" s="58"/>
      <c r="C29" s="53">
        <v>824</v>
      </c>
      <c r="D29" s="63">
        <v>33.31</v>
      </c>
      <c r="M29" s="118">
        <v>189</v>
      </c>
      <c r="N29">
        <v>3438</v>
      </c>
      <c r="O29">
        <f t="shared" si="0"/>
        <v>0.97643979057591623</v>
      </c>
      <c r="P29">
        <f t="shared" si="1"/>
        <v>3357</v>
      </c>
    </row>
    <row r="30" spans="1:16" x14ac:dyDescent="0.25">
      <c r="A30" s="85" t="s">
        <v>29</v>
      </c>
      <c r="B30" s="58"/>
      <c r="C30" s="53">
        <v>782</v>
      </c>
      <c r="D30" s="63">
        <v>41.74</v>
      </c>
      <c r="O30" t="e">
        <f t="shared" si="0"/>
        <v>#DIV/0!</v>
      </c>
      <c r="P30" t="e">
        <f t="shared" si="1"/>
        <v>#DIV/0!</v>
      </c>
    </row>
    <row r="31" spans="1:16" x14ac:dyDescent="0.25">
      <c r="A31" s="85" t="s">
        <v>30</v>
      </c>
      <c r="B31" s="56" t="s">
        <v>31</v>
      </c>
      <c r="C31" s="53">
        <v>1523</v>
      </c>
      <c r="D31" s="63">
        <v>204.5</v>
      </c>
      <c r="O31" t="e">
        <f t="shared" si="0"/>
        <v>#DIV/0!</v>
      </c>
      <c r="P31" t="e">
        <f t="shared" si="1"/>
        <v>#DIV/0!</v>
      </c>
    </row>
    <row r="32" spans="1:16" x14ac:dyDescent="0.25">
      <c r="A32" s="85" t="s">
        <v>32</v>
      </c>
      <c r="B32" s="58"/>
      <c r="C32" s="53">
        <v>1845</v>
      </c>
      <c r="D32" s="63">
        <v>277.7</v>
      </c>
      <c r="O32" t="e">
        <f t="shared" si="0"/>
        <v>#DIV/0!</v>
      </c>
      <c r="P32" t="e">
        <f t="shared" si="1"/>
        <v>#DIV/0!</v>
      </c>
    </row>
    <row r="33" spans="1:5" ht="15.75" thickBot="1" x14ac:dyDescent="0.3">
      <c r="A33" s="86"/>
      <c r="B33" s="87"/>
      <c r="C33" s="88">
        <v>3000</v>
      </c>
      <c r="D33" s="89">
        <v>800</v>
      </c>
    </row>
    <row r="34" spans="1:5" x14ac:dyDescent="0.25">
      <c r="A34" s="90"/>
      <c r="B34" s="91"/>
      <c r="C34" s="92">
        <v>488</v>
      </c>
      <c r="D34" s="93">
        <v>0</v>
      </c>
    </row>
    <row r="35" spans="1:5" x14ac:dyDescent="0.25">
      <c r="A35" s="94" t="s">
        <v>32</v>
      </c>
      <c r="B35" s="56" t="s">
        <v>33</v>
      </c>
      <c r="C35" s="53">
        <v>670</v>
      </c>
      <c r="D35" s="63">
        <v>10.283300000000001</v>
      </c>
    </row>
    <row r="36" spans="1:5" x14ac:dyDescent="0.25">
      <c r="A36" s="94" t="s">
        <v>34</v>
      </c>
      <c r="B36" s="58"/>
      <c r="C36" s="53">
        <v>678</v>
      </c>
      <c r="D36" s="63">
        <v>11.8833</v>
      </c>
      <c r="E36">
        <v>2</v>
      </c>
    </row>
    <row r="37" spans="1:5" x14ac:dyDescent="0.25">
      <c r="A37" s="94" t="s">
        <v>35</v>
      </c>
      <c r="B37" s="58"/>
      <c r="C37" s="53">
        <v>762</v>
      </c>
      <c r="D37" s="63">
        <v>17.433299999999999</v>
      </c>
    </row>
    <row r="38" spans="1:5" ht="15.75" thickBot="1" x14ac:dyDescent="0.3">
      <c r="A38" s="95"/>
      <c r="B38" s="96"/>
      <c r="C38" s="97">
        <v>3000</v>
      </c>
      <c r="D38" s="98">
        <v>800</v>
      </c>
    </row>
    <row r="39" spans="1:5" x14ac:dyDescent="0.25">
      <c r="A39" s="99"/>
      <c r="B39" s="91"/>
      <c r="C39" s="92">
        <v>488</v>
      </c>
      <c r="D39" s="100">
        <v>0</v>
      </c>
    </row>
    <row r="40" spans="1:5" x14ac:dyDescent="0.25">
      <c r="A40" s="94" t="s">
        <v>36</v>
      </c>
      <c r="B40" s="56" t="s">
        <v>37</v>
      </c>
      <c r="C40" s="57">
        <v>935</v>
      </c>
      <c r="D40" s="63">
        <v>117.467</v>
      </c>
    </row>
    <row r="41" spans="1:5" x14ac:dyDescent="0.25">
      <c r="A41" s="94" t="s">
        <v>38</v>
      </c>
      <c r="B41" s="58"/>
      <c r="C41" s="57">
        <v>1053</v>
      </c>
      <c r="D41" s="63">
        <v>187.833</v>
      </c>
      <c r="E41">
        <v>3</v>
      </c>
    </row>
    <row r="42" spans="1:5" x14ac:dyDescent="0.25">
      <c r="A42" s="94" t="s">
        <v>39</v>
      </c>
      <c r="B42" s="58"/>
      <c r="C42" s="57">
        <v>1669</v>
      </c>
      <c r="D42" s="63">
        <v>218.333</v>
      </c>
    </row>
    <row r="43" spans="1:5" x14ac:dyDescent="0.25">
      <c r="A43" s="94" t="s">
        <v>40</v>
      </c>
      <c r="B43" s="58"/>
      <c r="C43" s="57">
        <v>1284</v>
      </c>
      <c r="D43" s="63">
        <v>238.5</v>
      </c>
    </row>
    <row r="44" spans="1:5" ht="15.75" thickBot="1" x14ac:dyDescent="0.3">
      <c r="A44" s="95"/>
      <c r="B44" s="96"/>
      <c r="C44" s="101">
        <v>3000</v>
      </c>
      <c r="D44" s="98">
        <v>800</v>
      </c>
    </row>
    <row r="45" spans="1:5" x14ac:dyDescent="0.25">
      <c r="A45" s="102"/>
      <c r="B45" s="103"/>
      <c r="C45" s="103">
        <v>488</v>
      </c>
      <c r="D45" s="104">
        <v>0</v>
      </c>
    </row>
    <row r="46" spans="1:5" x14ac:dyDescent="0.25">
      <c r="A46" s="105" t="s">
        <v>41</v>
      </c>
      <c r="B46" s="56" t="s">
        <v>42</v>
      </c>
      <c r="C46" s="57">
        <v>523</v>
      </c>
      <c r="D46" s="63">
        <v>2</v>
      </c>
    </row>
    <row r="47" spans="1:5" x14ac:dyDescent="0.25">
      <c r="A47" s="105" t="s">
        <v>43</v>
      </c>
      <c r="B47" s="58"/>
      <c r="C47" s="57">
        <v>576</v>
      </c>
      <c r="D47" s="63">
        <v>7.133</v>
      </c>
    </row>
    <row r="48" spans="1:5" x14ac:dyDescent="0.25">
      <c r="A48" s="105" t="s">
        <v>44</v>
      </c>
      <c r="B48" s="58"/>
      <c r="C48" s="57">
        <v>574</v>
      </c>
      <c r="D48" s="63">
        <v>10.72</v>
      </c>
      <c r="E48">
        <v>3</v>
      </c>
    </row>
    <row r="49" spans="1:5" x14ac:dyDescent="0.25">
      <c r="A49" s="105" t="s">
        <v>45</v>
      </c>
      <c r="B49" s="56" t="s">
        <v>46</v>
      </c>
      <c r="C49" s="57">
        <v>680</v>
      </c>
      <c r="D49" s="63">
        <v>20.466999999999999</v>
      </c>
    </row>
    <row r="50" spans="1:5" x14ac:dyDescent="0.25">
      <c r="A50" s="105" t="s">
        <v>47</v>
      </c>
      <c r="B50" s="58"/>
      <c r="C50" s="57">
        <v>685</v>
      </c>
      <c r="D50" s="63">
        <v>20.367000000000001</v>
      </c>
    </row>
    <row r="51" spans="1:5" ht="15.75" thickBot="1" x14ac:dyDescent="0.3">
      <c r="A51" s="106"/>
      <c r="B51" s="107"/>
      <c r="C51" s="108">
        <v>3000</v>
      </c>
      <c r="D51" s="109">
        <v>800</v>
      </c>
    </row>
    <row r="52" spans="1:5" x14ac:dyDescent="0.25">
      <c r="A52" s="110"/>
      <c r="B52" s="111"/>
      <c r="C52" s="111">
        <v>488</v>
      </c>
      <c r="D52" s="112">
        <v>0</v>
      </c>
    </row>
    <row r="53" spans="1:5" x14ac:dyDescent="0.25">
      <c r="A53" s="113" t="s">
        <v>48</v>
      </c>
      <c r="B53" s="56" t="s">
        <v>49</v>
      </c>
      <c r="C53" s="57">
        <v>548</v>
      </c>
      <c r="D53" s="63">
        <v>5.15</v>
      </c>
    </row>
    <row r="54" spans="1:5" x14ac:dyDescent="0.25">
      <c r="A54" s="113" t="s">
        <v>50</v>
      </c>
      <c r="B54" s="58"/>
      <c r="C54" s="57">
        <v>568</v>
      </c>
      <c r="D54" s="63">
        <v>16.2</v>
      </c>
    </row>
    <row r="55" spans="1:5" x14ac:dyDescent="0.25">
      <c r="A55" s="113" t="s">
        <v>51</v>
      </c>
      <c r="B55" s="56" t="s">
        <v>52</v>
      </c>
      <c r="C55" s="57">
        <v>587</v>
      </c>
      <c r="D55" s="63">
        <v>50.082999999999998</v>
      </c>
    </row>
    <row r="56" spans="1:5" x14ac:dyDescent="0.25">
      <c r="A56" s="113" t="s">
        <v>53</v>
      </c>
      <c r="B56" s="58"/>
      <c r="C56" s="57">
        <v>728</v>
      </c>
      <c r="D56" s="63">
        <v>93.992999999999995</v>
      </c>
      <c r="E56">
        <v>3</v>
      </c>
    </row>
    <row r="57" spans="1:5" x14ac:dyDescent="0.25">
      <c r="A57" s="113" t="s">
        <v>54</v>
      </c>
      <c r="B57" s="58"/>
      <c r="C57" s="57">
        <v>656</v>
      </c>
      <c r="D57" s="63">
        <v>95.516999999999996</v>
      </c>
    </row>
    <row r="58" spans="1:5" x14ac:dyDescent="0.25">
      <c r="A58" s="113" t="s">
        <v>55</v>
      </c>
      <c r="B58" s="58"/>
      <c r="C58" s="57">
        <v>718</v>
      </c>
      <c r="D58" s="63">
        <v>100.92</v>
      </c>
    </row>
    <row r="59" spans="1:5" x14ac:dyDescent="0.25">
      <c r="A59" s="113" t="s">
        <v>56</v>
      </c>
      <c r="B59" s="58"/>
      <c r="C59" s="57">
        <v>769</v>
      </c>
      <c r="D59" s="63">
        <v>115.37</v>
      </c>
    </row>
    <row r="60" spans="1:5" ht="15.75" thickBot="1" x14ac:dyDescent="0.3">
      <c r="A60" s="114"/>
      <c r="B60" s="115"/>
      <c r="C60" s="115">
        <v>3000</v>
      </c>
      <c r="D60" s="116">
        <v>800</v>
      </c>
    </row>
    <row r="63" spans="1:5" x14ac:dyDescent="0.25">
      <c r="A63" t="s">
        <v>84</v>
      </c>
    </row>
    <row r="64" spans="1:5" x14ac:dyDescent="0.25">
      <c r="A64" t="s">
        <v>85</v>
      </c>
    </row>
    <row r="65" spans="1:1" x14ac:dyDescent="0.25">
      <c r="A65" t="s">
        <v>86</v>
      </c>
    </row>
    <row r="67" spans="1:1" x14ac:dyDescent="0.25">
      <c r="A67" t="s">
        <v>87</v>
      </c>
    </row>
    <row r="69" spans="1:1" x14ac:dyDescent="0.25">
      <c r="A69" t="s">
        <v>88</v>
      </c>
    </row>
    <row r="71" spans="1:1" x14ac:dyDescent="0.25">
      <c r="A71" t="s">
        <v>89</v>
      </c>
    </row>
    <row r="73" spans="1:1" x14ac:dyDescent="0.25">
      <c r="A73" t="s">
        <v>90</v>
      </c>
    </row>
    <row r="74" spans="1:1" x14ac:dyDescent="0.25">
      <c r="A74" t="s">
        <v>91</v>
      </c>
    </row>
    <row r="76" spans="1:1" x14ac:dyDescent="0.25">
      <c r="A76" t="s">
        <v>92</v>
      </c>
    </row>
    <row r="77" spans="1:1" x14ac:dyDescent="0.25">
      <c r="A77" t="s">
        <v>93</v>
      </c>
    </row>
    <row r="78" spans="1:1" x14ac:dyDescent="0.25">
      <c r="A78" t="s">
        <v>94</v>
      </c>
    </row>
    <row r="80" spans="1:1" x14ac:dyDescent="0.25">
      <c r="A80" t="s">
        <v>95</v>
      </c>
    </row>
    <row r="81" spans="1:1" x14ac:dyDescent="0.25">
      <c r="A81" t="s">
        <v>96</v>
      </c>
    </row>
    <row r="83" spans="1:1" x14ac:dyDescent="0.25">
      <c r="A83" t="s">
        <v>72</v>
      </c>
    </row>
    <row r="85" spans="1:1" x14ac:dyDescent="0.25">
      <c r="A85" t="s">
        <v>97</v>
      </c>
    </row>
  </sheetData>
  <mergeCells count="1">
    <mergeCell ref="I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metodo de calibracion</vt:lpstr>
      <vt:lpstr>coviandina</vt:lpstr>
      <vt:lpstr>concesion sabana occidente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HARDWARE</dc:creator>
  <cp:lastModifiedBy>USUARIO</cp:lastModifiedBy>
  <dcterms:created xsi:type="dcterms:W3CDTF">2020-06-25T13:46:44Z</dcterms:created>
  <dcterms:modified xsi:type="dcterms:W3CDTF">2020-08-19T15:53:19Z</dcterms:modified>
</cp:coreProperties>
</file>